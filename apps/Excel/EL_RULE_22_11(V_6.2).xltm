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1_{6B228CAF-E24B-4B0D-A952-FDCC72B2E514}" xr6:coauthVersionLast="45" xr6:coauthVersionMax="45" xr10:uidLastSave="{00000000-0000-0000-0000-000000000000}"/>
  <bookViews>
    <workbookView xWindow="-120" yWindow="-120" windowWidth="24240" windowHeight="13140" tabRatio="756" activeTab="5" xr2:uid="{00000000-000D-0000-FFFF-FFFF00000000}"/>
  </bookViews>
  <sheets>
    <sheet name="Leave Calculation" sheetId="1" r:id="rId1"/>
    <sheet name="Rule 12" sheetId="3" state="veryHidden" r:id="rId2"/>
    <sheet name="Rule 11" sheetId="2" state="veryHidden" r:id="rId3"/>
    <sheet name="Rule 22" sheetId="6" state="veryHidden" r:id="rId4"/>
    <sheet name="Leave Record" sheetId="4" state="veryHidden" r:id="rId5"/>
    <sheet name="Leave Entry" sheetId="7" r:id="rId6"/>
  </sheets>
  <definedNames>
    <definedName name="_xlnm._FilterDatabase" localSheetId="0" hidden="1">'Leave Calculation'!$D$1:$H$300</definedName>
    <definedName name="_xlnm.Print_Titles" localSheetId="0">'Leave Calculation'!$1:$4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2" l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" i="2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" i="6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7" i="7"/>
  <c r="E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6" i="7"/>
  <c r="E1" i="7" l="1"/>
  <c r="D1" i="7"/>
  <c r="F201" i="6" l="1"/>
  <c r="G201" i="6"/>
  <c r="K201" i="6"/>
  <c r="B201" i="6" s="1"/>
  <c r="A202" i="6"/>
  <c r="F202" i="6"/>
  <c r="G202" i="6"/>
  <c r="A203" i="6" s="1"/>
  <c r="K202" i="6"/>
  <c r="I202" i="6" s="1"/>
  <c r="F203" i="6"/>
  <c r="G203" i="6"/>
  <c r="K203" i="6"/>
  <c r="I203" i="6" s="1"/>
  <c r="F204" i="6"/>
  <c r="G204" i="6"/>
  <c r="K204" i="6"/>
  <c r="F205" i="6"/>
  <c r="G205" i="6"/>
  <c r="K205" i="6"/>
  <c r="F206" i="6"/>
  <c r="G206" i="6"/>
  <c r="A207" i="6" s="1"/>
  <c r="K206" i="6"/>
  <c r="I206" i="6" s="1"/>
  <c r="F207" i="6"/>
  <c r="G207" i="6"/>
  <c r="K207" i="6"/>
  <c r="I207" i="6" s="1"/>
  <c r="F208" i="6"/>
  <c r="G208" i="6"/>
  <c r="K208" i="6"/>
  <c r="F209" i="6"/>
  <c r="G209" i="6"/>
  <c r="K209" i="6"/>
  <c r="I209" i="6" s="1"/>
  <c r="F210" i="6"/>
  <c r="G210" i="6"/>
  <c r="A211" i="6" s="1"/>
  <c r="K210" i="6"/>
  <c r="I210" i="6" s="1"/>
  <c r="F211" i="6"/>
  <c r="G211" i="6"/>
  <c r="K211" i="6"/>
  <c r="I211" i="6" s="1"/>
  <c r="F212" i="6"/>
  <c r="G212" i="6"/>
  <c r="A213" i="6" s="1"/>
  <c r="K212" i="6"/>
  <c r="F213" i="6"/>
  <c r="G213" i="6"/>
  <c r="A214" i="6" s="1"/>
  <c r="K213" i="6"/>
  <c r="F214" i="6"/>
  <c r="G214" i="6"/>
  <c r="A215" i="6" s="1"/>
  <c r="K214" i="6"/>
  <c r="I214" i="6" s="1"/>
  <c r="F215" i="6"/>
  <c r="G215" i="6"/>
  <c r="K215" i="6"/>
  <c r="I215" i="6" s="1"/>
  <c r="F216" i="6"/>
  <c r="G216" i="6"/>
  <c r="A217" i="6" s="1"/>
  <c r="K216" i="6"/>
  <c r="F217" i="6"/>
  <c r="G217" i="6"/>
  <c r="K217" i="6"/>
  <c r="I217" i="6" s="1"/>
  <c r="F218" i="6"/>
  <c r="G218" i="6"/>
  <c r="A219" i="6" s="1"/>
  <c r="K218" i="6"/>
  <c r="I218" i="6" s="1"/>
  <c r="F219" i="6"/>
  <c r="G219" i="6"/>
  <c r="K219" i="6"/>
  <c r="I219" i="6" s="1"/>
  <c r="F220" i="6"/>
  <c r="G220" i="6"/>
  <c r="K220" i="6"/>
  <c r="F221" i="6"/>
  <c r="G221" i="6"/>
  <c r="K221" i="6"/>
  <c r="F222" i="6"/>
  <c r="G222" i="6"/>
  <c r="A223" i="6" s="1"/>
  <c r="K222" i="6"/>
  <c r="I222" i="6" s="1"/>
  <c r="F223" i="6"/>
  <c r="G223" i="6"/>
  <c r="K223" i="6"/>
  <c r="F224" i="6"/>
  <c r="G224" i="6"/>
  <c r="K224" i="6"/>
  <c r="F225" i="6"/>
  <c r="G225" i="6"/>
  <c r="A226" i="6" s="1"/>
  <c r="K225" i="6"/>
  <c r="F226" i="6"/>
  <c r="G226" i="6"/>
  <c r="A227" i="6" s="1"/>
  <c r="K226" i="6"/>
  <c r="I226" i="6" s="1"/>
  <c r="F227" i="6"/>
  <c r="G227" i="6"/>
  <c r="K227" i="6"/>
  <c r="I227" i="6" s="1"/>
  <c r="F228" i="6"/>
  <c r="G228" i="6"/>
  <c r="A229" i="6" s="1"/>
  <c r="K228" i="6"/>
  <c r="F229" i="6"/>
  <c r="G229" i="6"/>
  <c r="A230" i="6" s="1"/>
  <c r="K229" i="6"/>
  <c r="F230" i="6"/>
  <c r="G230" i="6"/>
  <c r="A231" i="6" s="1"/>
  <c r="K230" i="6"/>
  <c r="I230" i="6" s="1"/>
  <c r="F231" i="6"/>
  <c r="G231" i="6"/>
  <c r="K231" i="6"/>
  <c r="F232" i="6"/>
  <c r="G232" i="6"/>
  <c r="A233" i="6" s="1"/>
  <c r="K232" i="6"/>
  <c r="I232" i="6" s="1"/>
  <c r="F233" i="6"/>
  <c r="G233" i="6"/>
  <c r="K233" i="6"/>
  <c r="F234" i="6"/>
  <c r="G234" i="6"/>
  <c r="A235" i="6" s="1"/>
  <c r="K234" i="6"/>
  <c r="I234" i="6" s="1"/>
  <c r="F235" i="6"/>
  <c r="G235" i="6"/>
  <c r="K235" i="6"/>
  <c r="F236" i="6"/>
  <c r="G236" i="6"/>
  <c r="K236" i="6"/>
  <c r="I236" i="6" s="1"/>
  <c r="F237" i="6"/>
  <c r="G237" i="6"/>
  <c r="A238" i="6" s="1"/>
  <c r="K237" i="6"/>
  <c r="F238" i="6"/>
  <c r="G238" i="6"/>
  <c r="A239" i="6" s="1"/>
  <c r="K238" i="6"/>
  <c r="I238" i="6" s="1"/>
  <c r="F239" i="6"/>
  <c r="G239" i="6"/>
  <c r="K239" i="6"/>
  <c r="I239" i="6" s="1"/>
  <c r="F240" i="6"/>
  <c r="G240" i="6"/>
  <c r="K240" i="6"/>
  <c r="I240" i="6" s="1"/>
  <c r="F241" i="6"/>
  <c r="G241" i="6"/>
  <c r="K241" i="6"/>
  <c r="F242" i="6"/>
  <c r="G242" i="6"/>
  <c r="A243" i="6" s="1"/>
  <c r="K242" i="6"/>
  <c r="I242" i="6" s="1"/>
  <c r="F243" i="6"/>
  <c r="G243" i="6"/>
  <c r="A244" i="6" s="1"/>
  <c r="K243" i="6"/>
  <c r="I243" i="6" s="1"/>
  <c r="F244" i="6"/>
  <c r="G244" i="6"/>
  <c r="K244" i="6"/>
  <c r="F245" i="6"/>
  <c r="G245" i="6"/>
  <c r="K245" i="6"/>
  <c r="F246" i="6"/>
  <c r="G246" i="6"/>
  <c r="K246" i="6"/>
  <c r="F247" i="6"/>
  <c r="G247" i="6"/>
  <c r="A248" i="6" s="1"/>
  <c r="K247" i="6"/>
  <c r="I247" i="6" s="1"/>
  <c r="F248" i="6"/>
  <c r="G248" i="6"/>
  <c r="K248" i="6"/>
  <c r="I248" i="6" s="1"/>
  <c r="F249" i="6"/>
  <c r="G249" i="6"/>
  <c r="K249" i="6"/>
  <c r="F250" i="6"/>
  <c r="G250" i="6"/>
  <c r="K250" i="6"/>
  <c r="F251" i="6"/>
  <c r="G251" i="6"/>
  <c r="A252" i="6" s="1"/>
  <c r="K251" i="6"/>
  <c r="I251" i="6" s="1"/>
  <c r="F252" i="6"/>
  <c r="G252" i="6"/>
  <c r="K252" i="6"/>
  <c r="F253" i="6"/>
  <c r="G253" i="6"/>
  <c r="A254" i="6" s="1"/>
  <c r="K253" i="6"/>
  <c r="F254" i="6"/>
  <c r="G254" i="6"/>
  <c r="A255" i="6" s="1"/>
  <c r="K254" i="6"/>
  <c r="F255" i="6"/>
  <c r="G255" i="6"/>
  <c r="A256" i="6" s="1"/>
  <c r="K255" i="6"/>
  <c r="I255" i="6" s="1"/>
  <c r="F256" i="6"/>
  <c r="G256" i="6"/>
  <c r="K256" i="6"/>
  <c r="I256" i="6" s="1"/>
  <c r="F257" i="6"/>
  <c r="G257" i="6"/>
  <c r="K257" i="6"/>
  <c r="I257" i="6" s="1"/>
  <c r="F258" i="6"/>
  <c r="G258" i="6"/>
  <c r="K258" i="6"/>
  <c r="F259" i="6"/>
  <c r="G259" i="6"/>
  <c r="A260" i="6" s="1"/>
  <c r="K259" i="6"/>
  <c r="I259" i="6" s="1"/>
  <c r="F260" i="6"/>
  <c r="G260" i="6"/>
  <c r="K260" i="6"/>
  <c r="F261" i="6"/>
  <c r="G261" i="6"/>
  <c r="A262" i="6" s="1"/>
  <c r="K261" i="6"/>
  <c r="F262" i="6"/>
  <c r="G262" i="6"/>
  <c r="A263" i="6" s="1"/>
  <c r="K262" i="6"/>
  <c r="F263" i="6"/>
  <c r="G263" i="6"/>
  <c r="A264" i="6" s="1"/>
  <c r="K263" i="6"/>
  <c r="I263" i="6" s="1"/>
  <c r="F264" i="6"/>
  <c r="G264" i="6"/>
  <c r="K264" i="6"/>
  <c r="I264" i="6" s="1"/>
  <c r="F265" i="6"/>
  <c r="G265" i="6"/>
  <c r="K265" i="6"/>
  <c r="I265" i="6" s="1"/>
  <c r="F266" i="6"/>
  <c r="G266" i="6"/>
  <c r="K266" i="6"/>
  <c r="F267" i="6"/>
  <c r="G267" i="6"/>
  <c r="A268" i="6" s="1"/>
  <c r="K267" i="6"/>
  <c r="I267" i="6" s="1"/>
  <c r="F268" i="6"/>
  <c r="G268" i="6"/>
  <c r="K268" i="6"/>
  <c r="F269" i="6"/>
  <c r="G269" i="6"/>
  <c r="A270" i="6" s="1"/>
  <c r="K269" i="6"/>
  <c r="F270" i="6"/>
  <c r="G270" i="6"/>
  <c r="A271" i="6" s="1"/>
  <c r="K270" i="6"/>
  <c r="F271" i="6"/>
  <c r="G271" i="6"/>
  <c r="A272" i="6" s="1"/>
  <c r="K271" i="6"/>
  <c r="I271" i="6" s="1"/>
  <c r="F272" i="6"/>
  <c r="G272" i="6"/>
  <c r="K272" i="6"/>
  <c r="I272" i="6" s="1"/>
  <c r="F273" i="6"/>
  <c r="G273" i="6"/>
  <c r="K273" i="6"/>
  <c r="F274" i="6"/>
  <c r="G274" i="6"/>
  <c r="K274" i="6"/>
  <c r="F275" i="6"/>
  <c r="G275" i="6"/>
  <c r="A276" i="6" s="1"/>
  <c r="K275" i="6"/>
  <c r="I275" i="6" s="1"/>
  <c r="F276" i="6"/>
  <c r="G276" i="6"/>
  <c r="K276" i="6"/>
  <c r="I276" i="6" s="1"/>
  <c r="F277" i="6"/>
  <c r="G277" i="6"/>
  <c r="A278" i="6" s="1"/>
  <c r="K277" i="6"/>
  <c r="F278" i="6"/>
  <c r="G278" i="6"/>
  <c r="A279" i="6" s="1"/>
  <c r="K278" i="6"/>
  <c r="F279" i="6"/>
  <c r="G279" i="6"/>
  <c r="A280" i="6" s="1"/>
  <c r="K279" i="6"/>
  <c r="I279" i="6" s="1"/>
  <c r="F280" i="6"/>
  <c r="G280" i="6"/>
  <c r="K280" i="6"/>
  <c r="I280" i="6" s="1"/>
  <c r="F281" i="6"/>
  <c r="G281" i="6"/>
  <c r="K281" i="6"/>
  <c r="I281" i="6" s="1"/>
  <c r="F282" i="6"/>
  <c r="G282" i="6"/>
  <c r="K282" i="6"/>
  <c r="F283" i="6"/>
  <c r="G283" i="6"/>
  <c r="A284" i="6" s="1"/>
  <c r="K283" i="6"/>
  <c r="I283" i="6" s="1"/>
  <c r="F284" i="6"/>
  <c r="G284" i="6"/>
  <c r="K284" i="6"/>
  <c r="F285" i="6"/>
  <c r="G285" i="6"/>
  <c r="A286" i="6" s="1"/>
  <c r="K285" i="6"/>
  <c r="F286" i="6"/>
  <c r="G286" i="6"/>
  <c r="A287" i="6" s="1"/>
  <c r="K286" i="6"/>
  <c r="F287" i="6"/>
  <c r="G287" i="6"/>
  <c r="A288" i="6" s="1"/>
  <c r="K287" i="6"/>
  <c r="I287" i="6" s="1"/>
  <c r="F288" i="6"/>
  <c r="G288" i="6"/>
  <c r="K288" i="6"/>
  <c r="F289" i="6"/>
  <c r="G289" i="6"/>
  <c r="K289" i="6"/>
  <c r="F290" i="6"/>
  <c r="G290" i="6"/>
  <c r="K290" i="6"/>
  <c r="F291" i="6"/>
  <c r="G291" i="6"/>
  <c r="A292" i="6" s="1"/>
  <c r="K291" i="6"/>
  <c r="I291" i="6" s="1"/>
  <c r="F292" i="6"/>
  <c r="G292" i="6"/>
  <c r="K292" i="6"/>
  <c r="F293" i="6"/>
  <c r="G293" i="6"/>
  <c r="A294" i="6" s="1"/>
  <c r="K293" i="6"/>
  <c r="I293" i="6" s="1"/>
  <c r="F294" i="6"/>
  <c r="G294" i="6"/>
  <c r="A295" i="6" s="1"/>
  <c r="K294" i="6"/>
  <c r="F295" i="6"/>
  <c r="G295" i="6"/>
  <c r="A296" i="6" s="1"/>
  <c r="K295" i="6"/>
  <c r="I295" i="6" s="1"/>
  <c r="F296" i="6"/>
  <c r="G296" i="6"/>
  <c r="K296" i="6"/>
  <c r="F297" i="6"/>
  <c r="G297" i="6"/>
  <c r="A298" i="6" s="1"/>
  <c r="K297" i="6"/>
  <c r="F298" i="6"/>
  <c r="G298" i="6"/>
  <c r="K298" i="6"/>
  <c r="F299" i="6"/>
  <c r="G299" i="6"/>
  <c r="A300" i="6" s="1"/>
  <c r="K299" i="6"/>
  <c r="I299" i="6" s="1"/>
  <c r="F300" i="6"/>
  <c r="G300" i="6"/>
  <c r="K300" i="6"/>
  <c r="I300" i="6" s="1"/>
  <c r="F301" i="6"/>
  <c r="G301" i="6"/>
  <c r="A302" i="6" s="1"/>
  <c r="K301" i="6"/>
  <c r="I301" i="6" s="1"/>
  <c r="F302" i="6"/>
  <c r="G302" i="6"/>
  <c r="K302" i="6"/>
  <c r="F303" i="6"/>
  <c r="G303" i="6"/>
  <c r="A304" i="6" s="1"/>
  <c r="K303" i="6"/>
  <c r="I303" i="6" s="1"/>
  <c r="F304" i="6"/>
  <c r="G304" i="6"/>
  <c r="K304" i="6"/>
  <c r="F305" i="6"/>
  <c r="G305" i="6"/>
  <c r="K305" i="6"/>
  <c r="F306" i="6"/>
  <c r="G306" i="6"/>
  <c r="K306" i="6"/>
  <c r="F307" i="6"/>
  <c r="G307" i="6"/>
  <c r="A308" i="6" s="1"/>
  <c r="K307" i="6"/>
  <c r="I307" i="6" s="1"/>
  <c r="F308" i="6"/>
  <c r="G308" i="6"/>
  <c r="K308" i="6"/>
  <c r="I308" i="6" s="1"/>
  <c r="F309" i="6"/>
  <c r="G309" i="6"/>
  <c r="K309" i="6"/>
  <c r="I309" i="6" s="1"/>
  <c r="F310" i="6"/>
  <c r="G310" i="6"/>
  <c r="K310" i="6"/>
  <c r="F311" i="6"/>
  <c r="G311" i="6"/>
  <c r="A312" i="6" s="1"/>
  <c r="K311" i="6"/>
  <c r="I311" i="6" s="1"/>
  <c r="F312" i="6"/>
  <c r="G312" i="6"/>
  <c r="K312" i="6"/>
  <c r="I312" i="6" s="1"/>
  <c r="F313" i="6"/>
  <c r="G313" i="6"/>
  <c r="A314" i="6" s="1"/>
  <c r="K313" i="6"/>
  <c r="F314" i="6"/>
  <c r="G314" i="6"/>
  <c r="K314" i="6"/>
  <c r="I314" i="6" s="1"/>
  <c r="F315" i="6"/>
  <c r="G315" i="6"/>
  <c r="A316" i="6" s="1"/>
  <c r="K315" i="6"/>
  <c r="I315" i="6" s="1"/>
  <c r="F316" i="6"/>
  <c r="G316" i="6"/>
  <c r="K316" i="6"/>
  <c r="I316" i="6" s="1"/>
  <c r="F317" i="6"/>
  <c r="G317" i="6"/>
  <c r="K317" i="6"/>
  <c r="F318" i="6"/>
  <c r="G318" i="6"/>
  <c r="K318" i="6"/>
  <c r="F319" i="6"/>
  <c r="G319" i="6"/>
  <c r="A320" i="6" s="1"/>
  <c r="K319" i="6"/>
  <c r="I319" i="6" s="1"/>
  <c r="F320" i="6"/>
  <c r="G320" i="6"/>
  <c r="K320" i="6"/>
  <c r="F321" i="6"/>
  <c r="G321" i="6"/>
  <c r="K321" i="6"/>
  <c r="I321" i="6" s="1"/>
  <c r="F322" i="6"/>
  <c r="G322" i="6"/>
  <c r="K322" i="6"/>
  <c r="F323" i="6"/>
  <c r="G323" i="6"/>
  <c r="A324" i="6" s="1"/>
  <c r="K323" i="6"/>
  <c r="I323" i="6" s="1"/>
  <c r="F324" i="6"/>
  <c r="G324" i="6"/>
  <c r="K324" i="6"/>
  <c r="F325" i="6"/>
  <c r="G325" i="6"/>
  <c r="K325" i="6"/>
  <c r="I325" i="6" s="1"/>
  <c r="F326" i="6"/>
  <c r="G326" i="6"/>
  <c r="K326" i="6"/>
  <c r="F327" i="6"/>
  <c r="G327" i="6"/>
  <c r="A328" i="6" s="1"/>
  <c r="K327" i="6"/>
  <c r="I327" i="6" s="1"/>
  <c r="F328" i="6"/>
  <c r="G328" i="6"/>
  <c r="K328" i="6"/>
  <c r="I328" i="6" s="1"/>
  <c r="F329" i="6"/>
  <c r="G329" i="6"/>
  <c r="A330" i="6" s="1"/>
  <c r="K329" i="6"/>
  <c r="I329" i="6" s="1"/>
  <c r="F330" i="6"/>
  <c r="G330" i="6"/>
  <c r="K330" i="6"/>
  <c r="I330" i="6" s="1"/>
  <c r="F331" i="6"/>
  <c r="G331" i="6"/>
  <c r="A332" i="6" s="1"/>
  <c r="K331" i="6"/>
  <c r="I331" i="6" s="1"/>
  <c r="F332" i="6"/>
  <c r="G332" i="6"/>
  <c r="K332" i="6"/>
  <c r="F333" i="6"/>
  <c r="G333" i="6"/>
  <c r="K333" i="6"/>
  <c r="I333" i="6" s="1"/>
  <c r="F334" i="6"/>
  <c r="G334" i="6"/>
  <c r="K334" i="6"/>
  <c r="F335" i="6"/>
  <c r="G335" i="6"/>
  <c r="A336" i="6" s="1"/>
  <c r="K335" i="6"/>
  <c r="I335" i="6" s="1"/>
  <c r="F336" i="6"/>
  <c r="G336" i="6"/>
  <c r="K336" i="6"/>
  <c r="F337" i="6"/>
  <c r="G337" i="6"/>
  <c r="A338" i="6" s="1"/>
  <c r="K337" i="6"/>
  <c r="F338" i="6"/>
  <c r="G338" i="6"/>
  <c r="A339" i="6" s="1"/>
  <c r="K338" i="6"/>
  <c r="I338" i="6" s="1"/>
  <c r="F339" i="6"/>
  <c r="G339" i="6"/>
  <c r="K339" i="6"/>
  <c r="I339" i="6" s="1"/>
  <c r="F340" i="6"/>
  <c r="G340" i="6"/>
  <c r="K340" i="6"/>
  <c r="F341" i="6"/>
  <c r="G341" i="6"/>
  <c r="K341" i="6"/>
  <c r="F342" i="6"/>
  <c r="G342" i="6"/>
  <c r="K342" i="6"/>
  <c r="F343" i="6"/>
  <c r="G343" i="6"/>
  <c r="A344" i="6" s="1"/>
  <c r="K343" i="6"/>
  <c r="I343" i="6" s="1"/>
  <c r="F344" i="6"/>
  <c r="G344" i="6"/>
  <c r="K344" i="6"/>
  <c r="F345" i="6"/>
  <c r="G345" i="6"/>
  <c r="A346" i="6" s="1"/>
  <c r="K345" i="6"/>
  <c r="F346" i="6"/>
  <c r="G346" i="6"/>
  <c r="A347" i="6" s="1"/>
  <c r="K346" i="6"/>
  <c r="I346" i="6" s="1"/>
  <c r="F347" i="6"/>
  <c r="G347" i="6"/>
  <c r="A348" i="6" s="1"/>
  <c r="K347" i="6"/>
  <c r="I347" i="6" s="1"/>
  <c r="F348" i="6"/>
  <c r="G348" i="6"/>
  <c r="K348" i="6"/>
  <c r="I348" i="6" s="1"/>
  <c r="F349" i="6"/>
  <c r="G349" i="6"/>
  <c r="A350" i="6" s="1"/>
  <c r="K349" i="6"/>
  <c r="F350" i="6"/>
  <c r="G350" i="6"/>
  <c r="A351" i="6" s="1"/>
  <c r="K350" i="6"/>
  <c r="F351" i="6"/>
  <c r="G351" i="6"/>
  <c r="K351" i="6"/>
  <c r="F352" i="6"/>
  <c r="G352" i="6"/>
  <c r="K352" i="6"/>
  <c r="F353" i="6"/>
  <c r="G353" i="6"/>
  <c r="K353" i="6"/>
  <c r="F354" i="6"/>
  <c r="G354" i="6"/>
  <c r="K354" i="6"/>
  <c r="F355" i="6"/>
  <c r="G355" i="6"/>
  <c r="A356" i="6" s="1"/>
  <c r="K355" i="6"/>
  <c r="I355" i="6" s="1"/>
  <c r="F356" i="6"/>
  <c r="G356" i="6"/>
  <c r="K356" i="6"/>
  <c r="F357" i="6"/>
  <c r="G357" i="6"/>
  <c r="A358" i="6" s="1"/>
  <c r="K357" i="6"/>
  <c r="F358" i="6"/>
  <c r="G358" i="6"/>
  <c r="A359" i="6" s="1"/>
  <c r="K358" i="6"/>
  <c r="F359" i="6"/>
  <c r="G359" i="6"/>
  <c r="A360" i="6" s="1"/>
  <c r="K359" i="6"/>
  <c r="I359" i="6" s="1"/>
  <c r="F360" i="6"/>
  <c r="G360" i="6"/>
  <c r="K360" i="6"/>
  <c r="F361" i="6"/>
  <c r="G361" i="6"/>
  <c r="A362" i="6" s="1"/>
  <c r="K361" i="6"/>
  <c r="F362" i="6"/>
  <c r="G362" i="6"/>
  <c r="A363" i="6" s="1"/>
  <c r="K362" i="6"/>
  <c r="F363" i="6"/>
  <c r="G363" i="6"/>
  <c r="K363" i="6"/>
  <c r="F364" i="6"/>
  <c r="G364" i="6"/>
  <c r="K364" i="6"/>
  <c r="F365" i="6"/>
  <c r="G365" i="6"/>
  <c r="K365" i="6"/>
  <c r="F366" i="6"/>
  <c r="G366" i="6"/>
  <c r="K366" i="6"/>
  <c r="F367" i="6"/>
  <c r="G367" i="6"/>
  <c r="A368" i="6" s="1"/>
  <c r="K367" i="6"/>
  <c r="F368" i="6"/>
  <c r="G368" i="6"/>
  <c r="K368" i="6"/>
  <c r="F369" i="6"/>
  <c r="G369" i="6"/>
  <c r="K369" i="6"/>
  <c r="F370" i="6"/>
  <c r="G370" i="6"/>
  <c r="K370" i="6"/>
  <c r="F371" i="6"/>
  <c r="G371" i="6"/>
  <c r="A372" i="6" s="1"/>
  <c r="K371" i="6"/>
  <c r="I371" i="6" s="1"/>
  <c r="F372" i="6"/>
  <c r="G372" i="6"/>
  <c r="K372" i="6"/>
  <c r="F373" i="6"/>
  <c r="G373" i="6"/>
  <c r="A374" i="6" s="1"/>
  <c r="K373" i="6"/>
  <c r="F374" i="6"/>
  <c r="G374" i="6"/>
  <c r="A375" i="6" s="1"/>
  <c r="K374" i="6"/>
  <c r="I374" i="6" s="1"/>
  <c r="F375" i="6"/>
  <c r="G375" i="6"/>
  <c r="A376" i="6" s="1"/>
  <c r="K375" i="6"/>
  <c r="I375" i="6" s="1"/>
  <c r="F376" i="6"/>
  <c r="G376" i="6"/>
  <c r="K376" i="6"/>
  <c r="F377" i="6"/>
  <c r="G377" i="6"/>
  <c r="A378" i="6" s="1"/>
  <c r="K377" i="6"/>
  <c r="F378" i="6"/>
  <c r="G378" i="6"/>
  <c r="K378" i="6"/>
  <c r="F379" i="6"/>
  <c r="G379" i="6"/>
  <c r="A380" i="6" s="1"/>
  <c r="K379" i="6"/>
  <c r="F380" i="6"/>
  <c r="G380" i="6"/>
  <c r="K380" i="6"/>
  <c r="F381" i="6"/>
  <c r="G381" i="6"/>
  <c r="A382" i="6" s="1"/>
  <c r="K381" i="6"/>
  <c r="F382" i="6"/>
  <c r="G382" i="6"/>
  <c r="K382" i="6"/>
  <c r="F383" i="6"/>
  <c r="G383" i="6"/>
  <c r="A384" i="6" s="1"/>
  <c r="K383" i="6"/>
  <c r="F384" i="6"/>
  <c r="G384" i="6"/>
  <c r="K384" i="6"/>
  <c r="F385" i="6"/>
  <c r="G385" i="6"/>
  <c r="A386" i="6" s="1"/>
  <c r="K385" i="6"/>
  <c r="F386" i="6"/>
  <c r="G386" i="6"/>
  <c r="K386" i="6"/>
  <c r="F387" i="6"/>
  <c r="G387" i="6"/>
  <c r="A388" i="6" s="1"/>
  <c r="K387" i="6"/>
  <c r="I387" i="6" s="1"/>
  <c r="F388" i="6"/>
  <c r="G388" i="6"/>
  <c r="A389" i="6" s="1"/>
  <c r="K388" i="6"/>
  <c r="F389" i="6"/>
  <c r="G389" i="6"/>
  <c r="A390" i="6" s="1"/>
  <c r="K389" i="6"/>
  <c r="I389" i="6" s="1"/>
  <c r="F390" i="6"/>
  <c r="G390" i="6"/>
  <c r="K390" i="6"/>
  <c r="F391" i="6"/>
  <c r="G391" i="6"/>
  <c r="A392" i="6" s="1"/>
  <c r="K391" i="6"/>
  <c r="F392" i="6"/>
  <c r="G392" i="6"/>
  <c r="K392" i="6"/>
  <c r="F393" i="6"/>
  <c r="G393" i="6"/>
  <c r="K393" i="6"/>
  <c r="I393" i="6" s="1"/>
  <c r="F394" i="6"/>
  <c r="G394" i="6"/>
  <c r="K394" i="6"/>
  <c r="F395" i="6"/>
  <c r="G395" i="6"/>
  <c r="A396" i="6" s="1"/>
  <c r="K395" i="6"/>
  <c r="F396" i="6"/>
  <c r="G396" i="6"/>
  <c r="K396" i="6"/>
  <c r="I396" i="6" s="1"/>
  <c r="F397" i="6"/>
  <c r="G397" i="6"/>
  <c r="A398" i="6" s="1"/>
  <c r="K397" i="6"/>
  <c r="F398" i="6"/>
  <c r="G398" i="6"/>
  <c r="K398" i="6"/>
  <c r="I398" i="6" s="1"/>
  <c r="F399" i="6"/>
  <c r="G399" i="6"/>
  <c r="A400" i="6" s="1"/>
  <c r="K399" i="6"/>
  <c r="I399" i="6" s="1"/>
  <c r="F400" i="6"/>
  <c r="G400" i="6"/>
  <c r="K400" i="6"/>
  <c r="I400" i="6" s="1"/>
  <c r="F401" i="6"/>
  <c r="G401" i="6"/>
  <c r="A402" i="6" s="1"/>
  <c r="K401" i="6"/>
  <c r="F402" i="6"/>
  <c r="G402" i="6"/>
  <c r="A403" i="6" s="1"/>
  <c r="K402" i="6"/>
  <c r="F403" i="6"/>
  <c r="G403" i="6"/>
  <c r="A404" i="6" s="1"/>
  <c r="K403" i="6"/>
  <c r="I403" i="6" s="1"/>
  <c r="F404" i="6"/>
  <c r="G404" i="6"/>
  <c r="K404" i="6"/>
  <c r="I404" i="6" s="1"/>
  <c r="F405" i="6"/>
  <c r="G405" i="6"/>
  <c r="K405" i="6"/>
  <c r="F406" i="6"/>
  <c r="G406" i="6"/>
  <c r="K406" i="6"/>
  <c r="F407" i="6"/>
  <c r="G407" i="6"/>
  <c r="A408" i="6" s="1"/>
  <c r="K407" i="6"/>
  <c r="I407" i="6" s="1"/>
  <c r="F408" i="6"/>
  <c r="G408" i="6"/>
  <c r="K408" i="6"/>
  <c r="I408" i="6" s="1"/>
  <c r="F409" i="6"/>
  <c r="G409" i="6"/>
  <c r="K409" i="6"/>
  <c r="F410" i="6"/>
  <c r="G410" i="6"/>
  <c r="A411" i="6" s="1"/>
  <c r="K410" i="6"/>
  <c r="F411" i="6"/>
  <c r="G411" i="6"/>
  <c r="A412" i="6" s="1"/>
  <c r="K411" i="6"/>
  <c r="I411" i="6" s="1"/>
  <c r="F412" i="6"/>
  <c r="G412" i="6"/>
  <c r="K412" i="6"/>
  <c r="F413" i="6"/>
  <c r="G413" i="6"/>
  <c r="A414" i="6" s="1"/>
  <c r="K413" i="6"/>
  <c r="F414" i="6"/>
  <c r="G414" i="6"/>
  <c r="A415" i="6" s="1"/>
  <c r="K414" i="6"/>
  <c r="F415" i="6"/>
  <c r="G415" i="6"/>
  <c r="A416" i="6" s="1"/>
  <c r="K415" i="6"/>
  <c r="I415" i="6" s="1"/>
  <c r="F416" i="6"/>
  <c r="G416" i="6"/>
  <c r="K416" i="6"/>
  <c r="I416" i="6" s="1"/>
  <c r="F417" i="6"/>
  <c r="G417" i="6"/>
  <c r="A418" i="6" s="1"/>
  <c r="K417" i="6"/>
  <c r="F418" i="6"/>
  <c r="G418" i="6"/>
  <c r="K418" i="6"/>
  <c r="F419" i="6"/>
  <c r="G419" i="6"/>
  <c r="A420" i="6" s="1"/>
  <c r="K419" i="6"/>
  <c r="I419" i="6" s="1"/>
  <c r="F420" i="6"/>
  <c r="G420" i="6"/>
  <c r="K420" i="6"/>
  <c r="I420" i="6" s="1"/>
  <c r="F421" i="6"/>
  <c r="G421" i="6"/>
  <c r="A422" i="6" s="1"/>
  <c r="K421" i="6"/>
  <c r="F422" i="6"/>
  <c r="G422" i="6"/>
  <c r="A423" i="6" s="1"/>
  <c r="K422" i="6"/>
  <c r="F423" i="6"/>
  <c r="G423" i="6"/>
  <c r="A424" i="6" s="1"/>
  <c r="K423" i="6"/>
  <c r="F424" i="6"/>
  <c r="G424" i="6"/>
  <c r="K424" i="6"/>
  <c r="I424" i="6" s="1"/>
  <c r="F425" i="6"/>
  <c r="G425" i="6"/>
  <c r="K425" i="6"/>
  <c r="F426" i="6"/>
  <c r="G426" i="6"/>
  <c r="A427" i="6" s="1"/>
  <c r="K426" i="6"/>
  <c r="F427" i="6"/>
  <c r="G427" i="6"/>
  <c r="A428" i="6" s="1"/>
  <c r="K427" i="6"/>
  <c r="I427" i="6" s="1"/>
  <c r="F428" i="6"/>
  <c r="G428" i="6"/>
  <c r="K428" i="6"/>
  <c r="I428" i="6" s="1"/>
  <c r="F429" i="6"/>
  <c r="G429" i="6"/>
  <c r="K429" i="6"/>
  <c r="F430" i="6"/>
  <c r="G430" i="6"/>
  <c r="K430" i="6"/>
  <c r="I430" i="6" s="1"/>
  <c r="F431" i="6"/>
  <c r="G431" i="6"/>
  <c r="A432" i="6" s="1"/>
  <c r="K431" i="6"/>
  <c r="I431" i="6" s="1"/>
  <c r="F432" i="6"/>
  <c r="G432" i="6"/>
  <c r="K432" i="6"/>
  <c r="I432" i="6" s="1"/>
  <c r="F433" i="6"/>
  <c r="G433" i="6"/>
  <c r="K433" i="6"/>
  <c r="F434" i="6"/>
  <c r="G434" i="6"/>
  <c r="A435" i="6" s="1"/>
  <c r="K434" i="6"/>
  <c r="F435" i="6"/>
  <c r="G435" i="6"/>
  <c r="A436" i="6" s="1"/>
  <c r="K435" i="6"/>
  <c r="I435" i="6" s="1"/>
  <c r="F436" i="6"/>
  <c r="G436" i="6"/>
  <c r="K436" i="6"/>
  <c r="I436" i="6" s="1"/>
  <c r="F437" i="6"/>
  <c r="G437" i="6"/>
  <c r="A438" i="6" s="1"/>
  <c r="K437" i="6"/>
  <c r="F438" i="6"/>
  <c r="G438" i="6"/>
  <c r="A439" i="6" s="1"/>
  <c r="K438" i="6"/>
  <c r="I438" i="6" s="1"/>
  <c r="F439" i="6"/>
  <c r="G439" i="6"/>
  <c r="A440" i="6" s="1"/>
  <c r="K439" i="6"/>
  <c r="F440" i="6"/>
  <c r="G440" i="6"/>
  <c r="K440" i="6"/>
  <c r="I440" i="6" s="1"/>
  <c r="F441" i="6"/>
  <c r="G441" i="6"/>
  <c r="K441" i="6"/>
  <c r="F442" i="6"/>
  <c r="G442" i="6"/>
  <c r="K442" i="6"/>
  <c r="I442" i="6" s="1"/>
  <c r="F443" i="6"/>
  <c r="G443" i="6"/>
  <c r="A444" i="6" s="1"/>
  <c r="K443" i="6"/>
  <c r="I443" i="6" s="1"/>
  <c r="F444" i="6"/>
  <c r="G444" i="6"/>
  <c r="K444" i="6"/>
  <c r="I444" i="6" s="1"/>
  <c r="F445" i="6"/>
  <c r="G445" i="6"/>
  <c r="A446" i="6" s="1"/>
  <c r="K445" i="6"/>
  <c r="F446" i="6"/>
  <c r="G446" i="6"/>
  <c r="A447" i="6" s="1"/>
  <c r="K446" i="6"/>
  <c r="F447" i="6"/>
  <c r="G447" i="6"/>
  <c r="A448" i="6" s="1"/>
  <c r="K447" i="6"/>
  <c r="I447" i="6" s="1"/>
  <c r="F448" i="6"/>
  <c r="G448" i="6"/>
  <c r="K448" i="6"/>
  <c r="I448" i="6" s="1"/>
  <c r="F449" i="6"/>
  <c r="G449" i="6"/>
  <c r="A450" i="6" s="1"/>
  <c r="K449" i="6"/>
  <c r="F450" i="6"/>
  <c r="G450" i="6"/>
  <c r="A451" i="6" s="1"/>
  <c r="K450" i="6"/>
  <c r="F451" i="6"/>
  <c r="G451" i="6"/>
  <c r="A452" i="6" s="1"/>
  <c r="K451" i="6"/>
  <c r="I451" i="6" s="1"/>
  <c r="F452" i="6"/>
  <c r="G452" i="6"/>
  <c r="K452" i="6"/>
  <c r="I452" i="6" s="1"/>
  <c r="F453" i="6"/>
  <c r="G453" i="6"/>
  <c r="A454" i="6" s="1"/>
  <c r="K453" i="6"/>
  <c r="F454" i="6"/>
  <c r="G454" i="6"/>
  <c r="A455" i="6" s="1"/>
  <c r="K454" i="6"/>
  <c r="F455" i="6"/>
  <c r="G455" i="6"/>
  <c r="A456" i="6" s="1"/>
  <c r="K455" i="6"/>
  <c r="F456" i="6"/>
  <c r="G456" i="6"/>
  <c r="K456" i="6"/>
  <c r="I456" i="6" s="1"/>
  <c r="F457" i="6"/>
  <c r="G457" i="6"/>
  <c r="K457" i="6"/>
  <c r="F458" i="6"/>
  <c r="G458" i="6"/>
  <c r="A459" i="6" s="1"/>
  <c r="K458" i="6"/>
  <c r="F459" i="6"/>
  <c r="G459" i="6"/>
  <c r="A460" i="6" s="1"/>
  <c r="K459" i="6"/>
  <c r="F460" i="6"/>
  <c r="G460" i="6"/>
  <c r="K460" i="6"/>
  <c r="F461" i="6"/>
  <c r="G461" i="6"/>
  <c r="A462" i="6" s="1"/>
  <c r="K461" i="6"/>
  <c r="I461" i="6" s="1"/>
  <c r="F462" i="6"/>
  <c r="G462" i="6"/>
  <c r="A463" i="6" s="1"/>
  <c r="K462" i="6"/>
  <c r="F463" i="6"/>
  <c r="G463" i="6"/>
  <c r="A464" i="6" s="1"/>
  <c r="K463" i="6"/>
  <c r="F464" i="6"/>
  <c r="G464" i="6"/>
  <c r="K464" i="6"/>
  <c r="F465" i="6"/>
  <c r="G465" i="6"/>
  <c r="A466" i="6" s="1"/>
  <c r="K465" i="6"/>
  <c r="I465" i="6" s="1"/>
  <c r="F466" i="6"/>
  <c r="G466" i="6"/>
  <c r="K466" i="6"/>
  <c r="F467" i="6"/>
  <c r="G467" i="6"/>
  <c r="A468" i="6" s="1"/>
  <c r="K467" i="6"/>
  <c r="F468" i="6"/>
  <c r="G468" i="6"/>
  <c r="K468" i="6"/>
  <c r="F469" i="6"/>
  <c r="G469" i="6"/>
  <c r="A470" i="6" s="1"/>
  <c r="K469" i="6"/>
  <c r="I469" i="6" s="1"/>
  <c r="F470" i="6"/>
  <c r="G470" i="6"/>
  <c r="K470" i="6"/>
  <c r="F471" i="6"/>
  <c r="G471" i="6"/>
  <c r="K471" i="6"/>
  <c r="F472" i="6"/>
  <c r="G472" i="6"/>
  <c r="K472" i="6"/>
  <c r="F473" i="6"/>
  <c r="G473" i="6"/>
  <c r="A474" i="6" s="1"/>
  <c r="K473" i="6"/>
  <c r="I473" i="6" s="1"/>
  <c r="F474" i="6"/>
  <c r="G474" i="6"/>
  <c r="A475" i="6" s="1"/>
  <c r="K474" i="6"/>
  <c r="I474" i="6" s="1"/>
  <c r="F475" i="6"/>
  <c r="G475" i="6"/>
  <c r="K475" i="6"/>
  <c r="F476" i="6"/>
  <c r="G476" i="6"/>
  <c r="K476" i="6"/>
  <c r="F477" i="6"/>
  <c r="G477" i="6"/>
  <c r="A478" i="6" s="1"/>
  <c r="K477" i="6"/>
  <c r="I477" i="6" s="1"/>
  <c r="F478" i="6"/>
  <c r="G478" i="6"/>
  <c r="A479" i="6" s="1"/>
  <c r="K478" i="6"/>
  <c r="I478" i="6" s="1"/>
  <c r="F479" i="6"/>
  <c r="G479" i="6"/>
  <c r="A480" i="6" s="1"/>
  <c r="K479" i="6"/>
  <c r="F480" i="6"/>
  <c r="G480" i="6"/>
  <c r="K480" i="6"/>
  <c r="F481" i="6"/>
  <c r="G481" i="6"/>
  <c r="A482" i="6" s="1"/>
  <c r="K481" i="6"/>
  <c r="I481" i="6" s="1"/>
  <c r="F482" i="6"/>
  <c r="G482" i="6"/>
  <c r="A483" i="6" s="1"/>
  <c r="K482" i="6"/>
  <c r="F483" i="6"/>
  <c r="G483" i="6"/>
  <c r="A484" i="6" s="1"/>
  <c r="K483" i="6"/>
  <c r="F484" i="6"/>
  <c r="G484" i="6"/>
  <c r="K484" i="6"/>
  <c r="F485" i="6"/>
  <c r="G485" i="6"/>
  <c r="A486" i="6" s="1"/>
  <c r="K485" i="6"/>
  <c r="I485" i="6" s="1"/>
  <c r="F486" i="6"/>
  <c r="G486" i="6"/>
  <c r="K486" i="6"/>
  <c r="F487" i="6"/>
  <c r="G487" i="6"/>
  <c r="A488" i="6" s="1"/>
  <c r="K487" i="6"/>
  <c r="F488" i="6"/>
  <c r="G488" i="6"/>
  <c r="K488" i="6"/>
  <c r="F489" i="6"/>
  <c r="G489" i="6"/>
  <c r="A490" i="6" s="1"/>
  <c r="K489" i="6"/>
  <c r="I489" i="6" s="1"/>
  <c r="F490" i="6"/>
  <c r="G490" i="6"/>
  <c r="A491" i="6" s="1"/>
  <c r="K490" i="6"/>
  <c r="F491" i="6"/>
  <c r="G491" i="6"/>
  <c r="K491" i="6"/>
  <c r="I491" i="6" s="1"/>
  <c r="F492" i="6"/>
  <c r="G492" i="6"/>
  <c r="K492" i="6"/>
  <c r="F493" i="6"/>
  <c r="G493" i="6"/>
  <c r="A494" i="6" s="1"/>
  <c r="K493" i="6"/>
  <c r="I493" i="6" s="1"/>
  <c r="F494" i="6"/>
  <c r="G494" i="6"/>
  <c r="A495" i="6" s="1"/>
  <c r="K494" i="6"/>
  <c r="F495" i="6"/>
  <c r="G495" i="6"/>
  <c r="A496" i="6" s="1"/>
  <c r="K495" i="6"/>
  <c r="F496" i="6"/>
  <c r="G496" i="6"/>
  <c r="K496" i="6"/>
  <c r="F497" i="6"/>
  <c r="G497" i="6"/>
  <c r="A498" i="6" s="1"/>
  <c r="K497" i="6"/>
  <c r="I497" i="6" s="1"/>
  <c r="F498" i="6"/>
  <c r="G498" i="6"/>
  <c r="K498" i="6"/>
  <c r="F499" i="6"/>
  <c r="G499" i="6"/>
  <c r="K499" i="6"/>
  <c r="F500" i="6"/>
  <c r="G500" i="6"/>
  <c r="K500" i="6"/>
  <c r="F201" i="2"/>
  <c r="G201" i="2"/>
  <c r="K201" i="2"/>
  <c r="F202" i="2"/>
  <c r="G202" i="2"/>
  <c r="K202" i="2"/>
  <c r="F203" i="2"/>
  <c r="G203" i="2"/>
  <c r="A204" i="2" s="1"/>
  <c r="K203" i="2"/>
  <c r="I203" i="2" s="1"/>
  <c r="F204" i="2"/>
  <c r="G204" i="2"/>
  <c r="K204" i="2"/>
  <c r="I204" i="2" s="1"/>
  <c r="F205" i="2"/>
  <c r="G205" i="2"/>
  <c r="A206" i="2" s="1"/>
  <c r="K205" i="2"/>
  <c r="F206" i="2"/>
  <c r="G206" i="2"/>
  <c r="A207" i="2" s="1"/>
  <c r="K206" i="2"/>
  <c r="F207" i="2"/>
  <c r="G207" i="2"/>
  <c r="A208" i="2" s="1"/>
  <c r="K207" i="2"/>
  <c r="I207" i="2" s="1"/>
  <c r="F208" i="2"/>
  <c r="G208" i="2"/>
  <c r="K208" i="2"/>
  <c r="F209" i="2"/>
  <c r="G209" i="2"/>
  <c r="K209" i="2"/>
  <c r="F210" i="2"/>
  <c r="G210" i="2"/>
  <c r="A211" i="2" s="1"/>
  <c r="K210" i="2"/>
  <c r="F211" i="2"/>
  <c r="G211" i="2"/>
  <c r="A212" i="2" s="1"/>
  <c r="K211" i="2"/>
  <c r="F212" i="2"/>
  <c r="G212" i="2"/>
  <c r="K212" i="2"/>
  <c r="F213" i="2"/>
  <c r="G213" i="2"/>
  <c r="A214" i="2" s="1"/>
  <c r="K213" i="2"/>
  <c r="F214" i="2"/>
  <c r="G214" i="2"/>
  <c r="A215" i="2" s="1"/>
  <c r="K214" i="2"/>
  <c r="F215" i="2"/>
  <c r="G215" i="2"/>
  <c r="A216" i="2" s="1"/>
  <c r="K215" i="2"/>
  <c r="I215" i="2" s="1"/>
  <c r="F216" i="2"/>
  <c r="G216" i="2"/>
  <c r="K216" i="2"/>
  <c r="F217" i="2"/>
  <c r="G217" i="2"/>
  <c r="A218" i="2" s="1"/>
  <c r="K217" i="2"/>
  <c r="F218" i="2"/>
  <c r="G218" i="2"/>
  <c r="A219" i="2" s="1"/>
  <c r="K218" i="2"/>
  <c r="F219" i="2"/>
  <c r="G219" i="2"/>
  <c r="A220" i="2" s="1"/>
  <c r="K219" i="2"/>
  <c r="I219" i="2" s="1"/>
  <c r="F220" i="2"/>
  <c r="G220" i="2"/>
  <c r="K220" i="2"/>
  <c r="I220" i="2" s="1"/>
  <c r="F221" i="2"/>
  <c r="G221" i="2"/>
  <c r="K221" i="2"/>
  <c r="F222" i="2"/>
  <c r="G222" i="2"/>
  <c r="K222" i="2"/>
  <c r="F223" i="2"/>
  <c r="G223" i="2"/>
  <c r="A224" i="2" s="1"/>
  <c r="K223" i="2"/>
  <c r="I223" i="2" s="1"/>
  <c r="F224" i="2"/>
  <c r="G224" i="2"/>
  <c r="K224" i="2"/>
  <c r="F225" i="2"/>
  <c r="G225" i="2"/>
  <c r="A226" i="2" s="1"/>
  <c r="K225" i="2"/>
  <c r="F226" i="2"/>
  <c r="G226" i="2"/>
  <c r="A227" i="2" s="1"/>
  <c r="K226" i="2"/>
  <c r="F227" i="2"/>
  <c r="G227" i="2"/>
  <c r="A228" i="2" s="1"/>
  <c r="K227" i="2"/>
  <c r="I227" i="2" s="1"/>
  <c r="F228" i="2"/>
  <c r="G228" i="2"/>
  <c r="K228" i="2"/>
  <c r="F229" i="2"/>
  <c r="G229" i="2"/>
  <c r="K229" i="2"/>
  <c r="F230" i="2"/>
  <c r="G230" i="2"/>
  <c r="A231" i="2" s="1"/>
  <c r="K230" i="2"/>
  <c r="I230" i="2" s="1"/>
  <c r="F231" i="2"/>
  <c r="G231" i="2"/>
  <c r="A232" i="2" s="1"/>
  <c r="K231" i="2"/>
  <c r="I231" i="2" s="1"/>
  <c r="F232" i="2"/>
  <c r="G232" i="2"/>
  <c r="K232" i="2"/>
  <c r="I232" i="2" s="1"/>
  <c r="F233" i="2"/>
  <c r="G233" i="2"/>
  <c r="A234" i="2" s="1"/>
  <c r="K233" i="2"/>
  <c r="F234" i="2"/>
  <c r="G234" i="2"/>
  <c r="A235" i="2" s="1"/>
  <c r="K234" i="2"/>
  <c r="F235" i="2"/>
  <c r="G235" i="2"/>
  <c r="A236" i="2" s="1"/>
  <c r="K235" i="2"/>
  <c r="I235" i="2" s="1"/>
  <c r="F236" i="2"/>
  <c r="G236" i="2"/>
  <c r="K236" i="2"/>
  <c r="I236" i="2" s="1"/>
  <c r="F237" i="2"/>
  <c r="G237" i="2"/>
  <c r="K237" i="2"/>
  <c r="F238" i="2"/>
  <c r="G238" i="2"/>
  <c r="A239" i="2" s="1"/>
  <c r="K238" i="2"/>
  <c r="F239" i="2"/>
  <c r="G239" i="2"/>
  <c r="A240" i="2" s="1"/>
  <c r="K239" i="2"/>
  <c r="I239" i="2" s="1"/>
  <c r="F240" i="2"/>
  <c r="G240" i="2"/>
  <c r="K240" i="2"/>
  <c r="F241" i="2"/>
  <c r="G241" i="2"/>
  <c r="K241" i="2"/>
  <c r="F242" i="2"/>
  <c r="G242" i="2"/>
  <c r="K242" i="2"/>
  <c r="I242" i="2" s="1"/>
  <c r="F243" i="2"/>
  <c r="G243" i="2"/>
  <c r="A244" i="2" s="1"/>
  <c r="K243" i="2"/>
  <c r="I243" i="2" s="1"/>
  <c r="F244" i="2"/>
  <c r="G244" i="2"/>
  <c r="A245" i="2" s="1"/>
  <c r="K244" i="2"/>
  <c r="F245" i="2"/>
  <c r="G245" i="2"/>
  <c r="A246" i="2" s="1"/>
  <c r="K245" i="2"/>
  <c r="F246" i="2"/>
  <c r="G246" i="2"/>
  <c r="K246" i="2"/>
  <c r="I246" i="2" s="1"/>
  <c r="F247" i="2"/>
  <c r="G247" i="2"/>
  <c r="A248" i="2" s="1"/>
  <c r="K247" i="2"/>
  <c r="F248" i="2"/>
  <c r="G248" i="2"/>
  <c r="K248" i="2"/>
  <c r="F249" i="2"/>
  <c r="G249" i="2"/>
  <c r="A250" i="2" s="1"/>
  <c r="K249" i="2"/>
  <c r="I249" i="2" s="1"/>
  <c r="F250" i="2"/>
  <c r="G250" i="2"/>
  <c r="K250" i="2"/>
  <c r="I250" i="2" s="1"/>
  <c r="F251" i="2"/>
  <c r="G251" i="2"/>
  <c r="A252" i="2" s="1"/>
  <c r="K251" i="2"/>
  <c r="F252" i="2"/>
  <c r="G252" i="2"/>
  <c r="K252" i="2"/>
  <c r="F253" i="2"/>
  <c r="G253" i="2"/>
  <c r="A254" i="2" s="1"/>
  <c r="K253" i="2"/>
  <c r="I253" i="2" s="1"/>
  <c r="F254" i="2"/>
  <c r="G254" i="2"/>
  <c r="K254" i="2"/>
  <c r="F255" i="2"/>
  <c r="G255" i="2"/>
  <c r="A256" i="2" s="1"/>
  <c r="K255" i="2"/>
  <c r="F256" i="2"/>
  <c r="G256" i="2"/>
  <c r="A257" i="2" s="1"/>
  <c r="K256" i="2"/>
  <c r="I256" i="2" s="1"/>
  <c r="F257" i="2"/>
  <c r="G257" i="2"/>
  <c r="A258" i="2" s="1"/>
  <c r="K257" i="2"/>
  <c r="I257" i="2" s="1"/>
  <c r="F258" i="2"/>
  <c r="G258" i="2"/>
  <c r="K258" i="2"/>
  <c r="F259" i="2"/>
  <c r="G259" i="2"/>
  <c r="K259" i="2"/>
  <c r="F260" i="2"/>
  <c r="G260" i="2"/>
  <c r="A261" i="2" s="1"/>
  <c r="K260" i="2"/>
  <c r="I260" i="2" s="1"/>
  <c r="F261" i="2"/>
  <c r="G261" i="2"/>
  <c r="A262" i="2" s="1"/>
  <c r="K261" i="2"/>
  <c r="F262" i="2"/>
  <c r="G262" i="2"/>
  <c r="K262" i="2"/>
  <c r="I262" i="2" s="1"/>
  <c r="F263" i="2"/>
  <c r="G263" i="2"/>
  <c r="A264" i="2" s="1"/>
  <c r="K263" i="2"/>
  <c r="F264" i="2"/>
  <c r="G264" i="2"/>
  <c r="A265" i="2" s="1"/>
  <c r="K264" i="2"/>
  <c r="F265" i="2"/>
  <c r="G265" i="2"/>
  <c r="A266" i="2" s="1"/>
  <c r="K265" i="2"/>
  <c r="I265" i="2" s="1"/>
  <c r="F266" i="2"/>
  <c r="G266" i="2"/>
  <c r="K266" i="2"/>
  <c r="I266" i="2" s="1"/>
  <c r="F267" i="2"/>
  <c r="G267" i="2"/>
  <c r="A268" i="2" s="1"/>
  <c r="K267" i="2"/>
  <c r="F268" i="2"/>
  <c r="G268" i="2"/>
  <c r="K268" i="2"/>
  <c r="F269" i="2"/>
  <c r="G269" i="2"/>
  <c r="A270" i="2" s="1"/>
  <c r="K269" i="2"/>
  <c r="I269" i="2" s="1"/>
  <c r="F270" i="2"/>
  <c r="G270" i="2"/>
  <c r="K270" i="2"/>
  <c r="F271" i="2"/>
  <c r="G271" i="2"/>
  <c r="K271" i="2"/>
  <c r="F272" i="2"/>
  <c r="G272" i="2"/>
  <c r="K272" i="2"/>
  <c r="F273" i="2"/>
  <c r="G273" i="2"/>
  <c r="A274" i="2" s="1"/>
  <c r="K273" i="2"/>
  <c r="I273" i="2" s="1"/>
  <c r="F274" i="2"/>
  <c r="G274" i="2"/>
  <c r="K274" i="2"/>
  <c r="F275" i="2"/>
  <c r="G275" i="2"/>
  <c r="A276" i="2" s="1"/>
  <c r="K275" i="2"/>
  <c r="I275" i="2" s="1"/>
  <c r="F276" i="2"/>
  <c r="G276" i="2"/>
  <c r="K276" i="2"/>
  <c r="F277" i="2"/>
  <c r="G277" i="2"/>
  <c r="K277" i="2"/>
  <c r="I277" i="2" s="1"/>
  <c r="F278" i="2"/>
  <c r="G278" i="2"/>
  <c r="K278" i="2"/>
  <c r="I278" i="2" s="1"/>
  <c r="F279" i="2"/>
  <c r="G279" i="2"/>
  <c r="K279" i="2"/>
  <c r="I279" i="2" s="1"/>
  <c r="F280" i="2"/>
  <c r="G280" i="2"/>
  <c r="K280" i="2"/>
  <c r="F281" i="2"/>
  <c r="G281" i="2"/>
  <c r="K281" i="2"/>
  <c r="I281" i="2" s="1"/>
  <c r="F282" i="2"/>
  <c r="G282" i="2"/>
  <c r="K282" i="2"/>
  <c r="I282" i="2" s="1"/>
  <c r="F283" i="2"/>
  <c r="G283" i="2"/>
  <c r="K283" i="2"/>
  <c r="I283" i="2" s="1"/>
  <c r="F284" i="2"/>
  <c r="G284" i="2"/>
  <c r="A285" i="2" s="1"/>
  <c r="K284" i="2"/>
  <c r="F285" i="2"/>
  <c r="G285" i="2"/>
  <c r="A286" i="2" s="1"/>
  <c r="K285" i="2"/>
  <c r="I285" i="2" s="1"/>
  <c r="F286" i="2"/>
  <c r="G286" i="2"/>
  <c r="K286" i="2"/>
  <c r="I286" i="2" s="1"/>
  <c r="F287" i="2"/>
  <c r="G287" i="2"/>
  <c r="K287" i="2"/>
  <c r="I287" i="2" s="1"/>
  <c r="F288" i="2"/>
  <c r="G288" i="2"/>
  <c r="A289" i="2" s="1"/>
  <c r="K288" i="2"/>
  <c r="F289" i="2"/>
  <c r="G289" i="2"/>
  <c r="K289" i="2"/>
  <c r="I289" i="2" s="1"/>
  <c r="F290" i="2"/>
  <c r="G290" i="2"/>
  <c r="K290" i="2"/>
  <c r="I290" i="2" s="1"/>
  <c r="F291" i="2"/>
  <c r="G291" i="2"/>
  <c r="K291" i="2"/>
  <c r="I291" i="2" s="1"/>
  <c r="F292" i="2"/>
  <c r="G292" i="2"/>
  <c r="A293" i="2" s="1"/>
  <c r="K292" i="2"/>
  <c r="F293" i="2"/>
  <c r="G293" i="2"/>
  <c r="A294" i="2" s="1"/>
  <c r="K293" i="2"/>
  <c r="I293" i="2" s="1"/>
  <c r="F294" i="2"/>
  <c r="G294" i="2"/>
  <c r="K294" i="2"/>
  <c r="I294" i="2" s="1"/>
  <c r="F295" i="2"/>
  <c r="G295" i="2"/>
  <c r="K295" i="2"/>
  <c r="I295" i="2" s="1"/>
  <c r="F296" i="2"/>
  <c r="G296" i="2"/>
  <c r="K296" i="2"/>
  <c r="F297" i="2"/>
  <c r="G297" i="2"/>
  <c r="K297" i="2"/>
  <c r="I297" i="2" s="1"/>
  <c r="F298" i="2"/>
  <c r="G298" i="2"/>
  <c r="K298" i="2"/>
  <c r="I298" i="2" s="1"/>
  <c r="F299" i="2"/>
  <c r="G299" i="2"/>
  <c r="K299" i="2"/>
  <c r="I299" i="2" s="1"/>
  <c r="F300" i="2"/>
  <c r="G300" i="2"/>
  <c r="A301" i="2" s="1"/>
  <c r="K300" i="2"/>
  <c r="F301" i="2"/>
  <c r="G301" i="2"/>
  <c r="A302" i="2" s="1"/>
  <c r="K301" i="2"/>
  <c r="I301" i="2" s="1"/>
  <c r="F302" i="2"/>
  <c r="G302" i="2"/>
  <c r="K302" i="2"/>
  <c r="I302" i="2" s="1"/>
  <c r="F303" i="2"/>
  <c r="G303" i="2"/>
  <c r="K303" i="2"/>
  <c r="I303" i="2" s="1"/>
  <c r="F304" i="2"/>
  <c r="G304" i="2"/>
  <c r="A305" i="2" s="1"/>
  <c r="K304" i="2"/>
  <c r="F305" i="2"/>
  <c r="G305" i="2"/>
  <c r="K305" i="2"/>
  <c r="I305" i="2" s="1"/>
  <c r="F306" i="2"/>
  <c r="G306" i="2"/>
  <c r="K306" i="2"/>
  <c r="I306" i="2" s="1"/>
  <c r="F307" i="2"/>
  <c r="G307" i="2"/>
  <c r="K307" i="2"/>
  <c r="I307" i="2" s="1"/>
  <c r="F308" i="2"/>
  <c r="G308" i="2"/>
  <c r="A309" i="2" s="1"/>
  <c r="K308" i="2"/>
  <c r="F309" i="2"/>
  <c r="G309" i="2"/>
  <c r="A310" i="2" s="1"/>
  <c r="K309" i="2"/>
  <c r="I309" i="2" s="1"/>
  <c r="F310" i="2"/>
  <c r="G310" i="2"/>
  <c r="K310" i="2"/>
  <c r="I310" i="2" s="1"/>
  <c r="F311" i="2"/>
  <c r="G311" i="2"/>
  <c r="K311" i="2"/>
  <c r="I311" i="2" s="1"/>
  <c r="F312" i="2"/>
  <c r="G312" i="2"/>
  <c r="K312" i="2"/>
  <c r="F313" i="2"/>
  <c r="G313" i="2"/>
  <c r="K313" i="2"/>
  <c r="I313" i="2" s="1"/>
  <c r="F314" i="2"/>
  <c r="G314" i="2"/>
  <c r="K314" i="2"/>
  <c r="I314" i="2" s="1"/>
  <c r="F315" i="2"/>
  <c r="G315" i="2"/>
  <c r="K315" i="2"/>
  <c r="I315" i="2" s="1"/>
  <c r="F316" i="2"/>
  <c r="G316" i="2"/>
  <c r="A317" i="2" s="1"/>
  <c r="K316" i="2"/>
  <c r="F317" i="2"/>
  <c r="G317" i="2"/>
  <c r="A318" i="2" s="1"/>
  <c r="K317" i="2"/>
  <c r="I317" i="2" s="1"/>
  <c r="F318" i="2"/>
  <c r="G318" i="2"/>
  <c r="K318" i="2"/>
  <c r="I318" i="2" s="1"/>
  <c r="F319" i="2"/>
  <c r="G319" i="2"/>
  <c r="K319" i="2"/>
  <c r="I319" i="2" s="1"/>
  <c r="F320" i="2"/>
  <c r="G320" i="2"/>
  <c r="A321" i="2" s="1"/>
  <c r="K320" i="2"/>
  <c r="F321" i="2"/>
  <c r="G321" i="2"/>
  <c r="A322" i="2" s="1"/>
  <c r="K321" i="2"/>
  <c r="I321" i="2" s="1"/>
  <c r="F322" i="2"/>
  <c r="G322" i="2"/>
  <c r="K322" i="2"/>
  <c r="I322" i="2" s="1"/>
  <c r="F323" i="2"/>
  <c r="G323" i="2"/>
  <c r="A324" i="2" s="1"/>
  <c r="K323" i="2"/>
  <c r="F324" i="2"/>
  <c r="G324" i="2"/>
  <c r="A325" i="2" s="1"/>
  <c r="K324" i="2"/>
  <c r="F325" i="2"/>
  <c r="G325" i="2"/>
  <c r="A326" i="2" s="1"/>
  <c r="K325" i="2"/>
  <c r="I325" i="2" s="1"/>
  <c r="F326" i="2"/>
  <c r="G326" i="2"/>
  <c r="K326" i="2"/>
  <c r="F327" i="2"/>
  <c r="G327" i="2"/>
  <c r="A328" i="2" s="1"/>
  <c r="K327" i="2"/>
  <c r="I327" i="2" s="1"/>
  <c r="F328" i="2"/>
  <c r="G328" i="2"/>
  <c r="K328" i="2"/>
  <c r="F329" i="2"/>
  <c r="G329" i="2"/>
  <c r="A330" i="2" s="1"/>
  <c r="K329" i="2"/>
  <c r="I329" i="2" s="1"/>
  <c r="F330" i="2"/>
  <c r="G330" i="2"/>
  <c r="K330" i="2"/>
  <c r="F331" i="2"/>
  <c r="G331" i="2"/>
  <c r="A332" i="2" s="1"/>
  <c r="K331" i="2"/>
  <c r="I331" i="2" s="1"/>
  <c r="F332" i="2"/>
  <c r="G332" i="2"/>
  <c r="K332" i="2"/>
  <c r="F333" i="2"/>
  <c r="G333" i="2"/>
  <c r="A334" i="2" s="1"/>
  <c r="K333" i="2"/>
  <c r="I333" i="2" s="1"/>
  <c r="F334" i="2"/>
  <c r="G334" i="2"/>
  <c r="K334" i="2"/>
  <c r="F335" i="2"/>
  <c r="G335" i="2"/>
  <c r="K335" i="2"/>
  <c r="I335" i="2" s="1"/>
  <c r="F336" i="2"/>
  <c r="G336" i="2"/>
  <c r="K336" i="2"/>
  <c r="F337" i="2"/>
  <c r="G337" i="2"/>
  <c r="A338" i="2" s="1"/>
  <c r="K337" i="2"/>
  <c r="I337" i="2" s="1"/>
  <c r="F338" i="2"/>
  <c r="G338" i="2"/>
  <c r="K338" i="2"/>
  <c r="I338" i="2" s="1"/>
  <c r="F339" i="2"/>
  <c r="G339" i="2"/>
  <c r="K339" i="2"/>
  <c r="I339" i="2" s="1"/>
  <c r="F340" i="2"/>
  <c r="G340" i="2"/>
  <c r="A341" i="2" s="1"/>
  <c r="K340" i="2"/>
  <c r="F341" i="2"/>
  <c r="G341" i="2"/>
  <c r="K341" i="2"/>
  <c r="I341" i="2" s="1"/>
  <c r="F342" i="2"/>
  <c r="G342" i="2"/>
  <c r="A343" i="2" s="1"/>
  <c r="K342" i="2"/>
  <c r="I342" i="2" s="1"/>
  <c r="F343" i="2"/>
  <c r="G343" i="2"/>
  <c r="A344" i="2" s="1"/>
  <c r="K343" i="2"/>
  <c r="F344" i="2"/>
  <c r="G344" i="2"/>
  <c r="A345" i="2" s="1"/>
  <c r="K344" i="2"/>
  <c r="I344" i="2" s="1"/>
  <c r="F345" i="2"/>
  <c r="G345" i="2"/>
  <c r="K345" i="2"/>
  <c r="F346" i="2"/>
  <c r="G346" i="2"/>
  <c r="K346" i="2"/>
  <c r="I346" i="2" s="1"/>
  <c r="F347" i="2"/>
  <c r="G347" i="2"/>
  <c r="K347" i="2"/>
  <c r="F348" i="2"/>
  <c r="G348" i="2"/>
  <c r="A349" i="2" s="1"/>
  <c r="K348" i="2"/>
  <c r="I348" i="2" s="1"/>
  <c r="F349" i="2"/>
  <c r="G349" i="2"/>
  <c r="K349" i="2"/>
  <c r="I349" i="2" s="1"/>
  <c r="F350" i="2"/>
  <c r="G350" i="2"/>
  <c r="A351" i="2" s="1"/>
  <c r="K350" i="2"/>
  <c r="I350" i="2" s="1"/>
  <c r="F351" i="2"/>
  <c r="G351" i="2"/>
  <c r="K351" i="2"/>
  <c r="F352" i="2"/>
  <c r="G352" i="2"/>
  <c r="A353" i="2" s="1"/>
  <c r="K352" i="2"/>
  <c r="I352" i="2" s="1"/>
  <c r="F353" i="2"/>
  <c r="G353" i="2"/>
  <c r="K353" i="2"/>
  <c r="F354" i="2"/>
  <c r="G354" i="2"/>
  <c r="K354" i="2"/>
  <c r="I354" i="2" s="1"/>
  <c r="F355" i="2"/>
  <c r="G355" i="2"/>
  <c r="K355" i="2"/>
  <c r="F356" i="2"/>
  <c r="G356" i="2"/>
  <c r="A357" i="2" s="1"/>
  <c r="K356" i="2"/>
  <c r="I356" i="2" s="1"/>
  <c r="F357" i="2"/>
  <c r="G357" i="2"/>
  <c r="K357" i="2"/>
  <c r="F358" i="2"/>
  <c r="G358" i="2"/>
  <c r="K358" i="2"/>
  <c r="I358" i="2" s="1"/>
  <c r="F359" i="2"/>
  <c r="G359" i="2"/>
  <c r="A360" i="2" s="1"/>
  <c r="K359" i="2"/>
  <c r="F360" i="2"/>
  <c r="G360" i="2"/>
  <c r="A361" i="2" s="1"/>
  <c r="K360" i="2"/>
  <c r="I360" i="2" s="1"/>
  <c r="F361" i="2"/>
  <c r="G361" i="2"/>
  <c r="K361" i="2"/>
  <c r="F362" i="2"/>
  <c r="G362" i="2"/>
  <c r="A363" i="2" s="1"/>
  <c r="K362" i="2"/>
  <c r="I362" i="2" s="1"/>
  <c r="F363" i="2"/>
  <c r="G363" i="2"/>
  <c r="K363" i="2"/>
  <c r="F364" i="2"/>
  <c r="G364" i="2"/>
  <c r="A365" i="2" s="1"/>
  <c r="K364" i="2"/>
  <c r="F365" i="2"/>
  <c r="G365" i="2"/>
  <c r="K365" i="2"/>
  <c r="I365" i="2" s="1"/>
  <c r="F366" i="2"/>
  <c r="G366" i="2"/>
  <c r="A367" i="2" s="1"/>
  <c r="K366" i="2"/>
  <c r="F367" i="2"/>
  <c r="G367" i="2"/>
  <c r="K367" i="2"/>
  <c r="F368" i="2"/>
  <c r="G368" i="2"/>
  <c r="A369" i="2" s="1"/>
  <c r="K368" i="2"/>
  <c r="I368" i="2" s="1"/>
  <c r="F369" i="2"/>
  <c r="G369" i="2"/>
  <c r="K369" i="2"/>
  <c r="F370" i="2"/>
  <c r="G370" i="2"/>
  <c r="K370" i="2"/>
  <c r="I370" i="2" s="1"/>
  <c r="F371" i="2"/>
  <c r="G371" i="2"/>
  <c r="A372" i="2" s="1"/>
  <c r="K371" i="2"/>
  <c r="F372" i="2"/>
  <c r="G372" i="2"/>
  <c r="A373" i="2" s="1"/>
  <c r="K372" i="2"/>
  <c r="I372" i="2" s="1"/>
  <c r="F373" i="2"/>
  <c r="G373" i="2"/>
  <c r="K373" i="2"/>
  <c r="F374" i="2"/>
  <c r="G374" i="2"/>
  <c r="A375" i="2" s="1"/>
  <c r="K374" i="2"/>
  <c r="I374" i="2" s="1"/>
  <c r="F375" i="2"/>
  <c r="G375" i="2"/>
  <c r="A376" i="2" s="1"/>
  <c r="K375" i="2"/>
  <c r="F376" i="2"/>
  <c r="G376" i="2"/>
  <c r="A377" i="2" s="1"/>
  <c r="K376" i="2"/>
  <c r="I376" i="2" s="1"/>
  <c r="F377" i="2"/>
  <c r="G377" i="2"/>
  <c r="K377" i="2"/>
  <c r="F378" i="2"/>
  <c r="G378" i="2"/>
  <c r="A379" i="2" s="1"/>
  <c r="K378" i="2"/>
  <c r="I378" i="2" s="1"/>
  <c r="F379" i="2"/>
  <c r="G379" i="2"/>
  <c r="A380" i="2" s="1"/>
  <c r="K379" i="2"/>
  <c r="I379" i="2" s="1"/>
  <c r="F380" i="2"/>
  <c r="G380" i="2"/>
  <c r="K380" i="2"/>
  <c r="F381" i="2"/>
  <c r="G381" i="2"/>
  <c r="A382" i="2" s="1"/>
  <c r="K381" i="2"/>
  <c r="F382" i="2"/>
  <c r="G382" i="2"/>
  <c r="A383" i="2" s="1"/>
  <c r="K382" i="2"/>
  <c r="F383" i="2"/>
  <c r="G383" i="2"/>
  <c r="A384" i="2" s="1"/>
  <c r="K383" i="2"/>
  <c r="I383" i="2" s="1"/>
  <c r="F384" i="2"/>
  <c r="G384" i="2"/>
  <c r="K384" i="2"/>
  <c r="I384" i="2" s="1"/>
  <c r="F385" i="2"/>
  <c r="G385" i="2"/>
  <c r="A386" i="2" s="1"/>
  <c r="K385" i="2"/>
  <c r="F386" i="2"/>
  <c r="G386" i="2"/>
  <c r="A387" i="2" s="1"/>
  <c r="K386" i="2"/>
  <c r="F387" i="2"/>
  <c r="G387" i="2"/>
  <c r="A388" i="2" s="1"/>
  <c r="K387" i="2"/>
  <c r="I387" i="2" s="1"/>
  <c r="F388" i="2"/>
  <c r="G388" i="2"/>
  <c r="K388" i="2"/>
  <c r="I388" i="2" s="1"/>
  <c r="F389" i="2"/>
  <c r="G389" i="2"/>
  <c r="A390" i="2" s="1"/>
  <c r="K389" i="2"/>
  <c r="F390" i="2"/>
  <c r="G390" i="2"/>
  <c r="A391" i="2" s="1"/>
  <c r="K390" i="2"/>
  <c r="F391" i="2"/>
  <c r="G391" i="2"/>
  <c r="A392" i="2" s="1"/>
  <c r="K391" i="2"/>
  <c r="F392" i="2"/>
  <c r="G392" i="2"/>
  <c r="K392" i="2"/>
  <c r="I392" i="2" s="1"/>
  <c r="F393" i="2"/>
  <c r="G393" i="2"/>
  <c r="K393" i="2"/>
  <c r="F394" i="2"/>
  <c r="G394" i="2"/>
  <c r="A395" i="2" s="1"/>
  <c r="K394" i="2"/>
  <c r="F395" i="2"/>
  <c r="G395" i="2"/>
  <c r="A396" i="2" s="1"/>
  <c r="K395" i="2"/>
  <c r="I395" i="2" s="1"/>
  <c r="F396" i="2"/>
  <c r="G396" i="2"/>
  <c r="K396" i="2"/>
  <c r="I396" i="2" s="1"/>
  <c r="F397" i="2"/>
  <c r="G397" i="2"/>
  <c r="A398" i="2" s="1"/>
  <c r="K397" i="2"/>
  <c r="F398" i="2"/>
  <c r="G398" i="2"/>
  <c r="K398" i="2"/>
  <c r="F399" i="2"/>
  <c r="G399" i="2"/>
  <c r="A400" i="2" s="1"/>
  <c r="K399" i="2"/>
  <c r="I399" i="2" s="1"/>
  <c r="F400" i="2"/>
  <c r="G400" i="2"/>
  <c r="K400" i="2"/>
  <c r="I400" i="2" s="1"/>
  <c r="F401" i="2"/>
  <c r="G401" i="2"/>
  <c r="K401" i="2"/>
  <c r="F402" i="2"/>
  <c r="G402" i="2"/>
  <c r="K402" i="2"/>
  <c r="F403" i="2"/>
  <c r="G403" i="2"/>
  <c r="A404" i="2" s="1"/>
  <c r="K403" i="2"/>
  <c r="I403" i="2" s="1"/>
  <c r="F404" i="2"/>
  <c r="G404" i="2"/>
  <c r="K404" i="2"/>
  <c r="I404" i="2" s="1"/>
  <c r="F405" i="2"/>
  <c r="G405" i="2"/>
  <c r="A406" i="2" s="1"/>
  <c r="K405" i="2"/>
  <c r="F406" i="2"/>
  <c r="G406" i="2"/>
  <c r="A407" i="2" s="1"/>
  <c r="K406" i="2"/>
  <c r="I406" i="2" s="1"/>
  <c r="F407" i="2"/>
  <c r="G407" i="2"/>
  <c r="A408" i="2" s="1"/>
  <c r="K407" i="2"/>
  <c r="F408" i="2"/>
  <c r="G408" i="2"/>
  <c r="K408" i="2"/>
  <c r="I408" i="2" s="1"/>
  <c r="F409" i="2"/>
  <c r="G409" i="2"/>
  <c r="K409" i="2"/>
  <c r="F410" i="2"/>
  <c r="G410" i="2"/>
  <c r="A411" i="2" s="1"/>
  <c r="K410" i="2"/>
  <c r="I410" i="2" s="1"/>
  <c r="F411" i="2"/>
  <c r="G411" i="2"/>
  <c r="A412" i="2" s="1"/>
  <c r="K411" i="2"/>
  <c r="F412" i="2"/>
  <c r="G412" i="2"/>
  <c r="K412" i="2"/>
  <c r="F413" i="2"/>
  <c r="G413" i="2"/>
  <c r="K413" i="2"/>
  <c r="F414" i="2"/>
  <c r="G414" i="2"/>
  <c r="A415" i="2" s="1"/>
  <c r="K414" i="2"/>
  <c r="F415" i="2"/>
  <c r="G415" i="2"/>
  <c r="A416" i="2" s="1"/>
  <c r="K415" i="2"/>
  <c r="I415" i="2" s="1"/>
  <c r="F416" i="2"/>
  <c r="G416" i="2"/>
  <c r="K416" i="2"/>
  <c r="I416" i="2" s="1"/>
  <c r="F417" i="2"/>
  <c r="G417" i="2"/>
  <c r="A418" i="2" s="1"/>
  <c r="K417" i="2"/>
  <c r="F418" i="2"/>
  <c r="G418" i="2"/>
  <c r="A419" i="2" s="1"/>
  <c r="K418" i="2"/>
  <c r="F419" i="2"/>
  <c r="G419" i="2"/>
  <c r="A420" i="2" s="1"/>
  <c r="K419" i="2"/>
  <c r="I419" i="2" s="1"/>
  <c r="F420" i="2"/>
  <c r="G420" i="2"/>
  <c r="K420" i="2"/>
  <c r="I420" i="2" s="1"/>
  <c r="F421" i="2"/>
  <c r="G421" i="2"/>
  <c r="A422" i="2" s="1"/>
  <c r="K421" i="2"/>
  <c r="F422" i="2"/>
  <c r="G422" i="2"/>
  <c r="A423" i="2" s="1"/>
  <c r="K422" i="2"/>
  <c r="F423" i="2"/>
  <c r="G423" i="2"/>
  <c r="A424" i="2" s="1"/>
  <c r="K423" i="2"/>
  <c r="F424" i="2"/>
  <c r="G424" i="2"/>
  <c r="K424" i="2"/>
  <c r="I424" i="2" s="1"/>
  <c r="F425" i="2"/>
  <c r="G425" i="2"/>
  <c r="K425" i="2"/>
  <c r="F426" i="2"/>
  <c r="G426" i="2"/>
  <c r="K426" i="2"/>
  <c r="F427" i="2"/>
  <c r="G427" i="2"/>
  <c r="A428" i="2" s="1"/>
  <c r="K427" i="2"/>
  <c r="I427" i="2" s="1"/>
  <c r="F428" i="2"/>
  <c r="G428" i="2"/>
  <c r="K428" i="2"/>
  <c r="I428" i="2" s="1"/>
  <c r="F429" i="2"/>
  <c r="G429" i="2"/>
  <c r="A430" i="2" s="1"/>
  <c r="K429" i="2"/>
  <c r="F430" i="2"/>
  <c r="G430" i="2"/>
  <c r="A431" i="2" s="1"/>
  <c r="K430" i="2"/>
  <c r="I430" i="2" s="1"/>
  <c r="F431" i="2"/>
  <c r="G431" i="2"/>
  <c r="A432" i="2" s="1"/>
  <c r="K431" i="2"/>
  <c r="I431" i="2" s="1"/>
  <c r="F432" i="2"/>
  <c r="G432" i="2"/>
  <c r="K432" i="2"/>
  <c r="I432" i="2" s="1"/>
  <c r="F433" i="2"/>
  <c r="G433" i="2"/>
  <c r="K433" i="2"/>
  <c r="F434" i="2"/>
  <c r="G434" i="2"/>
  <c r="K434" i="2"/>
  <c r="I434" i="2" s="1"/>
  <c r="F435" i="2"/>
  <c r="G435" i="2"/>
  <c r="A436" i="2" s="1"/>
  <c r="K435" i="2"/>
  <c r="I435" i="2" s="1"/>
  <c r="F436" i="2"/>
  <c r="G436" i="2"/>
  <c r="K436" i="2"/>
  <c r="I436" i="2" s="1"/>
  <c r="F437" i="2"/>
  <c r="G437" i="2"/>
  <c r="K437" i="2"/>
  <c r="F438" i="2"/>
  <c r="G438" i="2"/>
  <c r="K438" i="2"/>
  <c r="F439" i="2"/>
  <c r="G439" i="2"/>
  <c r="A440" i="2" s="1"/>
  <c r="K439" i="2"/>
  <c r="I439" i="2" s="1"/>
  <c r="F440" i="2"/>
  <c r="G440" i="2"/>
  <c r="K440" i="2"/>
  <c r="I440" i="2" s="1"/>
  <c r="F441" i="2"/>
  <c r="G441" i="2"/>
  <c r="K441" i="2"/>
  <c r="F442" i="2"/>
  <c r="G442" i="2"/>
  <c r="K442" i="2"/>
  <c r="F443" i="2"/>
  <c r="G443" i="2"/>
  <c r="A444" i="2" s="1"/>
  <c r="K443" i="2"/>
  <c r="I443" i="2" s="1"/>
  <c r="F444" i="2"/>
  <c r="G444" i="2"/>
  <c r="K444" i="2"/>
  <c r="F445" i="2"/>
  <c r="G445" i="2"/>
  <c r="K445" i="2"/>
  <c r="F446" i="2"/>
  <c r="G446" i="2"/>
  <c r="A447" i="2" s="1"/>
  <c r="K446" i="2"/>
  <c r="F447" i="2"/>
  <c r="G447" i="2"/>
  <c r="A448" i="2" s="1"/>
  <c r="K447" i="2"/>
  <c r="I447" i="2" s="1"/>
  <c r="F448" i="2"/>
  <c r="G448" i="2"/>
  <c r="K448" i="2"/>
  <c r="I448" i="2" s="1"/>
  <c r="F449" i="2"/>
  <c r="G449" i="2"/>
  <c r="K449" i="2"/>
  <c r="F450" i="2"/>
  <c r="G450" i="2"/>
  <c r="K450" i="2"/>
  <c r="F451" i="2"/>
  <c r="G451" i="2"/>
  <c r="A452" i="2" s="1"/>
  <c r="K451" i="2"/>
  <c r="I451" i="2" s="1"/>
  <c r="F452" i="2"/>
  <c r="G452" i="2"/>
  <c r="K452" i="2"/>
  <c r="I452" i="2" s="1"/>
  <c r="F453" i="2"/>
  <c r="G453" i="2"/>
  <c r="A454" i="2" s="1"/>
  <c r="K453" i="2"/>
  <c r="F454" i="2"/>
  <c r="G454" i="2"/>
  <c r="A455" i="2" s="1"/>
  <c r="K454" i="2"/>
  <c r="F455" i="2"/>
  <c r="G455" i="2"/>
  <c r="A456" i="2" s="1"/>
  <c r="K455" i="2"/>
  <c r="F456" i="2"/>
  <c r="G456" i="2"/>
  <c r="K456" i="2"/>
  <c r="I456" i="2" s="1"/>
  <c r="F457" i="2"/>
  <c r="G457" i="2"/>
  <c r="K457" i="2"/>
  <c r="F458" i="2"/>
  <c r="G458" i="2"/>
  <c r="K458" i="2"/>
  <c r="F459" i="2"/>
  <c r="G459" i="2"/>
  <c r="A460" i="2" s="1"/>
  <c r="K459" i="2"/>
  <c r="I459" i="2" s="1"/>
  <c r="F460" i="2"/>
  <c r="G460" i="2"/>
  <c r="K460" i="2"/>
  <c r="I460" i="2" s="1"/>
  <c r="F461" i="2"/>
  <c r="G461" i="2"/>
  <c r="K461" i="2"/>
  <c r="F462" i="2"/>
  <c r="G462" i="2"/>
  <c r="K462" i="2"/>
  <c r="I462" i="2" s="1"/>
  <c r="F463" i="2"/>
  <c r="G463" i="2"/>
  <c r="A464" i="2" s="1"/>
  <c r="K463" i="2"/>
  <c r="I463" i="2" s="1"/>
  <c r="F464" i="2"/>
  <c r="G464" i="2"/>
  <c r="K464" i="2"/>
  <c r="I464" i="2" s="1"/>
  <c r="F465" i="2"/>
  <c r="G465" i="2"/>
  <c r="K465" i="2"/>
  <c r="F466" i="2"/>
  <c r="G466" i="2"/>
  <c r="A467" i="2" s="1"/>
  <c r="K466" i="2"/>
  <c r="F467" i="2"/>
  <c r="G467" i="2"/>
  <c r="A468" i="2" s="1"/>
  <c r="K467" i="2"/>
  <c r="I467" i="2" s="1"/>
  <c r="F468" i="2"/>
  <c r="G468" i="2"/>
  <c r="K468" i="2"/>
  <c r="I468" i="2" s="1"/>
  <c r="F469" i="2"/>
  <c r="G469" i="2"/>
  <c r="A470" i="2" s="1"/>
  <c r="K469" i="2"/>
  <c r="F470" i="2"/>
  <c r="G470" i="2"/>
  <c r="A471" i="2" s="1"/>
  <c r="K470" i="2"/>
  <c r="F471" i="2"/>
  <c r="G471" i="2"/>
  <c r="A472" i="2" s="1"/>
  <c r="K471" i="2"/>
  <c r="I471" i="2" s="1"/>
  <c r="F472" i="2"/>
  <c r="G472" i="2"/>
  <c r="K472" i="2"/>
  <c r="I472" i="2" s="1"/>
  <c r="F473" i="2"/>
  <c r="G473" i="2"/>
  <c r="K473" i="2"/>
  <c r="F474" i="2"/>
  <c r="G474" i="2"/>
  <c r="K474" i="2"/>
  <c r="I474" i="2" s="1"/>
  <c r="F475" i="2"/>
  <c r="G475" i="2"/>
  <c r="A476" i="2" s="1"/>
  <c r="K475" i="2"/>
  <c r="I475" i="2" s="1"/>
  <c r="F476" i="2"/>
  <c r="G476" i="2"/>
  <c r="K476" i="2"/>
  <c r="F477" i="2"/>
  <c r="G477" i="2"/>
  <c r="A478" i="2" s="1"/>
  <c r="K477" i="2"/>
  <c r="F478" i="2"/>
  <c r="G478" i="2"/>
  <c r="K478" i="2"/>
  <c r="A479" i="2"/>
  <c r="F479" i="2"/>
  <c r="G479" i="2"/>
  <c r="A480" i="2" s="1"/>
  <c r="K479" i="2"/>
  <c r="I479" i="2" s="1"/>
  <c r="F480" i="2"/>
  <c r="G480" i="2"/>
  <c r="K480" i="2"/>
  <c r="I480" i="2" s="1"/>
  <c r="F481" i="2"/>
  <c r="G481" i="2"/>
  <c r="K481" i="2"/>
  <c r="F482" i="2"/>
  <c r="G482" i="2"/>
  <c r="K482" i="2"/>
  <c r="F483" i="2"/>
  <c r="G483" i="2"/>
  <c r="A484" i="2" s="1"/>
  <c r="K483" i="2"/>
  <c r="I483" i="2" s="1"/>
  <c r="F484" i="2"/>
  <c r="G484" i="2"/>
  <c r="K484" i="2"/>
  <c r="I484" i="2" s="1"/>
  <c r="F485" i="2"/>
  <c r="G485" i="2"/>
  <c r="A486" i="2" s="1"/>
  <c r="K485" i="2"/>
  <c r="F486" i="2"/>
  <c r="G486" i="2"/>
  <c r="A487" i="2" s="1"/>
  <c r="K486" i="2"/>
  <c r="F487" i="2"/>
  <c r="G487" i="2"/>
  <c r="A488" i="2" s="1"/>
  <c r="K487" i="2"/>
  <c r="I487" i="2" s="1"/>
  <c r="F488" i="2"/>
  <c r="G488" i="2"/>
  <c r="K488" i="2"/>
  <c r="I488" i="2" s="1"/>
  <c r="F489" i="2"/>
  <c r="G489" i="2"/>
  <c r="K489" i="2"/>
  <c r="F490" i="2"/>
  <c r="G490" i="2"/>
  <c r="A491" i="2" s="1"/>
  <c r="K490" i="2"/>
  <c r="F491" i="2"/>
  <c r="G491" i="2"/>
  <c r="A492" i="2" s="1"/>
  <c r="K491" i="2"/>
  <c r="F492" i="2"/>
  <c r="G492" i="2"/>
  <c r="K492" i="2"/>
  <c r="I492" i="2" s="1"/>
  <c r="F493" i="2"/>
  <c r="G493" i="2"/>
  <c r="K493" i="2"/>
  <c r="F494" i="2"/>
  <c r="G494" i="2"/>
  <c r="A495" i="2" s="1"/>
  <c r="K494" i="2"/>
  <c r="F495" i="2"/>
  <c r="G495" i="2"/>
  <c r="A496" i="2" s="1"/>
  <c r="K495" i="2"/>
  <c r="I495" i="2" s="1"/>
  <c r="F496" i="2"/>
  <c r="G496" i="2"/>
  <c r="K496" i="2"/>
  <c r="I496" i="2" s="1"/>
  <c r="F497" i="2"/>
  <c r="G497" i="2"/>
  <c r="A498" i="2" s="1"/>
  <c r="K497" i="2"/>
  <c r="F498" i="2"/>
  <c r="G498" i="2"/>
  <c r="A499" i="2" s="1"/>
  <c r="K498" i="2"/>
  <c r="I498" i="2" s="1"/>
  <c r="F499" i="2"/>
  <c r="G499" i="2"/>
  <c r="A500" i="2" s="1"/>
  <c r="K499" i="2"/>
  <c r="I499" i="2" s="1"/>
  <c r="F500" i="2"/>
  <c r="G500" i="2"/>
  <c r="K500" i="2"/>
  <c r="I500" i="2" s="1"/>
  <c r="F201" i="3"/>
  <c r="G201" i="3"/>
  <c r="A202" i="3" s="1"/>
  <c r="K201" i="3"/>
  <c r="I201" i="3" s="1"/>
  <c r="F202" i="3"/>
  <c r="G202" i="3"/>
  <c r="K202" i="3"/>
  <c r="I202" i="3" s="1"/>
  <c r="F203" i="3"/>
  <c r="G203" i="3"/>
  <c r="K203" i="3"/>
  <c r="I203" i="3" s="1"/>
  <c r="F204" i="3"/>
  <c r="G204" i="3"/>
  <c r="K204" i="3"/>
  <c r="F205" i="3"/>
  <c r="G205" i="3"/>
  <c r="K205" i="3"/>
  <c r="F206" i="3"/>
  <c r="G206" i="3"/>
  <c r="K206" i="3"/>
  <c r="I206" i="3" s="1"/>
  <c r="F207" i="3"/>
  <c r="G207" i="3"/>
  <c r="K207" i="3"/>
  <c r="I207" i="3" s="1"/>
  <c r="F208" i="3"/>
  <c r="G208" i="3"/>
  <c r="K208" i="3"/>
  <c r="I208" i="3" s="1"/>
  <c r="F209" i="3"/>
  <c r="G209" i="3"/>
  <c r="A210" i="3" s="1"/>
  <c r="K209" i="3"/>
  <c r="F210" i="3"/>
  <c r="G210" i="3"/>
  <c r="A211" i="3" s="1"/>
  <c r="K210" i="3"/>
  <c r="I210" i="3" s="1"/>
  <c r="F211" i="3"/>
  <c r="G211" i="3"/>
  <c r="K211" i="3"/>
  <c r="I211" i="3" s="1"/>
  <c r="F212" i="3"/>
  <c r="G212" i="3"/>
  <c r="K212" i="3"/>
  <c r="I212" i="3" s="1"/>
  <c r="F213" i="3"/>
  <c r="G213" i="3"/>
  <c r="K213" i="3"/>
  <c r="F214" i="3"/>
  <c r="G214" i="3"/>
  <c r="K214" i="3"/>
  <c r="I214" i="3" s="1"/>
  <c r="F215" i="3"/>
  <c r="G215" i="3"/>
  <c r="K215" i="3"/>
  <c r="F216" i="3"/>
  <c r="G216" i="3"/>
  <c r="A217" i="3" s="1"/>
  <c r="K216" i="3"/>
  <c r="I216" i="3" s="1"/>
  <c r="F217" i="3"/>
  <c r="G217" i="3"/>
  <c r="A218" i="3" s="1"/>
  <c r="K217" i="3"/>
  <c r="F218" i="3"/>
  <c r="G218" i="3"/>
  <c r="A219" i="3" s="1"/>
  <c r="K218" i="3"/>
  <c r="I218" i="3" s="1"/>
  <c r="F219" i="3"/>
  <c r="G219" i="3"/>
  <c r="K219" i="3"/>
  <c r="I219" i="3" s="1"/>
  <c r="F220" i="3"/>
  <c r="G220" i="3"/>
  <c r="A221" i="3" s="1"/>
  <c r="K220" i="3"/>
  <c r="I220" i="3" s="1"/>
  <c r="F221" i="3"/>
  <c r="G221" i="3"/>
  <c r="A222" i="3" s="1"/>
  <c r="K221" i="3"/>
  <c r="F222" i="3"/>
  <c r="G222" i="3"/>
  <c r="A223" i="3" s="1"/>
  <c r="K222" i="3"/>
  <c r="I222" i="3" s="1"/>
  <c r="F223" i="3"/>
  <c r="G223" i="3"/>
  <c r="K223" i="3"/>
  <c r="I223" i="3" s="1"/>
  <c r="F224" i="3"/>
  <c r="G224" i="3"/>
  <c r="A225" i="3" s="1"/>
  <c r="K224" i="3"/>
  <c r="I224" i="3" s="1"/>
  <c r="F225" i="3"/>
  <c r="G225" i="3"/>
  <c r="A226" i="3" s="1"/>
  <c r="K225" i="3"/>
  <c r="F226" i="3"/>
  <c r="G226" i="3"/>
  <c r="A227" i="3" s="1"/>
  <c r="K226" i="3"/>
  <c r="F227" i="3"/>
  <c r="G227" i="3"/>
  <c r="K227" i="3"/>
  <c r="F228" i="3"/>
  <c r="G228" i="3"/>
  <c r="K228" i="3"/>
  <c r="I228" i="3" s="1"/>
  <c r="F229" i="3"/>
  <c r="G229" i="3"/>
  <c r="K229" i="3"/>
  <c r="I229" i="3" s="1"/>
  <c r="F230" i="3"/>
  <c r="G230" i="3"/>
  <c r="A231" i="3" s="1"/>
  <c r="K230" i="3"/>
  <c r="I230" i="3" s="1"/>
  <c r="F231" i="3"/>
  <c r="G231" i="3"/>
  <c r="K231" i="3"/>
  <c r="F232" i="3"/>
  <c r="G232" i="3"/>
  <c r="A233" i="3" s="1"/>
  <c r="K232" i="3"/>
  <c r="I232" i="3" s="1"/>
  <c r="F233" i="3"/>
  <c r="G233" i="3"/>
  <c r="A234" i="3" s="1"/>
  <c r="K233" i="3"/>
  <c r="F234" i="3"/>
  <c r="G234" i="3"/>
  <c r="K234" i="3"/>
  <c r="I234" i="3" s="1"/>
  <c r="F235" i="3"/>
  <c r="G235" i="3"/>
  <c r="K235" i="3"/>
  <c r="F236" i="3"/>
  <c r="G236" i="3"/>
  <c r="K236" i="3"/>
  <c r="F237" i="3"/>
  <c r="G237" i="3"/>
  <c r="K237" i="3"/>
  <c r="F238" i="3"/>
  <c r="G238" i="3"/>
  <c r="A239" i="3" s="1"/>
  <c r="K238" i="3"/>
  <c r="I238" i="3" s="1"/>
  <c r="F239" i="3"/>
  <c r="G239" i="3"/>
  <c r="K239" i="3"/>
  <c r="F240" i="3"/>
  <c r="G240" i="3"/>
  <c r="A241" i="3" s="1"/>
  <c r="K240" i="3"/>
  <c r="F241" i="3"/>
  <c r="G241" i="3"/>
  <c r="K241" i="3"/>
  <c r="F242" i="3"/>
  <c r="G242" i="3"/>
  <c r="A243" i="3" s="1"/>
  <c r="K242" i="3"/>
  <c r="I242" i="3" s="1"/>
  <c r="F243" i="3"/>
  <c r="G243" i="3"/>
  <c r="A244" i="3" s="1"/>
  <c r="K243" i="3"/>
  <c r="F244" i="3"/>
  <c r="G244" i="3"/>
  <c r="K244" i="3"/>
  <c r="F245" i="3"/>
  <c r="G245" i="3"/>
  <c r="A246" i="3" s="1"/>
  <c r="K245" i="3"/>
  <c r="F246" i="3"/>
  <c r="G246" i="3"/>
  <c r="A247" i="3" s="1"/>
  <c r="K246" i="3"/>
  <c r="I246" i="3" s="1"/>
  <c r="F247" i="3"/>
  <c r="G247" i="3"/>
  <c r="K247" i="3"/>
  <c r="F248" i="3"/>
  <c r="G248" i="3"/>
  <c r="K248" i="3"/>
  <c r="I248" i="3" s="1"/>
  <c r="F249" i="3"/>
  <c r="G249" i="3"/>
  <c r="K249" i="3"/>
  <c r="F250" i="3"/>
  <c r="G250" i="3"/>
  <c r="A251" i="3" s="1"/>
  <c r="K250" i="3"/>
  <c r="I250" i="3" s="1"/>
  <c r="F251" i="3"/>
  <c r="G251" i="3"/>
  <c r="K251" i="3"/>
  <c r="I251" i="3" s="1"/>
  <c r="F252" i="3"/>
  <c r="G252" i="3"/>
  <c r="K252" i="3"/>
  <c r="I252" i="3" s="1"/>
  <c r="F253" i="3"/>
  <c r="G253" i="3"/>
  <c r="A254" i="3" s="1"/>
  <c r="K253" i="3"/>
  <c r="F254" i="3"/>
  <c r="G254" i="3"/>
  <c r="A255" i="3" s="1"/>
  <c r="K254" i="3"/>
  <c r="I254" i="3" s="1"/>
  <c r="F255" i="3"/>
  <c r="G255" i="3"/>
  <c r="K255" i="3"/>
  <c r="I255" i="3" s="1"/>
  <c r="F256" i="3"/>
  <c r="G256" i="3"/>
  <c r="K256" i="3"/>
  <c r="I256" i="3" s="1"/>
  <c r="F257" i="3"/>
  <c r="G257" i="3"/>
  <c r="K257" i="3"/>
  <c r="F258" i="3"/>
  <c r="G258" i="3"/>
  <c r="A259" i="3" s="1"/>
  <c r="K258" i="3"/>
  <c r="I258" i="3" s="1"/>
  <c r="F259" i="3"/>
  <c r="G259" i="3"/>
  <c r="K259" i="3"/>
  <c r="F260" i="3"/>
  <c r="G260" i="3"/>
  <c r="K260" i="3"/>
  <c r="F261" i="3"/>
  <c r="G261" i="3"/>
  <c r="K261" i="3"/>
  <c r="F262" i="3"/>
  <c r="G262" i="3"/>
  <c r="A263" i="3" s="1"/>
  <c r="K262" i="3"/>
  <c r="I262" i="3" s="1"/>
  <c r="F263" i="3"/>
  <c r="G263" i="3"/>
  <c r="K263" i="3"/>
  <c r="F264" i="3"/>
  <c r="G264" i="3"/>
  <c r="K264" i="3"/>
  <c r="I264" i="3" s="1"/>
  <c r="F265" i="3"/>
  <c r="G265" i="3"/>
  <c r="K265" i="3"/>
  <c r="F266" i="3"/>
  <c r="G266" i="3"/>
  <c r="A267" i="3" s="1"/>
  <c r="K266" i="3"/>
  <c r="I266" i="3" s="1"/>
  <c r="F267" i="3"/>
  <c r="G267" i="3"/>
  <c r="K267" i="3"/>
  <c r="I267" i="3" s="1"/>
  <c r="F268" i="3"/>
  <c r="G268" i="3"/>
  <c r="A269" i="3" s="1"/>
  <c r="K268" i="3"/>
  <c r="I268" i="3" s="1"/>
  <c r="F269" i="3"/>
  <c r="G269" i="3"/>
  <c r="A270" i="3" s="1"/>
  <c r="K269" i="3"/>
  <c r="F270" i="3"/>
  <c r="G270" i="3"/>
  <c r="A271" i="3" s="1"/>
  <c r="K270" i="3"/>
  <c r="I270" i="3" s="1"/>
  <c r="F271" i="3"/>
  <c r="G271" i="3"/>
  <c r="K271" i="3"/>
  <c r="I271" i="3" s="1"/>
  <c r="F272" i="3"/>
  <c r="G272" i="3"/>
  <c r="K272" i="3"/>
  <c r="I272" i="3" s="1"/>
  <c r="F273" i="3"/>
  <c r="G273" i="3"/>
  <c r="K273" i="3"/>
  <c r="F274" i="3"/>
  <c r="G274" i="3"/>
  <c r="A275" i="3" s="1"/>
  <c r="K274" i="3"/>
  <c r="I274" i="3" s="1"/>
  <c r="F275" i="3"/>
  <c r="G275" i="3"/>
  <c r="K275" i="3"/>
  <c r="I275" i="3" s="1"/>
  <c r="F276" i="3"/>
  <c r="G276" i="3"/>
  <c r="K276" i="3"/>
  <c r="F277" i="3"/>
  <c r="G277" i="3"/>
  <c r="K277" i="3"/>
  <c r="F278" i="3"/>
  <c r="G278" i="3"/>
  <c r="A279" i="3" s="1"/>
  <c r="K278" i="3"/>
  <c r="I278" i="3" s="1"/>
  <c r="F279" i="3"/>
  <c r="G279" i="3"/>
  <c r="K279" i="3"/>
  <c r="F280" i="3"/>
  <c r="G280" i="3"/>
  <c r="A281" i="3" s="1"/>
  <c r="K280" i="3"/>
  <c r="I280" i="3" s="1"/>
  <c r="F281" i="3"/>
  <c r="G281" i="3"/>
  <c r="A282" i="3" s="1"/>
  <c r="K281" i="3"/>
  <c r="F282" i="3"/>
  <c r="G282" i="3"/>
  <c r="A283" i="3" s="1"/>
  <c r="K282" i="3"/>
  <c r="I282" i="3" s="1"/>
  <c r="F283" i="3"/>
  <c r="G283" i="3"/>
  <c r="K283" i="3"/>
  <c r="F284" i="3"/>
  <c r="G284" i="3"/>
  <c r="A285" i="3" s="1"/>
  <c r="K284" i="3"/>
  <c r="I284" i="3" s="1"/>
  <c r="F285" i="3"/>
  <c r="G285" i="3"/>
  <c r="A286" i="3" s="1"/>
  <c r="K285" i="3"/>
  <c r="F286" i="3"/>
  <c r="G286" i="3"/>
  <c r="A287" i="3" s="1"/>
  <c r="K286" i="3"/>
  <c r="I286" i="3" s="1"/>
  <c r="F287" i="3"/>
  <c r="G287" i="3"/>
  <c r="K287" i="3"/>
  <c r="F288" i="3"/>
  <c r="G288" i="3"/>
  <c r="K288" i="3"/>
  <c r="I288" i="3" s="1"/>
  <c r="F289" i="3"/>
  <c r="G289" i="3"/>
  <c r="K289" i="3"/>
  <c r="F290" i="3"/>
  <c r="G290" i="3"/>
  <c r="A291" i="3" s="1"/>
  <c r="K290" i="3"/>
  <c r="I290" i="3" s="1"/>
  <c r="F291" i="3"/>
  <c r="G291" i="3"/>
  <c r="K291" i="3"/>
  <c r="I291" i="3" s="1"/>
  <c r="F292" i="3"/>
  <c r="G292" i="3"/>
  <c r="K292" i="3"/>
  <c r="F293" i="3"/>
  <c r="G293" i="3"/>
  <c r="K293" i="3"/>
  <c r="F294" i="3"/>
  <c r="G294" i="3"/>
  <c r="A295" i="3" s="1"/>
  <c r="K294" i="3"/>
  <c r="F295" i="3"/>
  <c r="G295" i="3"/>
  <c r="K295" i="3"/>
  <c r="F296" i="3"/>
  <c r="G296" i="3"/>
  <c r="K296" i="3"/>
  <c r="F297" i="3"/>
  <c r="G297" i="3"/>
  <c r="K297" i="3"/>
  <c r="F298" i="3"/>
  <c r="G298" i="3"/>
  <c r="A299" i="3" s="1"/>
  <c r="K298" i="3"/>
  <c r="I298" i="3" s="1"/>
  <c r="F299" i="3"/>
  <c r="G299" i="3"/>
  <c r="K299" i="3"/>
  <c r="I299" i="3" s="1"/>
  <c r="F300" i="3"/>
  <c r="G300" i="3"/>
  <c r="K300" i="3"/>
  <c r="F301" i="3"/>
  <c r="G301" i="3"/>
  <c r="K301" i="3"/>
  <c r="F302" i="3"/>
  <c r="G302" i="3"/>
  <c r="A303" i="3" s="1"/>
  <c r="K302" i="3"/>
  <c r="F303" i="3"/>
  <c r="G303" i="3"/>
  <c r="K303" i="3"/>
  <c r="F304" i="3"/>
  <c r="G304" i="3"/>
  <c r="K304" i="3"/>
  <c r="F305" i="3"/>
  <c r="G305" i="3"/>
  <c r="K305" i="3"/>
  <c r="F306" i="3"/>
  <c r="G306" i="3"/>
  <c r="A307" i="3" s="1"/>
  <c r="K306" i="3"/>
  <c r="F307" i="3"/>
  <c r="G307" i="3"/>
  <c r="K307" i="3"/>
  <c r="I307" i="3" s="1"/>
  <c r="F308" i="3"/>
  <c r="G308" i="3"/>
  <c r="K308" i="3"/>
  <c r="F309" i="3"/>
  <c r="G309" i="3"/>
  <c r="K309" i="3"/>
  <c r="F310" i="3"/>
  <c r="G310" i="3"/>
  <c r="A311" i="3" s="1"/>
  <c r="K310" i="3"/>
  <c r="F311" i="3"/>
  <c r="G311" i="3"/>
  <c r="A312" i="3" s="1"/>
  <c r="K311" i="3"/>
  <c r="F312" i="3"/>
  <c r="G312" i="3"/>
  <c r="K312" i="3"/>
  <c r="I312" i="3" s="1"/>
  <c r="F313" i="3"/>
  <c r="G313" i="3"/>
  <c r="A314" i="3" s="1"/>
  <c r="K313" i="3"/>
  <c r="I313" i="3" s="1"/>
  <c r="F314" i="3"/>
  <c r="G314" i="3"/>
  <c r="K314" i="3"/>
  <c r="F315" i="3"/>
  <c r="G315" i="3"/>
  <c r="A316" i="3" s="1"/>
  <c r="K315" i="3"/>
  <c r="F316" i="3"/>
  <c r="G316" i="3"/>
  <c r="K316" i="3"/>
  <c r="I316" i="3" s="1"/>
  <c r="F317" i="3"/>
  <c r="G317" i="3"/>
  <c r="K317" i="3"/>
  <c r="I317" i="3" s="1"/>
  <c r="F318" i="3"/>
  <c r="G318" i="3"/>
  <c r="K318" i="3"/>
  <c r="F319" i="3"/>
  <c r="G319" i="3"/>
  <c r="A320" i="3" s="1"/>
  <c r="K319" i="3"/>
  <c r="I319" i="3" s="1"/>
  <c r="F320" i="3"/>
  <c r="G320" i="3"/>
  <c r="K320" i="3"/>
  <c r="I320" i="3" s="1"/>
  <c r="F321" i="3"/>
  <c r="G321" i="3"/>
  <c r="A322" i="3" s="1"/>
  <c r="K321" i="3"/>
  <c r="I321" i="3" s="1"/>
  <c r="F322" i="3"/>
  <c r="G322" i="3"/>
  <c r="A323" i="3" s="1"/>
  <c r="K322" i="3"/>
  <c r="F323" i="3"/>
  <c r="G323" i="3"/>
  <c r="A324" i="3" s="1"/>
  <c r="K323" i="3"/>
  <c r="I323" i="3" s="1"/>
  <c r="F324" i="3"/>
  <c r="G324" i="3"/>
  <c r="K324" i="3"/>
  <c r="I324" i="3" s="1"/>
  <c r="F325" i="3"/>
  <c r="G325" i="3"/>
  <c r="K325" i="3"/>
  <c r="I325" i="3" s="1"/>
  <c r="F326" i="3"/>
  <c r="G326" i="3"/>
  <c r="K326" i="3"/>
  <c r="F327" i="3"/>
  <c r="G327" i="3"/>
  <c r="K327" i="3"/>
  <c r="F328" i="3"/>
  <c r="G328" i="3"/>
  <c r="K328" i="3"/>
  <c r="F329" i="3"/>
  <c r="G329" i="3"/>
  <c r="A330" i="3" s="1"/>
  <c r="K329" i="3"/>
  <c r="I329" i="3" s="1"/>
  <c r="F330" i="3"/>
  <c r="G330" i="3"/>
  <c r="A331" i="3" s="1"/>
  <c r="K330" i="3"/>
  <c r="F331" i="3"/>
  <c r="G331" i="3"/>
  <c r="K331" i="3"/>
  <c r="F332" i="3"/>
  <c r="G332" i="3"/>
  <c r="K332" i="3"/>
  <c r="I332" i="3" s="1"/>
  <c r="F333" i="3"/>
  <c r="G333" i="3"/>
  <c r="K333" i="3"/>
  <c r="I333" i="3" s="1"/>
  <c r="F334" i="3"/>
  <c r="G334" i="3"/>
  <c r="A335" i="3" s="1"/>
  <c r="K334" i="3"/>
  <c r="I334" i="3" s="1"/>
  <c r="F335" i="3"/>
  <c r="G335" i="3"/>
  <c r="K335" i="3"/>
  <c r="I335" i="3" s="1"/>
  <c r="F336" i="3"/>
  <c r="G336" i="3"/>
  <c r="K336" i="3"/>
  <c r="I336" i="3" s="1"/>
  <c r="F337" i="3"/>
  <c r="G337" i="3"/>
  <c r="K337" i="3"/>
  <c r="F338" i="3"/>
  <c r="G338" i="3"/>
  <c r="A339" i="3" s="1"/>
  <c r="K338" i="3"/>
  <c r="I338" i="3" s="1"/>
  <c r="F339" i="3"/>
  <c r="G339" i="3"/>
  <c r="K339" i="3"/>
  <c r="F340" i="3"/>
  <c r="G340" i="3"/>
  <c r="K340" i="3"/>
  <c r="F341" i="3"/>
  <c r="G341" i="3"/>
  <c r="K341" i="3"/>
  <c r="F342" i="3"/>
  <c r="G342" i="3"/>
  <c r="A343" i="3" s="1"/>
  <c r="K342" i="3"/>
  <c r="I342" i="3" s="1"/>
  <c r="F343" i="3"/>
  <c r="G343" i="3"/>
  <c r="K343" i="3"/>
  <c r="I343" i="3" s="1"/>
  <c r="F344" i="3"/>
  <c r="G344" i="3"/>
  <c r="A345" i="3" s="1"/>
  <c r="K344" i="3"/>
  <c r="I344" i="3" s="1"/>
  <c r="F345" i="3"/>
  <c r="G345" i="3"/>
  <c r="A346" i="3" s="1"/>
  <c r="K345" i="3"/>
  <c r="F346" i="3"/>
  <c r="G346" i="3"/>
  <c r="A347" i="3" s="1"/>
  <c r="K346" i="3"/>
  <c r="I346" i="3" s="1"/>
  <c r="F347" i="3"/>
  <c r="G347" i="3"/>
  <c r="K347" i="3"/>
  <c r="I347" i="3" s="1"/>
  <c r="F348" i="3"/>
  <c r="G348" i="3"/>
  <c r="A349" i="3" s="1"/>
  <c r="K348" i="3"/>
  <c r="I348" i="3" s="1"/>
  <c r="F349" i="3"/>
  <c r="G349" i="3"/>
  <c r="A350" i="3" s="1"/>
  <c r="K349" i="3"/>
  <c r="F350" i="3"/>
  <c r="G350" i="3"/>
  <c r="K350" i="3"/>
  <c r="I350" i="3" s="1"/>
  <c r="F351" i="3"/>
  <c r="G351" i="3"/>
  <c r="K351" i="3"/>
  <c r="I351" i="3" s="1"/>
  <c r="F352" i="3"/>
  <c r="G352" i="3"/>
  <c r="K352" i="3"/>
  <c r="I352" i="3" s="1"/>
  <c r="F353" i="3"/>
  <c r="G353" i="3"/>
  <c r="K353" i="3"/>
  <c r="F354" i="3"/>
  <c r="G354" i="3"/>
  <c r="A355" i="3" s="1"/>
  <c r="K354" i="3"/>
  <c r="I354" i="3" s="1"/>
  <c r="F355" i="3"/>
  <c r="G355" i="3"/>
  <c r="K355" i="3"/>
  <c r="F356" i="3"/>
  <c r="G356" i="3"/>
  <c r="K356" i="3"/>
  <c r="F357" i="3"/>
  <c r="G357" i="3"/>
  <c r="K357" i="3"/>
  <c r="F358" i="3"/>
  <c r="G358" i="3"/>
  <c r="K358" i="3"/>
  <c r="I358" i="3" s="1"/>
  <c r="F359" i="3"/>
  <c r="G359" i="3"/>
  <c r="K359" i="3"/>
  <c r="I359" i="3" s="1"/>
  <c r="F360" i="3"/>
  <c r="G360" i="3"/>
  <c r="A361" i="3" s="1"/>
  <c r="K360" i="3"/>
  <c r="I360" i="3" s="1"/>
  <c r="F361" i="3"/>
  <c r="G361" i="3"/>
  <c r="A362" i="3" s="1"/>
  <c r="K361" i="3"/>
  <c r="F362" i="3"/>
  <c r="G362" i="3"/>
  <c r="A363" i="3" s="1"/>
  <c r="K362" i="3"/>
  <c r="I362" i="3" s="1"/>
  <c r="F363" i="3"/>
  <c r="G363" i="3"/>
  <c r="K363" i="3"/>
  <c r="I363" i="3" s="1"/>
  <c r="F364" i="3"/>
  <c r="G364" i="3"/>
  <c r="A365" i="3" s="1"/>
  <c r="K364" i="3"/>
  <c r="I364" i="3" s="1"/>
  <c r="F365" i="3"/>
  <c r="G365" i="3"/>
  <c r="A366" i="3" s="1"/>
  <c r="K365" i="3"/>
  <c r="F366" i="3"/>
  <c r="G366" i="3"/>
  <c r="A367" i="3" s="1"/>
  <c r="K366" i="3"/>
  <c r="I366" i="3" s="1"/>
  <c r="F367" i="3"/>
  <c r="G367" i="3"/>
  <c r="K367" i="3"/>
  <c r="F368" i="3"/>
  <c r="G368" i="3"/>
  <c r="K368" i="3"/>
  <c r="F369" i="3"/>
  <c r="G369" i="3"/>
  <c r="K369" i="3"/>
  <c r="F370" i="3"/>
  <c r="G370" i="3"/>
  <c r="A371" i="3" s="1"/>
  <c r="K370" i="3"/>
  <c r="I370" i="3" s="1"/>
  <c r="F371" i="3"/>
  <c r="G371" i="3"/>
  <c r="K371" i="3"/>
  <c r="I371" i="3" s="1"/>
  <c r="F372" i="3"/>
  <c r="G372" i="3"/>
  <c r="K372" i="3"/>
  <c r="I372" i="3" s="1"/>
  <c r="F373" i="3"/>
  <c r="G373" i="3"/>
  <c r="K373" i="3"/>
  <c r="F374" i="3"/>
  <c r="G374" i="3"/>
  <c r="K374" i="3"/>
  <c r="I374" i="3" s="1"/>
  <c r="F375" i="3"/>
  <c r="G375" i="3"/>
  <c r="K375" i="3"/>
  <c r="I375" i="3" s="1"/>
  <c r="F376" i="3"/>
  <c r="G376" i="3"/>
  <c r="A377" i="3" s="1"/>
  <c r="K376" i="3"/>
  <c r="I376" i="3" s="1"/>
  <c r="F377" i="3"/>
  <c r="G377" i="3"/>
  <c r="A378" i="3" s="1"/>
  <c r="K377" i="3"/>
  <c r="F378" i="3"/>
  <c r="G378" i="3"/>
  <c r="A379" i="3" s="1"/>
  <c r="K378" i="3"/>
  <c r="I378" i="3" s="1"/>
  <c r="F379" i="3"/>
  <c r="G379" i="3"/>
  <c r="K379" i="3"/>
  <c r="I379" i="3" s="1"/>
  <c r="F380" i="3"/>
  <c r="G380" i="3"/>
  <c r="K380" i="3"/>
  <c r="I380" i="3" s="1"/>
  <c r="F381" i="3"/>
  <c r="G381" i="3"/>
  <c r="K381" i="3"/>
  <c r="F382" i="3"/>
  <c r="G382" i="3"/>
  <c r="K382" i="3"/>
  <c r="I382" i="3" s="1"/>
  <c r="F383" i="3"/>
  <c r="G383" i="3"/>
  <c r="K383" i="3"/>
  <c r="F384" i="3"/>
  <c r="G384" i="3"/>
  <c r="K384" i="3"/>
  <c r="F385" i="3"/>
  <c r="G385" i="3"/>
  <c r="K385" i="3"/>
  <c r="F386" i="3"/>
  <c r="G386" i="3"/>
  <c r="A387" i="3" s="1"/>
  <c r="K386" i="3"/>
  <c r="I386" i="3" s="1"/>
  <c r="F387" i="3"/>
  <c r="G387" i="3"/>
  <c r="K387" i="3"/>
  <c r="I387" i="3" s="1"/>
  <c r="F388" i="3"/>
  <c r="G388" i="3"/>
  <c r="K388" i="3"/>
  <c r="I388" i="3" s="1"/>
  <c r="F389" i="3"/>
  <c r="G389" i="3"/>
  <c r="K389" i="3"/>
  <c r="F390" i="3"/>
  <c r="G390" i="3"/>
  <c r="A391" i="3" s="1"/>
  <c r="K390" i="3"/>
  <c r="I390" i="3" s="1"/>
  <c r="F391" i="3"/>
  <c r="G391" i="3"/>
  <c r="K391" i="3"/>
  <c r="I391" i="3" s="1"/>
  <c r="F392" i="3"/>
  <c r="G392" i="3"/>
  <c r="A393" i="3" s="1"/>
  <c r="K392" i="3"/>
  <c r="I392" i="3" s="1"/>
  <c r="F393" i="3"/>
  <c r="G393" i="3"/>
  <c r="A394" i="3" s="1"/>
  <c r="K393" i="3"/>
  <c r="F394" i="3"/>
  <c r="G394" i="3"/>
  <c r="A395" i="3" s="1"/>
  <c r="K394" i="3"/>
  <c r="I394" i="3" s="1"/>
  <c r="F395" i="3"/>
  <c r="G395" i="3"/>
  <c r="K395" i="3"/>
  <c r="I395" i="3" s="1"/>
  <c r="F396" i="3"/>
  <c r="G396" i="3"/>
  <c r="K396" i="3"/>
  <c r="I396" i="3" s="1"/>
  <c r="F397" i="3"/>
  <c r="G397" i="3"/>
  <c r="K397" i="3"/>
  <c r="F398" i="3"/>
  <c r="G398" i="3"/>
  <c r="A399" i="3" s="1"/>
  <c r="K398" i="3"/>
  <c r="I398" i="3" s="1"/>
  <c r="F399" i="3"/>
  <c r="G399" i="3"/>
  <c r="K399" i="3"/>
  <c r="I399" i="3" s="1"/>
  <c r="F400" i="3"/>
  <c r="G400" i="3"/>
  <c r="K400" i="3"/>
  <c r="F401" i="3"/>
  <c r="G401" i="3"/>
  <c r="K401" i="3"/>
  <c r="F402" i="3"/>
  <c r="G402" i="3"/>
  <c r="A403" i="3" s="1"/>
  <c r="K402" i="3"/>
  <c r="I402" i="3" s="1"/>
  <c r="F403" i="3"/>
  <c r="G403" i="3"/>
  <c r="K403" i="3"/>
  <c r="F404" i="3"/>
  <c r="G404" i="3"/>
  <c r="A405" i="3" s="1"/>
  <c r="K404" i="3"/>
  <c r="I404" i="3" s="1"/>
  <c r="F405" i="3"/>
  <c r="G405" i="3"/>
  <c r="A406" i="3" s="1"/>
  <c r="K405" i="3"/>
  <c r="F406" i="3"/>
  <c r="G406" i="3"/>
  <c r="A407" i="3" s="1"/>
  <c r="K406" i="3"/>
  <c r="I406" i="3" s="1"/>
  <c r="F407" i="3"/>
  <c r="G407" i="3"/>
  <c r="K407" i="3"/>
  <c r="I407" i="3" s="1"/>
  <c r="F408" i="3"/>
  <c r="G408" i="3"/>
  <c r="A409" i="3" s="1"/>
  <c r="K408" i="3"/>
  <c r="I408" i="3" s="1"/>
  <c r="F409" i="3"/>
  <c r="G409" i="3"/>
  <c r="A410" i="3" s="1"/>
  <c r="K409" i="3"/>
  <c r="F410" i="3"/>
  <c r="G410" i="3"/>
  <c r="A411" i="3" s="1"/>
  <c r="K410" i="3"/>
  <c r="I410" i="3" s="1"/>
  <c r="F411" i="3"/>
  <c r="G411" i="3"/>
  <c r="K411" i="3"/>
  <c r="I411" i="3" s="1"/>
  <c r="F412" i="3"/>
  <c r="G412" i="3"/>
  <c r="A413" i="3" s="1"/>
  <c r="K412" i="3"/>
  <c r="I412" i="3" s="1"/>
  <c r="F413" i="3"/>
  <c r="G413" i="3"/>
  <c r="A414" i="3" s="1"/>
  <c r="K413" i="3"/>
  <c r="F414" i="3"/>
  <c r="G414" i="3"/>
  <c r="A415" i="3" s="1"/>
  <c r="K414" i="3"/>
  <c r="I414" i="3" s="1"/>
  <c r="F415" i="3"/>
  <c r="G415" i="3"/>
  <c r="K415" i="3"/>
  <c r="I415" i="3" s="1"/>
  <c r="F416" i="3"/>
  <c r="G416" i="3"/>
  <c r="K416" i="3"/>
  <c r="F417" i="3"/>
  <c r="G417" i="3"/>
  <c r="K417" i="3"/>
  <c r="F418" i="3"/>
  <c r="G418" i="3"/>
  <c r="A419" i="3" s="1"/>
  <c r="K418" i="3"/>
  <c r="I418" i="3" s="1"/>
  <c r="F419" i="3"/>
  <c r="G419" i="3"/>
  <c r="K419" i="3"/>
  <c r="F420" i="3"/>
  <c r="G420" i="3"/>
  <c r="K420" i="3"/>
  <c r="I420" i="3" s="1"/>
  <c r="F421" i="3"/>
  <c r="G421" i="3"/>
  <c r="K421" i="3"/>
  <c r="F422" i="3"/>
  <c r="G422" i="3"/>
  <c r="A423" i="3" s="1"/>
  <c r="K422" i="3"/>
  <c r="I422" i="3" s="1"/>
  <c r="F423" i="3"/>
  <c r="G423" i="3"/>
  <c r="K423" i="3"/>
  <c r="I423" i="3" s="1"/>
  <c r="F424" i="3"/>
  <c r="G424" i="3"/>
  <c r="A425" i="3" s="1"/>
  <c r="K424" i="3"/>
  <c r="I424" i="3" s="1"/>
  <c r="F425" i="3"/>
  <c r="G425" i="3"/>
  <c r="A426" i="3" s="1"/>
  <c r="K425" i="3"/>
  <c r="F426" i="3"/>
  <c r="G426" i="3"/>
  <c r="A427" i="3" s="1"/>
  <c r="K426" i="3"/>
  <c r="I426" i="3" s="1"/>
  <c r="F427" i="3"/>
  <c r="G427" i="3"/>
  <c r="K427" i="3"/>
  <c r="I427" i="3" s="1"/>
  <c r="F428" i="3"/>
  <c r="G428" i="3"/>
  <c r="A429" i="3" s="1"/>
  <c r="K428" i="3"/>
  <c r="I428" i="3" s="1"/>
  <c r="F429" i="3"/>
  <c r="G429" i="3"/>
  <c r="A430" i="3" s="1"/>
  <c r="K429" i="3"/>
  <c r="F430" i="3"/>
  <c r="G430" i="3"/>
  <c r="A431" i="3" s="1"/>
  <c r="K430" i="3"/>
  <c r="I430" i="3" s="1"/>
  <c r="F431" i="3"/>
  <c r="G431" i="3"/>
  <c r="K431" i="3"/>
  <c r="F432" i="3"/>
  <c r="G432" i="3"/>
  <c r="K432" i="3"/>
  <c r="F433" i="3"/>
  <c r="G433" i="3"/>
  <c r="K433" i="3"/>
  <c r="F434" i="3"/>
  <c r="G434" i="3"/>
  <c r="A435" i="3" s="1"/>
  <c r="K434" i="3"/>
  <c r="I434" i="3" s="1"/>
  <c r="F435" i="3"/>
  <c r="G435" i="3"/>
  <c r="K435" i="3"/>
  <c r="F436" i="3"/>
  <c r="G436" i="3"/>
  <c r="K436" i="3"/>
  <c r="I436" i="3" s="1"/>
  <c r="F437" i="3"/>
  <c r="G437" i="3"/>
  <c r="K437" i="3"/>
  <c r="F438" i="3"/>
  <c r="G438" i="3"/>
  <c r="A439" i="3" s="1"/>
  <c r="K438" i="3"/>
  <c r="I438" i="3" s="1"/>
  <c r="F439" i="3"/>
  <c r="G439" i="3"/>
  <c r="K439" i="3"/>
  <c r="F440" i="3"/>
  <c r="G440" i="3"/>
  <c r="K440" i="3"/>
  <c r="I440" i="3" s="1"/>
  <c r="F441" i="3"/>
  <c r="G441" i="3"/>
  <c r="A442" i="3" s="1"/>
  <c r="K441" i="3"/>
  <c r="F442" i="3"/>
  <c r="G442" i="3"/>
  <c r="A443" i="3" s="1"/>
  <c r="K442" i="3"/>
  <c r="I442" i="3" s="1"/>
  <c r="F443" i="3"/>
  <c r="G443" i="3"/>
  <c r="K443" i="3"/>
  <c r="I443" i="3" s="1"/>
  <c r="F444" i="3"/>
  <c r="G444" i="3"/>
  <c r="K444" i="3"/>
  <c r="I444" i="3" s="1"/>
  <c r="F445" i="3"/>
  <c r="G445" i="3"/>
  <c r="K445" i="3"/>
  <c r="F446" i="3"/>
  <c r="G446" i="3"/>
  <c r="A447" i="3" s="1"/>
  <c r="K446" i="3"/>
  <c r="I446" i="3" s="1"/>
  <c r="F447" i="3"/>
  <c r="G447" i="3"/>
  <c r="K447" i="3"/>
  <c r="I447" i="3" s="1"/>
  <c r="F448" i="3"/>
  <c r="G448" i="3"/>
  <c r="K448" i="3"/>
  <c r="I448" i="3" s="1"/>
  <c r="F449" i="3"/>
  <c r="G449" i="3"/>
  <c r="K449" i="3"/>
  <c r="F450" i="3"/>
  <c r="G450" i="3"/>
  <c r="A451" i="3" s="1"/>
  <c r="K450" i="3"/>
  <c r="I450" i="3" s="1"/>
  <c r="F451" i="3"/>
  <c r="G451" i="3"/>
  <c r="K451" i="3"/>
  <c r="I451" i="3" s="1"/>
  <c r="F452" i="3"/>
  <c r="G452" i="3"/>
  <c r="A453" i="3" s="1"/>
  <c r="K452" i="3"/>
  <c r="I452" i="3" s="1"/>
  <c r="F453" i="3"/>
  <c r="G453" i="3"/>
  <c r="A454" i="3" s="1"/>
  <c r="K453" i="3"/>
  <c r="I453" i="3" s="1"/>
  <c r="F454" i="3"/>
  <c r="G454" i="3"/>
  <c r="K454" i="3"/>
  <c r="I454" i="3" s="1"/>
  <c r="F455" i="3"/>
  <c r="G455" i="3"/>
  <c r="K455" i="3"/>
  <c r="F456" i="3"/>
  <c r="G456" i="3"/>
  <c r="A457" i="3" s="1"/>
  <c r="K456" i="3"/>
  <c r="F457" i="3"/>
  <c r="G457" i="3"/>
  <c r="A458" i="3" s="1"/>
  <c r="K457" i="3"/>
  <c r="F458" i="3"/>
  <c r="G458" i="3"/>
  <c r="K458" i="3"/>
  <c r="I458" i="3" s="1"/>
  <c r="F459" i="3"/>
  <c r="G459" i="3"/>
  <c r="A460" i="3" s="1"/>
  <c r="K459" i="3"/>
  <c r="F460" i="3"/>
  <c r="G460" i="3"/>
  <c r="K460" i="3"/>
  <c r="F461" i="3"/>
  <c r="G461" i="3"/>
  <c r="A462" i="3" s="1"/>
  <c r="K461" i="3"/>
  <c r="I461" i="3" s="1"/>
  <c r="F462" i="3"/>
  <c r="G462" i="3"/>
  <c r="K462" i="3"/>
  <c r="I462" i="3" s="1"/>
  <c r="F463" i="3"/>
  <c r="G463" i="3"/>
  <c r="A464" i="3" s="1"/>
  <c r="K463" i="3"/>
  <c r="F464" i="3"/>
  <c r="G464" i="3"/>
  <c r="A465" i="3" s="1"/>
  <c r="K464" i="3"/>
  <c r="F465" i="3"/>
  <c r="G465" i="3"/>
  <c r="A466" i="3" s="1"/>
  <c r="K465" i="3"/>
  <c r="I465" i="3" s="1"/>
  <c r="F466" i="3"/>
  <c r="G466" i="3"/>
  <c r="K466" i="3"/>
  <c r="I466" i="3" s="1"/>
  <c r="F467" i="3"/>
  <c r="G467" i="3"/>
  <c r="A468" i="3" s="1"/>
  <c r="K467" i="3"/>
  <c r="F468" i="3"/>
  <c r="G468" i="3"/>
  <c r="A469" i="3" s="1"/>
  <c r="K468" i="3"/>
  <c r="F469" i="3"/>
  <c r="G469" i="3"/>
  <c r="A470" i="3" s="1"/>
  <c r="K469" i="3"/>
  <c r="F470" i="3"/>
  <c r="G470" i="3"/>
  <c r="K470" i="3"/>
  <c r="I470" i="3" s="1"/>
  <c r="F471" i="3"/>
  <c r="G471" i="3"/>
  <c r="K471" i="3"/>
  <c r="F472" i="3"/>
  <c r="G472" i="3"/>
  <c r="A473" i="3" s="1"/>
  <c r="K472" i="3"/>
  <c r="F473" i="3"/>
  <c r="G473" i="3"/>
  <c r="A474" i="3" s="1"/>
  <c r="K473" i="3"/>
  <c r="I473" i="3" s="1"/>
  <c r="F474" i="3"/>
  <c r="G474" i="3"/>
  <c r="K474" i="3"/>
  <c r="I474" i="3" s="1"/>
  <c r="F475" i="3"/>
  <c r="G475" i="3"/>
  <c r="A476" i="3" s="1"/>
  <c r="K475" i="3"/>
  <c r="F476" i="3"/>
  <c r="G476" i="3"/>
  <c r="K476" i="3"/>
  <c r="F477" i="3"/>
  <c r="G477" i="3"/>
  <c r="A478" i="3" s="1"/>
  <c r="K477" i="3"/>
  <c r="I477" i="3" s="1"/>
  <c r="F478" i="3"/>
  <c r="G478" i="3"/>
  <c r="K478" i="3"/>
  <c r="I478" i="3" s="1"/>
  <c r="F479" i="3"/>
  <c r="G479" i="3"/>
  <c r="A480" i="3" s="1"/>
  <c r="K479" i="3"/>
  <c r="F480" i="3"/>
  <c r="G480" i="3"/>
  <c r="K480" i="3"/>
  <c r="F481" i="3"/>
  <c r="G481" i="3"/>
  <c r="A482" i="3" s="1"/>
  <c r="K481" i="3"/>
  <c r="I481" i="3" s="1"/>
  <c r="F482" i="3"/>
  <c r="G482" i="3"/>
  <c r="K482" i="3"/>
  <c r="I482" i="3" s="1"/>
  <c r="F483" i="3"/>
  <c r="G483" i="3"/>
  <c r="A484" i="3" s="1"/>
  <c r="K483" i="3"/>
  <c r="F484" i="3"/>
  <c r="G484" i="3"/>
  <c r="K484" i="3"/>
  <c r="F485" i="3"/>
  <c r="G485" i="3"/>
  <c r="A486" i="3" s="1"/>
  <c r="K485" i="3"/>
  <c r="F486" i="3"/>
  <c r="G486" i="3"/>
  <c r="K486" i="3"/>
  <c r="F487" i="3"/>
  <c r="G487" i="3"/>
  <c r="A488" i="3" s="1"/>
  <c r="K487" i="3"/>
  <c r="I487" i="3" s="1"/>
  <c r="F488" i="3"/>
  <c r="G488" i="3"/>
  <c r="K488" i="3"/>
  <c r="F489" i="3"/>
  <c r="G489" i="3"/>
  <c r="A490" i="3" s="1"/>
  <c r="K489" i="3"/>
  <c r="I489" i="3" s="1"/>
  <c r="F490" i="3"/>
  <c r="G490" i="3"/>
  <c r="K490" i="3"/>
  <c r="I490" i="3" s="1"/>
  <c r="F491" i="3"/>
  <c r="G491" i="3"/>
  <c r="A492" i="3" s="1"/>
  <c r="K491" i="3"/>
  <c r="I491" i="3" s="1"/>
  <c r="F492" i="3"/>
  <c r="G492" i="3"/>
  <c r="A493" i="3" s="1"/>
  <c r="K492" i="3"/>
  <c r="F493" i="3"/>
  <c r="G493" i="3"/>
  <c r="A494" i="3" s="1"/>
  <c r="K493" i="3"/>
  <c r="I493" i="3" s="1"/>
  <c r="F494" i="3"/>
  <c r="G494" i="3"/>
  <c r="K494" i="3"/>
  <c r="F495" i="3"/>
  <c r="G495" i="3"/>
  <c r="A496" i="3" s="1"/>
  <c r="K495" i="3"/>
  <c r="I495" i="3" s="1"/>
  <c r="F496" i="3"/>
  <c r="G496" i="3"/>
  <c r="A497" i="3" s="1"/>
  <c r="K496" i="3"/>
  <c r="F497" i="3"/>
  <c r="G497" i="3"/>
  <c r="A498" i="3" s="1"/>
  <c r="K497" i="3"/>
  <c r="I497" i="3" s="1"/>
  <c r="F498" i="3"/>
  <c r="G498" i="3"/>
  <c r="K498" i="3"/>
  <c r="F499" i="3"/>
  <c r="G499" i="3"/>
  <c r="A500" i="3" s="1"/>
  <c r="K499" i="3"/>
  <c r="I499" i="3" s="1"/>
  <c r="F500" i="3"/>
  <c r="G500" i="3"/>
  <c r="K500" i="3"/>
  <c r="B375" i="6" l="1"/>
  <c r="B211" i="6"/>
  <c r="D211" i="6" s="1"/>
  <c r="B341" i="2"/>
  <c r="B263" i="3"/>
  <c r="C263" i="3" s="1"/>
  <c r="D263" i="3" s="1"/>
  <c r="H491" i="3"/>
  <c r="B414" i="3"/>
  <c r="C414" i="3" s="1"/>
  <c r="D414" i="3" s="1"/>
  <c r="B439" i="3"/>
  <c r="C439" i="3" s="1"/>
  <c r="D439" i="3" s="1"/>
  <c r="B431" i="3"/>
  <c r="C431" i="3" s="1"/>
  <c r="D431" i="3" s="1"/>
  <c r="B418" i="3"/>
  <c r="H308" i="3"/>
  <c r="H304" i="3"/>
  <c r="H300" i="3"/>
  <c r="H236" i="3"/>
  <c r="B485" i="3"/>
  <c r="H484" i="3"/>
  <c r="H480" i="3"/>
  <c r="H476" i="3"/>
  <c r="B333" i="3"/>
  <c r="H330" i="3"/>
  <c r="B318" i="3"/>
  <c r="B428" i="2"/>
  <c r="D428" i="2" s="1"/>
  <c r="H382" i="3"/>
  <c r="H374" i="3"/>
  <c r="H370" i="3"/>
  <c r="H358" i="3"/>
  <c r="H346" i="3"/>
  <c r="H331" i="3"/>
  <c r="H326" i="3"/>
  <c r="H318" i="3"/>
  <c r="B323" i="3"/>
  <c r="C323" i="3" s="1"/>
  <c r="D323" i="3" s="1"/>
  <c r="H459" i="3"/>
  <c r="B444" i="3"/>
  <c r="H218" i="3"/>
  <c r="B243" i="2"/>
  <c r="B484" i="3"/>
  <c r="C484" i="3" s="1"/>
  <c r="D484" i="3" s="1"/>
  <c r="B480" i="3"/>
  <c r="C480" i="3" s="1"/>
  <c r="D480" i="3" s="1"/>
  <c r="B476" i="3"/>
  <c r="C476" i="3" s="1"/>
  <c r="D476" i="3" s="1"/>
  <c r="B474" i="3"/>
  <c r="C474" i="3" s="1"/>
  <c r="D474" i="3" s="1"/>
  <c r="A359" i="3"/>
  <c r="B330" i="3"/>
  <c r="C330" i="3" s="1"/>
  <c r="D330" i="3" s="1"/>
  <c r="H323" i="3"/>
  <c r="H286" i="3"/>
  <c r="B256" i="3"/>
  <c r="H234" i="3"/>
  <c r="B353" i="2"/>
  <c r="D353" i="2" s="1"/>
  <c r="B444" i="6"/>
  <c r="D444" i="6" s="1"/>
  <c r="B362" i="6"/>
  <c r="D362" i="6" s="1"/>
  <c r="B398" i="3"/>
  <c r="B350" i="3"/>
  <c r="H220" i="3"/>
  <c r="B215" i="3"/>
  <c r="A249" i="2"/>
  <c r="B402" i="6"/>
  <c r="D402" i="6" s="1"/>
  <c r="B379" i="6"/>
  <c r="D375" i="6"/>
  <c r="A352" i="6"/>
  <c r="B486" i="3"/>
  <c r="C486" i="3" s="1"/>
  <c r="D486" i="3" s="1"/>
  <c r="H467" i="3"/>
  <c r="B402" i="3"/>
  <c r="B315" i="3"/>
  <c r="B299" i="3"/>
  <c r="C299" i="3" s="1"/>
  <c r="D299" i="3" s="1"/>
  <c r="H472" i="3"/>
  <c r="H468" i="3"/>
  <c r="B399" i="3"/>
  <c r="C399" i="3" s="1"/>
  <c r="D399" i="3" s="1"/>
  <c r="H396" i="3"/>
  <c r="B359" i="3"/>
  <c r="B347" i="3"/>
  <c r="C347" i="3" s="1"/>
  <c r="D347" i="3" s="1"/>
  <c r="A319" i="3"/>
  <c r="H315" i="3"/>
  <c r="B311" i="3"/>
  <c r="C311" i="3" s="1"/>
  <c r="D311" i="3" s="1"/>
  <c r="B310" i="3"/>
  <c r="H221" i="3"/>
  <c r="B438" i="2"/>
  <c r="B427" i="2"/>
  <c r="B411" i="6"/>
  <c r="D411" i="6" s="1"/>
  <c r="I402" i="6"/>
  <c r="B227" i="6"/>
  <c r="D227" i="6" s="1"/>
  <c r="B436" i="3"/>
  <c r="B428" i="3"/>
  <c r="H311" i="3"/>
  <c r="H217" i="3"/>
  <c r="B349" i="2"/>
  <c r="D349" i="2" s="1"/>
  <c r="B262" i="2"/>
  <c r="D262" i="2" s="1"/>
  <c r="B287" i="6"/>
  <c r="D287" i="6" s="1"/>
  <c r="B423" i="6"/>
  <c r="D423" i="6" s="1"/>
  <c r="I423" i="6"/>
  <c r="B410" i="6"/>
  <c r="I410" i="6"/>
  <c r="A319" i="6"/>
  <c r="I318" i="3"/>
  <c r="I315" i="3"/>
  <c r="I311" i="3"/>
  <c r="H233" i="3"/>
  <c r="H232" i="3"/>
  <c r="B217" i="3"/>
  <c r="C217" i="3" s="1"/>
  <c r="D217" i="3" s="1"/>
  <c r="A419" i="6"/>
  <c r="B235" i="6"/>
  <c r="D235" i="6" s="1"/>
  <c r="I235" i="6"/>
  <c r="A203" i="2"/>
  <c r="B306" i="3"/>
  <c r="H460" i="3"/>
  <c r="B458" i="3"/>
  <c r="C458" i="3" s="1"/>
  <c r="D458" i="3" s="1"/>
  <c r="H440" i="3"/>
  <c r="H436" i="3"/>
  <c r="B434" i="3"/>
  <c r="H429" i="3"/>
  <c r="H428" i="3"/>
  <c r="H420" i="3"/>
  <c r="B410" i="3"/>
  <c r="C410" i="3" s="1"/>
  <c r="D410" i="3" s="1"/>
  <c r="B404" i="3"/>
  <c r="B392" i="3"/>
  <c r="B391" i="3"/>
  <c r="C391" i="3" s="1"/>
  <c r="D391" i="3" s="1"/>
  <c r="H388" i="3"/>
  <c r="H380" i="3"/>
  <c r="B379" i="3"/>
  <c r="C379" i="3" s="1"/>
  <c r="D379" i="3" s="1"/>
  <c r="B376" i="3"/>
  <c r="A375" i="3"/>
  <c r="H372" i="3"/>
  <c r="B371" i="3"/>
  <c r="C371" i="3" s="1"/>
  <c r="D371" i="3" s="1"/>
  <c r="B370" i="3"/>
  <c r="H362" i="3"/>
  <c r="B360" i="3"/>
  <c r="B348" i="3"/>
  <c r="H342" i="3"/>
  <c r="H317" i="3"/>
  <c r="B312" i="3"/>
  <c r="C312" i="3" s="1"/>
  <c r="D312" i="3" s="1"/>
  <c r="H310" i="3"/>
  <c r="I306" i="3"/>
  <c r="H301" i="3"/>
  <c r="H296" i="3"/>
  <c r="H292" i="3"/>
  <c r="B291" i="3"/>
  <c r="C291" i="3" s="1"/>
  <c r="D291" i="3" s="1"/>
  <c r="H282" i="3"/>
  <c r="H276" i="3"/>
  <c r="B275" i="3"/>
  <c r="C275" i="3" s="1"/>
  <c r="D275" i="3" s="1"/>
  <c r="B267" i="3"/>
  <c r="C267" i="3" s="1"/>
  <c r="D267" i="3" s="1"/>
  <c r="B234" i="3"/>
  <c r="C234" i="3" s="1"/>
  <c r="D234" i="3" s="1"/>
  <c r="B226" i="3"/>
  <c r="C226" i="3" s="1"/>
  <c r="D226" i="3" s="1"/>
  <c r="B492" i="2"/>
  <c r="D492" i="2" s="1"/>
  <c r="B296" i="6"/>
  <c r="D296" i="6" s="1"/>
  <c r="I296" i="6"/>
  <c r="I334" i="2"/>
  <c r="B334" i="2"/>
  <c r="D334" i="2" s="1"/>
  <c r="B468" i="3"/>
  <c r="C468" i="3" s="1"/>
  <c r="D468" i="3" s="1"/>
  <c r="H463" i="3"/>
  <c r="I310" i="3"/>
  <c r="H495" i="3"/>
  <c r="H487" i="3"/>
  <c r="A485" i="3"/>
  <c r="H452" i="3"/>
  <c r="B426" i="3"/>
  <c r="C426" i="3" s="1"/>
  <c r="D426" i="3" s="1"/>
  <c r="B424" i="3"/>
  <c r="H421" i="3"/>
  <c r="B412" i="3"/>
  <c r="H381" i="3"/>
  <c r="B380" i="3"/>
  <c r="H373" i="3"/>
  <c r="B372" i="3"/>
  <c r="H350" i="3"/>
  <c r="H293" i="3"/>
  <c r="H277" i="3"/>
  <c r="H260" i="3"/>
  <c r="A237" i="3"/>
  <c r="B396" i="2"/>
  <c r="D396" i="2" s="1"/>
  <c r="I216" i="2"/>
  <c r="B216" i="2"/>
  <c r="D216" i="2" s="1"/>
  <c r="A202" i="2"/>
  <c r="B491" i="2"/>
  <c r="D491" i="2" s="1"/>
  <c r="B442" i="2"/>
  <c r="B402" i="2"/>
  <c r="B375" i="2"/>
  <c r="D375" i="2" s="1"/>
  <c r="B278" i="2"/>
  <c r="B246" i="2"/>
  <c r="B242" i="2"/>
  <c r="B232" i="2"/>
  <c r="D232" i="2" s="1"/>
  <c r="B480" i="6"/>
  <c r="D480" i="6" s="1"/>
  <c r="B308" i="6"/>
  <c r="D308" i="6" s="1"/>
  <c r="B280" i="6"/>
  <c r="D280" i="6" s="1"/>
  <c r="B276" i="6"/>
  <c r="D276" i="6" s="1"/>
  <c r="B256" i="6"/>
  <c r="D256" i="6" s="1"/>
  <c r="B240" i="6"/>
  <c r="B239" i="6"/>
  <c r="D239" i="6" s="1"/>
  <c r="B330" i="2"/>
  <c r="D330" i="2" s="1"/>
  <c r="B328" i="2"/>
  <c r="D328" i="2" s="1"/>
  <c r="B320" i="2"/>
  <c r="B491" i="6"/>
  <c r="D491" i="6" s="1"/>
  <c r="B300" i="6"/>
  <c r="D300" i="6" s="1"/>
  <c r="B265" i="6"/>
  <c r="B207" i="6"/>
  <c r="D207" i="6" s="1"/>
  <c r="I353" i="2"/>
  <c r="B318" i="2"/>
  <c r="D318" i="2" s="1"/>
  <c r="B398" i="6"/>
  <c r="D398" i="6" s="1"/>
  <c r="B389" i="6"/>
  <c r="D389" i="6" s="1"/>
  <c r="I379" i="6"/>
  <c r="B367" i="6"/>
  <c r="B351" i="6"/>
  <c r="D351" i="6" s="1"/>
  <c r="B217" i="6"/>
  <c r="D217" i="6" s="1"/>
  <c r="I295" i="3"/>
  <c r="B295" i="3"/>
  <c r="C295" i="3" s="1"/>
  <c r="D295" i="3" s="1"/>
  <c r="B283" i="3"/>
  <c r="C283" i="3" s="1"/>
  <c r="D283" i="3" s="1"/>
  <c r="I283" i="3"/>
  <c r="H248" i="3"/>
  <c r="A249" i="3"/>
  <c r="B237" i="3"/>
  <c r="I237" i="3"/>
  <c r="A462" i="2"/>
  <c r="A451" i="2"/>
  <c r="A439" i="2"/>
  <c r="B407" i="2"/>
  <c r="D407" i="2" s="1"/>
  <c r="I407" i="2"/>
  <c r="A359" i="2"/>
  <c r="I273" i="6"/>
  <c r="B273" i="6"/>
  <c r="H475" i="3"/>
  <c r="H464" i="3"/>
  <c r="H456" i="3"/>
  <c r="B435" i="3"/>
  <c r="C435" i="3" s="1"/>
  <c r="D435" i="3" s="1"/>
  <c r="I431" i="3"/>
  <c r="C350" i="3"/>
  <c r="D350" i="3" s="1"/>
  <c r="B287" i="3"/>
  <c r="C287" i="3" s="1"/>
  <c r="D287" i="3" s="1"/>
  <c r="I287" i="3"/>
  <c r="I259" i="3"/>
  <c r="B259" i="3"/>
  <c r="C259" i="3" s="1"/>
  <c r="D259" i="3" s="1"/>
  <c r="B251" i="3"/>
  <c r="C251" i="3" s="1"/>
  <c r="D251" i="3" s="1"/>
  <c r="A207" i="3"/>
  <c r="H206" i="3"/>
  <c r="B478" i="2"/>
  <c r="D478" i="2" s="1"/>
  <c r="I478" i="2"/>
  <c r="A459" i="2"/>
  <c r="I455" i="2"/>
  <c r="B455" i="2"/>
  <c r="D455" i="2" s="1"/>
  <c r="B398" i="2"/>
  <c r="D398" i="2" s="1"/>
  <c r="I398" i="2"/>
  <c r="B226" i="2"/>
  <c r="D226" i="2" s="1"/>
  <c r="I226" i="2"/>
  <c r="I487" i="6"/>
  <c r="B487" i="6"/>
  <c r="A364" i="6"/>
  <c r="B498" i="3"/>
  <c r="C498" i="3" s="1"/>
  <c r="D498" i="3" s="1"/>
  <c r="H496" i="3"/>
  <c r="I484" i="3"/>
  <c r="I476" i="3"/>
  <c r="B472" i="3"/>
  <c r="H471" i="3"/>
  <c r="B457" i="3"/>
  <c r="C457" i="3" s="1"/>
  <c r="D457" i="3" s="1"/>
  <c r="I435" i="3"/>
  <c r="B419" i="3"/>
  <c r="C419" i="3" s="1"/>
  <c r="D419" i="3" s="1"/>
  <c r="B403" i="3"/>
  <c r="C403" i="3" s="1"/>
  <c r="D403" i="3" s="1"/>
  <c r="B386" i="3"/>
  <c r="A374" i="3"/>
  <c r="A373" i="3"/>
  <c r="B363" i="3"/>
  <c r="C363" i="3" s="1"/>
  <c r="D363" i="3" s="1"/>
  <c r="A351" i="3"/>
  <c r="B338" i="3"/>
  <c r="B302" i="3"/>
  <c r="I302" i="3"/>
  <c r="B470" i="2"/>
  <c r="D470" i="2" s="1"/>
  <c r="I470" i="2"/>
  <c r="A443" i="2"/>
  <c r="A427" i="2"/>
  <c r="I423" i="2"/>
  <c r="B423" i="2"/>
  <c r="D423" i="2" s="1"/>
  <c r="B411" i="2"/>
  <c r="D411" i="2" s="1"/>
  <c r="I411" i="2"/>
  <c r="I369" i="2"/>
  <c r="B369" i="2"/>
  <c r="D369" i="2" s="1"/>
  <c r="A277" i="2"/>
  <c r="A269" i="2"/>
  <c r="B406" i="6"/>
  <c r="I406" i="6"/>
  <c r="A477" i="3"/>
  <c r="H500" i="3"/>
  <c r="H499" i="3"/>
  <c r="B494" i="3"/>
  <c r="C494" i="3" s="1"/>
  <c r="D494" i="3" s="1"/>
  <c r="H492" i="3"/>
  <c r="H488" i="3"/>
  <c r="H485" i="3"/>
  <c r="H483" i="3"/>
  <c r="B469" i="3"/>
  <c r="C469" i="3" s="1"/>
  <c r="D469" i="3" s="1"/>
  <c r="B464" i="3"/>
  <c r="C464" i="3" s="1"/>
  <c r="D464" i="3" s="1"/>
  <c r="I457" i="3"/>
  <c r="H455" i="3"/>
  <c r="H449" i="3"/>
  <c r="B448" i="3"/>
  <c r="B447" i="3"/>
  <c r="C447" i="3" s="1"/>
  <c r="D447" i="3" s="1"/>
  <c r="H444" i="3"/>
  <c r="H437" i="3"/>
  <c r="B423" i="3"/>
  <c r="C423" i="3" s="1"/>
  <c r="D423" i="3" s="1"/>
  <c r="H405" i="3"/>
  <c r="H404" i="3"/>
  <c r="H397" i="3"/>
  <c r="B396" i="3"/>
  <c r="H390" i="3"/>
  <c r="H389" i="3"/>
  <c r="B382" i="3"/>
  <c r="B375" i="3"/>
  <c r="B366" i="3"/>
  <c r="C366" i="3" s="1"/>
  <c r="D366" i="3" s="1"/>
  <c r="B364" i="3"/>
  <c r="H354" i="3"/>
  <c r="B344" i="3"/>
  <c r="B343" i="3"/>
  <c r="C343" i="3" s="1"/>
  <c r="D343" i="3" s="1"/>
  <c r="H334" i="3"/>
  <c r="I303" i="3"/>
  <c r="B303" i="3"/>
  <c r="C303" i="3" s="1"/>
  <c r="D303" i="3" s="1"/>
  <c r="B294" i="3"/>
  <c r="I294" i="3"/>
  <c r="B279" i="3"/>
  <c r="C279" i="3" s="1"/>
  <c r="D279" i="3" s="1"/>
  <c r="I279" i="3"/>
  <c r="H264" i="3"/>
  <c r="A265" i="3"/>
  <c r="B241" i="3"/>
  <c r="C241" i="3" s="1"/>
  <c r="D241" i="3" s="1"/>
  <c r="I241" i="3"/>
  <c r="A450" i="2"/>
  <c r="A243" i="2"/>
  <c r="B459" i="6"/>
  <c r="D459" i="6" s="1"/>
  <c r="I459" i="6"/>
  <c r="B319" i="3"/>
  <c r="H309" i="3"/>
  <c r="B307" i="3"/>
  <c r="C307" i="3" s="1"/>
  <c r="D307" i="3" s="1"/>
  <c r="B255" i="3"/>
  <c r="C255" i="3" s="1"/>
  <c r="D255" i="3" s="1"/>
  <c r="H228" i="3"/>
  <c r="H224" i="3"/>
  <c r="B219" i="3"/>
  <c r="C219" i="3" s="1"/>
  <c r="D219" i="3" s="1"/>
  <c r="H214" i="3"/>
  <c r="B212" i="3"/>
  <c r="B211" i="3"/>
  <c r="C211" i="3" s="1"/>
  <c r="D211" i="3" s="1"/>
  <c r="B208" i="3"/>
  <c r="B207" i="3"/>
  <c r="H202" i="3"/>
  <c r="H201" i="3"/>
  <c r="B462" i="2"/>
  <c r="B460" i="2"/>
  <c r="D460" i="2" s="1"/>
  <c r="B443" i="2"/>
  <c r="B439" i="2"/>
  <c r="B430" i="2"/>
  <c r="D430" i="2" s="1"/>
  <c r="B410" i="2"/>
  <c r="B406" i="2"/>
  <c r="D406" i="2" s="1"/>
  <c r="I391" i="2"/>
  <c r="B391" i="2"/>
  <c r="D391" i="2" s="1"/>
  <c r="A356" i="2"/>
  <c r="A278" i="2"/>
  <c r="B234" i="2"/>
  <c r="D234" i="2" s="1"/>
  <c r="I234" i="2"/>
  <c r="B210" i="2"/>
  <c r="I210" i="2"/>
  <c r="A430" i="6"/>
  <c r="B418" i="6"/>
  <c r="D418" i="6" s="1"/>
  <c r="I418" i="6"/>
  <c r="I297" i="6"/>
  <c r="B297" i="6"/>
  <c r="B325" i="3"/>
  <c r="B322" i="3"/>
  <c r="C322" i="3" s="1"/>
  <c r="D322" i="3" s="1"/>
  <c r="B298" i="3"/>
  <c r="B247" i="3"/>
  <c r="C247" i="3" s="1"/>
  <c r="D247" i="3" s="1"/>
  <c r="B245" i="3"/>
  <c r="B214" i="3"/>
  <c r="B347" i="2"/>
  <c r="A347" i="2"/>
  <c r="B343" i="2"/>
  <c r="D343" i="2" s="1"/>
  <c r="B326" i="2"/>
  <c r="D326" i="2" s="1"/>
  <c r="A306" i="2"/>
  <c r="A290" i="2"/>
  <c r="B250" i="2"/>
  <c r="D250" i="2" s="1"/>
  <c r="B494" i="6"/>
  <c r="D494" i="6" s="1"/>
  <c r="I494" i="6"/>
  <c r="B490" i="6"/>
  <c r="D490" i="6" s="1"/>
  <c r="I490" i="6"/>
  <c r="B475" i="6"/>
  <c r="D475" i="6" s="1"/>
  <c r="I475" i="6"/>
  <c r="B464" i="6"/>
  <c r="D464" i="6" s="1"/>
  <c r="A431" i="6"/>
  <c r="B388" i="6"/>
  <c r="D388" i="6" s="1"/>
  <c r="I388" i="6"/>
  <c r="A291" i="6"/>
  <c r="B271" i="6"/>
  <c r="D271" i="6" s="1"/>
  <c r="H327" i="3"/>
  <c r="H322" i="3"/>
  <c r="H319" i="3"/>
  <c r="H305" i="3"/>
  <c r="H297" i="3"/>
  <c r="B284" i="3"/>
  <c r="B272" i="3"/>
  <c r="B271" i="3"/>
  <c r="C271" i="3" s="1"/>
  <c r="D271" i="3" s="1"/>
  <c r="I263" i="3"/>
  <c r="H261" i="3"/>
  <c r="H240" i="3"/>
  <c r="H230" i="3"/>
  <c r="I226" i="3"/>
  <c r="I217" i="3"/>
  <c r="H216" i="3"/>
  <c r="A215" i="3"/>
  <c r="B498" i="2"/>
  <c r="D498" i="2" s="1"/>
  <c r="I491" i="2"/>
  <c r="I442" i="2"/>
  <c r="I438" i="2"/>
  <c r="B434" i="2"/>
  <c r="I402" i="2"/>
  <c r="A399" i="2"/>
  <c r="B367" i="2"/>
  <c r="D367" i="2" s="1"/>
  <c r="A298" i="2"/>
  <c r="B268" i="2"/>
  <c r="D268" i="2" s="1"/>
  <c r="I268" i="2"/>
  <c r="A242" i="2"/>
  <c r="B218" i="2"/>
  <c r="D218" i="2" s="1"/>
  <c r="I218" i="2"/>
  <c r="A500" i="6"/>
  <c r="A499" i="6"/>
  <c r="B496" i="6"/>
  <c r="D496" i="6" s="1"/>
  <c r="A492" i="6"/>
  <c r="B486" i="6"/>
  <c r="D486" i="6" s="1"/>
  <c r="A476" i="6"/>
  <c r="B470" i="6"/>
  <c r="D470" i="6" s="1"/>
  <c r="B383" i="6"/>
  <c r="A310" i="6"/>
  <c r="I249" i="6"/>
  <c r="B249" i="6"/>
  <c r="B390" i="2"/>
  <c r="D390" i="2" s="1"/>
  <c r="B382" i="2"/>
  <c r="D382" i="2" s="1"/>
  <c r="B378" i="2"/>
  <c r="B365" i="2"/>
  <c r="D365" i="2" s="1"/>
  <c r="B363" i="2"/>
  <c r="D363" i="2" s="1"/>
  <c r="B359" i="2"/>
  <c r="B351" i="2"/>
  <c r="D351" i="2" s="1"/>
  <c r="B338" i="2"/>
  <c r="D338" i="2" s="1"/>
  <c r="B302" i="2"/>
  <c r="D302" i="2" s="1"/>
  <c r="B294" i="2"/>
  <c r="D294" i="2" s="1"/>
  <c r="B272" i="2"/>
  <c r="B248" i="2"/>
  <c r="D248" i="2" s="1"/>
  <c r="B244" i="2"/>
  <c r="D244" i="2" s="1"/>
  <c r="B202" i="2"/>
  <c r="B500" i="6"/>
  <c r="I471" i="6"/>
  <c r="B471" i="6"/>
  <c r="B466" i="6"/>
  <c r="D466" i="6" s="1"/>
  <c r="I466" i="6"/>
  <c r="B386" i="6"/>
  <c r="D386" i="6" s="1"/>
  <c r="I386" i="6"/>
  <c r="B363" i="6"/>
  <c r="D363" i="6" s="1"/>
  <c r="I363" i="6"/>
  <c r="I292" i="6"/>
  <c r="B292" i="6"/>
  <c r="D292" i="6" s="1"/>
  <c r="A250" i="6"/>
  <c r="B221" i="6"/>
  <c r="I221" i="6"/>
  <c r="A251" i="6"/>
  <c r="B205" i="6"/>
  <c r="I205" i="6"/>
  <c r="B322" i="2"/>
  <c r="D322" i="2" s="1"/>
  <c r="B310" i="2"/>
  <c r="D310" i="2" s="1"/>
  <c r="B286" i="2"/>
  <c r="D286" i="2" s="1"/>
  <c r="B264" i="2"/>
  <c r="D264" i="2" s="1"/>
  <c r="B260" i="2"/>
  <c r="B256" i="2"/>
  <c r="D256" i="2" s="1"/>
  <c r="B479" i="6"/>
  <c r="D479" i="6" s="1"/>
  <c r="I479" i="6"/>
  <c r="B474" i="6"/>
  <c r="D474" i="6" s="1"/>
  <c r="B454" i="6"/>
  <c r="D454" i="6" s="1"/>
  <c r="B439" i="6"/>
  <c r="D439" i="6" s="1"/>
  <c r="I439" i="6"/>
  <c r="A379" i="6"/>
  <c r="B310" i="6"/>
  <c r="I310" i="6"/>
  <c r="I252" i="6"/>
  <c r="B252" i="6"/>
  <c r="D252" i="6" s="1"/>
  <c r="B246" i="6"/>
  <c r="I246" i="6"/>
  <c r="A218" i="6"/>
  <c r="A210" i="6"/>
  <c r="B484" i="6"/>
  <c r="D484" i="6" s="1"/>
  <c r="B478" i="6"/>
  <c r="D478" i="6" s="1"/>
  <c r="B468" i="6"/>
  <c r="D468" i="6" s="1"/>
  <c r="B442" i="6"/>
  <c r="B438" i="6"/>
  <c r="D438" i="6" s="1"/>
  <c r="B430" i="6"/>
  <c r="D430" i="6" s="1"/>
  <c r="B428" i="6"/>
  <c r="B396" i="6"/>
  <c r="D396" i="6" s="1"/>
  <c r="B378" i="6"/>
  <c r="D378" i="6" s="1"/>
  <c r="B316" i="6"/>
  <c r="D316" i="6" s="1"/>
  <c r="B314" i="6"/>
  <c r="D314" i="6" s="1"/>
  <c r="B281" i="6"/>
  <c r="B264" i="6"/>
  <c r="D264" i="6" s="1"/>
  <c r="B263" i="6"/>
  <c r="D263" i="6" s="1"/>
  <c r="B257" i="6"/>
  <c r="B237" i="6"/>
  <c r="B232" i="6"/>
  <c r="B215" i="6"/>
  <c r="D215" i="6" s="1"/>
  <c r="B209" i="6"/>
  <c r="B202" i="6"/>
  <c r="D202" i="6" s="1"/>
  <c r="B359" i="6"/>
  <c r="D359" i="6" s="1"/>
  <c r="B279" i="6"/>
  <c r="D279" i="6" s="1"/>
  <c r="B255" i="6"/>
  <c r="D255" i="6" s="1"/>
  <c r="B243" i="6"/>
  <c r="D243" i="6" s="1"/>
  <c r="B241" i="6"/>
  <c r="B231" i="6"/>
  <c r="D231" i="6" s="1"/>
  <c r="B497" i="3"/>
  <c r="C497" i="3" s="1"/>
  <c r="D497" i="3" s="1"/>
  <c r="B493" i="3"/>
  <c r="C493" i="3" s="1"/>
  <c r="D493" i="3" s="1"/>
  <c r="B491" i="3"/>
  <c r="B489" i="3"/>
  <c r="A481" i="3"/>
  <c r="I432" i="3"/>
  <c r="B432" i="3"/>
  <c r="H369" i="3"/>
  <c r="A370" i="3"/>
  <c r="H357" i="3"/>
  <c r="A358" i="3"/>
  <c r="H289" i="3"/>
  <c r="A290" i="3"/>
  <c r="H273" i="3"/>
  <c r="A274" i="3"/>
  <c r="H252" i="3"/>
  <c r="A253" i="3"/>
  <c r="B221" i="3"/>
  <c r="C221" i="3" s="1"/>
  <c r="D221" i="3" s="1"/>
  <c r="I221" i="3"/>
  <c r="B394" i="2"/>
  <c r="I394" i="2"/>
  <c r="B500" i="3"/>
  <c r="C500" i="3" s="1"/>
  <c r="D500" i="3" s="1"/>
  <c r="B496" i="3"/>
  <c r="C496" i="3" s="1"/>
  <c r="D496" i="3" s="1"/>
  <c r="B451" i="3"/>
  <c r="C451" i="3" s="1"/>
  <c r="D451" i="3" s="1"/>
  <c r="I439" i="3"/>
  <c r="H432" i="3"/>
  <c r="A433" i="3"/>
  <c r="I419" i="3"/>
  <c r="I416" i="3"/>
  <c r="B416" i="3"/>
  <c r="H384" i="3"/>
  <c r="A385" i="3"/>
  <c r="B378" i="3"/>
  <c r="C378" i="3" s="1"/>
  <c r="D378" i="3" s="1"/>
  <c r="I367" i="3"/>
  <c r="B367" i="3"/>
  <c r="C367" i="3" s="1"/>
  <c r="D367" i="3" s="1"/>
  <c r="I355" i="3"/>
  <c r="B355" i="3"/>
  <c r="C355" i="3" s="1"/>
  <c r="D355" i="3" s="1"/>
  <c r="H353" i="3"/>
  <c r="A354" i="3"/>
  <c r="H341" i="3"/>
  <c r="A342" i="3"/>
  <c r="H336" i="3"/>
  <c r="A337" i="3"/>
  <c r="H244" i="3"/>
  <c r="A245" i="3"/>
  <c r="A494" i="2"/>
  <c r="B486" i="2"/>
  <c r="D486" i="2" s="1"/>
  <c r="I486" i="2"/>
  <c r="I476" i="2"/>
  <c r="B476" i="2"/>
  <c r="D476" i="2" s="1"/>
  <c r="B466" i="2"/>
  <c r="I466" i="2"/>
  <c r="I444" i="2"/>
  <c r="B444" i="2"/>
  <c r="D444" i="2" s="1"/>
  <c r="B414" i="2"/>
  <c r="I414" i="2"/>
  <c r="B345" i="2"/>
  <c r="D345" i="2" s="1"/>
  <c r="I345" i="2"/>
  <c r="A281" i="2"/>
  <c r="A272" i="2"/>
  <c r="B252" i="2"/>
  <c r="D252" i="2" s="1"/>
  <c r="I252" i="2"/>
  <c r="I245" i="2"/>
  <c r="B245" i="2"/>
  <c r="D245" i="2" s="1"/>
  <c r="B214" i="2"/>
  <c r="D214" i="2" s="1"/>
  <c r="I214" i="2"/>
  <c r="B495" i="6"/>
  <c r="D495" i="6" s="1"/>
  <c r="I495" i="6"/>
  <c r="H340" i="3"/>
  <c r="A341" i="3"/>
  <c r="I308" i="3"/>
  <c r="B308" i="3"/>
  <c r="B243" i="3"/>
  <c r="C243" i="3" s="1"/>
  <c r="D243" i="3" s="1"/>
  <c r="I243" i="3"/>
  <c r="B225" i="3"/>
  <c r="C225" i="3" s="1"/>
  <c r="D225" i="3" s="1"/>
  <c r="I225" i="3"/>
  <c r="A403" i="2"/>
  <c r="I366" i="2"/>
  <c r="B366" i="2"/>
  <c r="I472" i="3"/>
  <c r="I469" i="3"/>
  <c r="A461" i="3"/>
  <c r="B456" i="3"/>
  <c r="I456" i="3"/>
  <c r="I498" i="3"/>
  <c r="I494" i="3"/>
  <c r="B490" i="3"/>
  <c r="C490" i="3" s="1"/>
  <c r="D490" i="3" s="1"/>
  <c r="I485" i="3"/>
  <c r="I480" i="3"/>
  <c r="H465" i="3"/>
  <c r="B460" i="3"/>
  <c r="C460" i="3" s="1"/>
  <c r="D460" i="3" s="1"/>
  <c r="H453" i="3"/>
  <c r="A437" i="3"/>
  <c r="B411" i="3"/>
  <c r="C411" i="3" s="1"/>
  <c r="D411" i="3" s="1"/>
  <c r="I403" i="3"/>
  <c r="I400" i="3"/>
  <c r="B400" i="3"/>
  <c r="A398" i="3"/>
  <c r="H386" i="3"/>
  <c r="H385" i="3"/>
  <c r="A386" i="3"/>
  <c r="I368" i="3"/>
  <c r="B368" i="3"/>
  <c r="I356" i="3"/>
  <c r="B356" i="3"/>
  <c r="I339" i="3"/>
  <c r="B339" i="3"/>
  <c r="C339" i="3" s="1"/>
  <c r="D339" i="3" s="1"/>
  <c r="H337" i="3"/>
  <c r="A338" i="3"/>
  <c r="A332" i="3"/>
  <c r="A328" i="3"/>
  <c r="A327" i="3"/>
  <c r="I304" i="3"/>
  <c r="B304" i="3"/>
  <c r="I296" i="3"/>
  <c r="B296" i="3"/>
  <c r="I260" i="3"/>
  <c r="B260" i="3"/>
  <c r="H257" i="3"/>
  <c r="A258" i="3"/>
  <c r="H241" i="3"/>
  <c r="A242" i="3"/>
  <c r="B233" i="3"/>
  <c r="C233" i="3" s="1"/>
  <c r="D233" i="3" s="1"/>
  <c r="I233" i="3"/>
  <c r="H205" i="3"/>
  <c r="A206" i="3"/>
  <c r="A203" i="3"/>
  <c r="A482" i="2"/>
  <c r="B458" i="2"/>
  <c r="I458" i="2"/>
  <c r="B450" i="2"/>
  <c r="I450" i="2"/>
  <c r="B373" i="2"/>
  <c r="D373" i="2" s="1"/>
  <c r="I373" i="2"/>
  <c r="A313" i="2"/>
  <c r="B285" i="2"/>
  <c r="D285" i="2" s="1"/>
  <c r="B499" i="3"/>
  <c r="B495" i="3"/>
  <c r="B415" i="3"/>
  <c r="C415" i="3" s="1"/>
  <c r="D415" i="3" s="1"/>
  <c r="H401" i="3"/>
  <c r="A402" i="3"/>
  <c r="I384" i="3"/>
  <c r="B384" i="3"/>
  <c r="H352" i="3"/>
  <c r="A353" i="3"/>
  <c r="I300" i="3"/>
  <c r="B300" i="3"/>
  <c r="I292" i="3"/>
  <c r="B292" i="3"/>
  <c r="I276" i="3"/>
  <c r="B276" i="3"/>
  <c r="H249" i="3"/>
  <c r="A250" i="3"/>
  <c r="A434" i="2"/>
  <c r="I323" i="2"/>
  <c r="B323" i="2"/>
  <c r="A487" i="6"/>
  <c r="A472" i="6"/>
  <c r="B492" i="3"/>
  <c r="C492" i="3" s="1"/>
  <c r="D492" i="3" s="1"/>
  <c r="A489" i="3"/>
  <c r="B487" i="3"/>
  <c r="H477" i="3"/>
  <c r="H473" i="3"/>
  <c r="I464" i="3"/>
  <c r="B427" i="3"/>
  <c r="C427" i="3" s="1"/>
  <c r="D427" i="3" s="1"/>
  <c r="B488" i="3"/>
  <c r="C488" i="3" s="1"/>
  <c r="D488" i="3" s="1"/>
  <c r="B473" i="3"/>
  <c r="C473" i="3" s="1"/>
  <c r="D473" i="3" s="1"/>
  <c r="A445" i="3"/>
  <c r="A438" i="3"/>
  <c r="H433" i="3"/>
  <c r="A434" i="3"/>
  <c r="H416" i="3"/>
  <c r="A417" i="3"/>
  <c r="A397" i="3"/>
  <c r="A383" i="3"/>
  <c r="H497" i="3"/>
  <c r="H493" i="3"/>
  <c r="H489" i="3"/>
  <c r="I486" i="3"/>
  <c r="H481" i="3"/>
  <c r="H479" i="3"/>
  <c r="H469" i="3"/>
  <c r="I468" i="3"/>
  <c r="I460" i="3"/>
  <c r="B453" i="3"/>
  <c r="C453" i="3" s="1"/>
  <c r="D453" i="3" s="1"/>
  <c r="A449" i="3"/>
  <c r="H448" i="3"/>
  <c r="B443" i="3"/>
  <c r="C443" i="3" s="1"/>
  <c r="D443" i="3" s="1"/>
  <c r="B440" i="3"/>
  <c r="B430" i="3"/>
  <c r="C430" i="3" s="1"/>
  <c r="D430" i="3" s="1"/>
  <c r="A422" i="3"/>
  <c r="A421" i="3"/>
  <c r="B420" i="3"/>
  <c r="H417" i="3"/>
  <c r="A418" i="3"/>
  <c r="H413" i="3"/>
  <c r="H412" i="3"/>
  <c r="B408" i="3"/>
  <c r="B407" i="3"/>
  <c r="C407" i="3" s="1"/>
  <c r="D407" i="3" s="1"/>
  <c r="H400" i="3"/>
  <c r="A401" i="3"/>
  <c r="B395" i="3"/>
  <c r="C395" i="3" s="1"/>
  <c r="D395" i="3" s="1"/>
  <c r="B394" i="3"/>
  <c r="C394" i="3" s="1"/>
  <c r="D394" i="3" s="1"/>
  <c r="A390" i="3"/>
  <c r="A389" i="3"/>
  <c r="B388" i="3"/>
  <c r="B387" i="3"/>
  <c r="C387" i="3" s="1"/>
  <c r="D387" i="3" s="1"/>
  <c r="I383" i="3"/>
  <c r="B383" i="3"/>
  <c r="A382" i="3"/>
  <c r="A381" i="3"/>
  <c r="H378" i="3"/>
  <c r="H368" i="3"/>
  <c r="A369" i="3"/>
  <c r="H366" i="3"/>
  <c r="H365" i="3"/>
  <c r="H364" i="3"/>
  <c r="H356" i="3"/>
  <c r="A357" i="3"/>
  <c r="B354" i="3"/>
  <c r="I340" i="3"/>
  <c r="B340" i="3"/>
  <c r="H338" i="3"/>
  <c r="B331" i="3"/>
  <c r="C331" i="3" s="1"/>
  <c r="D331" i="3" s="1"/>
  <c r="I331" i="3"/>
  <c r="I328" i="3"/>
  <c r="B328" i="3"/>
  <c r="B327" i="3"/>
  <c r="I327" i="3"/>
  <c r="B326" i="3"/>
  <c r="I326" i="3"/>
  <c r="B320" i="3"/>
  <c r="C320" i="3" s="1"/>
  <c r="D320" i="3" s="1"/>
  <c r="H314" i="3"/>
  <c r="A315" i="3"/>
  <c r="H288" i="3"/>
  <c r="A289" i="3"/>
  <c r="H280" i="3"/>
  <c r="B248" i="3"/>
  <c r="A235" i="3"/>
  <c r="H229" i="3"/>
  <c r="A230" i="3"/>
  <c r="B218" i="3"/>
  <c r="C218" i="3" s="1"/>
  <c r="D218" i="3" s="1"/>
  <c r="B490" i="2"/>
  <c r="I490" i="2"/>
  <c r="A483" i="2"/>
  <c r="A475" i="2"/>
  <c r="A463" i="2"/>
  <c r="I364" i="2"/>
  <c r="B364" i="2"/>
  <c r="B317" i="2"/>
  <c r="D317" i="2" s="1"/>
  <c r="H306" i="3"/>
  <c r="H302" i="3"/>
  <c r="H298" i="3"/>
  <c r="H294" i="3"/>
  <c r="H290" i="3"/>
  <c r="B280" i="3"/>
  <c r="B268" i="3"/>
  <c r="B264" i="3"/>
  <c r="B231" i="3"/>
  <c r="C231" i="3" s="1"/>
  <c r="D231" i="3" s="1"/>
  <c r="H222" i="3"/>
  <c r="B210" i="3"/>
  <c r="C210" i="3" s="1"/>
  <c r="D210" i="3" s="1"/>
  <c r="B494" i="2"/>
  <c r="B475" i="2"/>
  <c r="B471" i="2"/>
  <c r="D471" i="2" s="1"/>
  <c r="A466" i="2"/>
  <c r="B446" i="2"/>
  <c r="I446" i="2"/>
  <c r="A414" i="2"/>
  <c r="I380" i="2"/>
  <c r="B380" i="2"/>
  <c r="D380" i="2" s="1"/>
  <c r="B379" i="2"/>
  <c r="D379" i="2" s="1"/>
  <c r="B361" i="2"/>
  <c r="D361" i="2" s="1"/>
  <c r="I361" i="2"/>
  <c r="A352" i="2"/>
  <c r="B337" i="2"/>
  <c r="A336" i="2"/>
  <c r="B274" i="2"/>
  <c r="D274" i="2" s="1"/>
  <c r="I274" i="2"/>
  <c r="B257" i="2"/>
  <c r="D257" i="2" s="1"/>
  <c r="B222" i="2"/>
  <c r="I222" i="2"/>
  <c r="A222" i="2"/>
  <c r="H461" i="3"/>
  <c r="H457" i="3"/>
  <c r="B452" i="3"/>
  <c r="H445" i="3"/>
  <c r="H441" i="3"/>
  <c r="B438" i="3"/>
  <c r="H425" i="3"/>
  <c r="H424" i="3"/>
  <c r="B422" i="3"/>
  <c r="H409" i="3"/>
  <c r="H408" i="3"/>
  <c r="B406" i="3"/>
  <c r="C406" i="3" s="1"/>
  <c r="D406" i="3" s="1"/>
  <c r="H393" i="3"/>
  <c r="H392" i="3"/>
  <c r="B390" i="3"/>
  <c r="H377" i="3"/>
  <c r="H376" i="3"/>
  <c r="B374" i="3"/>
  <c r="C374" i="3" s="1"/>
  <c r="D374" i="3" s="1"/>
  <c r="H361" i="3"/>
  <c r="H360" i="3"/>
  <c r="B358" i="3"/>
  <c r="B352" i="3"/>
  <c r="B351" i="3"/>
  <c r="H345" i="3"/>
  <c r="H344" i="3"/>
  <c r="B342" i="3"/>
  <c r="B336" i="3"/>
  <c r="B335" i="3"/>
  <c r="C335" i="3" s="1"/>
  <c r="D335" i="3" s="1"/>
  <c r="H333" i="3"/>
  <c r="B317" i="3"/>
  <c r="B314" i="3"/>
  <c r="C314" i="3" s="1"/>
  <c r="D314" i="3" s="1"/>
  <c r="B288" i="3"/>
  <c r="H281" i="3"/>
  <c r="H268" i="3"/>
  <c r="B252" i="3"/>
  <c r="I247" i="3"/>
  <c r="H245" i="3"/>
  <c r="I244" i="3"/>
  <c r="B244" i="3"/>
  <c r="C244" i="3" s="1"/>
  <c r="D244" i="3" s="1"/>
  <c r="B238" i="3"/>
  <c r="I231" i="3"/>
  <c r="H226" i="3"/>
  <c r="H225" i="3"/>
  <c r="B223" i="3"/>
  <c r="C223" i="3" s="1"/>
  <c r="D223" i="3" s="1"/>
  <c r="B222" i="3"/>
  <c r="C222" i="3" s="1"/>
  <c r="D222" i="3" s="1"/>
  <c r="H213" i="3"/>
  <c r="A214" i="3"/>
  <c r="H211" i="3"/>
  <c r="B206" i="3"/>
  <c r="I494" i="2"/>
  <c r="B487" i="2"/>
  <c r="D487" i="2" s="1"/>
  <c r="B482" i="2"/>
  <c r="I482" i="2"/>
  <c r="B474" i="2"/>
  <c r="B459" i="2"/>
  <c r="A446" i="2"/>
  <c r="A438" i="2"/>
  <c r="A435" i="2"/>
  <c r="B422" i="2"/>
  <c r="D422" i="2" s="1"/>
  <c r="I422" i="2"/>
  <c r="B377" i="2"/>
  <c r="D377" i="2" s="1"/>
  <c r="I377" i="2"/>
  <c r="A368" i="2"/>
  <c r="A355" i="2"/>
  <c r="B350" i="2"/>
  <c r="B348" i="2"/>
  <c r="A340" i="2"/>
  <c r="A337" i="2"/>
  <c r="A314" i="2"/>
  <c r="B301" i="2"/>
  <c r="D301" i="2" s="1"/>
  <c r="A297" i="2"/>
  <c r="A282" i="2"/>
  <c r="I261" i="2"/>
  <c r="B261" i="2"/>
  <c r="D261" i="2" s="1"/>
  <c r="A394" i="6"/>
  <c r="B362" i="3"/>
  <c r="C362" i="3" s="1"/>
  <c r="D362" i="3" s="1"/>
  <c r="H349" i="3"/>
  <c r="H348" i="3"/>
  <c r="B346" i="3"/>
  <c r="C346" i="3" s="1"/>
  <c r="D346" i="3" s="1"/>
  <c r="H325" i="3"/>
  <c r="A309" i="3"/>
  <c r="A306" i="3"/>
  <c r="C306" i="3" s="1"/>
  <c r="D306" i="3" s="1"/>
  <c r="A305" i="3"/>
  <c r="A302" i="3"/>
  <c r="A301" i="3"/>
  <c r="A298" i="3"/>
  <c r="A297" i="3"/>
  <c r="A294" i="3"/>
  <c r="A293" i="3"/>
  <c r="H285" i="3"/>
  <c r="H284" i="3"/>
  <c r="A277" i="3"/>
  <c r="H269" i="3"/>
  <c r="A261" i="3"/>
  <c r="H253" i="3"/>
  <c r="B249" i="3"/>
  <c r="A229" i="3"/>
  <c r="B227" i="3"/>
  <c r="C227" i="3" s="1"/>
  <c r="D227" i="3" s="1"/>
  <c r="I227" i="3"/>
  <c r="H210" i="3"/>
  <c r="B203" i="3"/>
  <c r="B454" i="2"/>
  <c r="D454" i="2" s="1"/>
  <c r="I454" i="2"/>
  <c r="B426" i="2"/>
  <c r="I426" i="2"/>
  <c r="B418" i="2"/>
  <c r="D418" i="2" s="1"/>
  <c r="I418" i="2"/>
  <c r="I412" i="2"/>
  <c r="B412" i="2"/>
  <c r="D412" i="2" s="1"/>
  <c r="A402" i="2"/>
  <c r="B386" i="2"/>
  <c r="D386" i="2" s="1"/>
  <c r="I386" i="2"/>
  <c r="A371" i="2"/>
  <c r="B357" i="2"/>
  <c r="D357" i="2" s="1"/>
  <c r="I357" i="2"/>
  <c r="A329" i="2"/>
  <c r="B227" i="2"/>
  <c r="D227" i="2" s="1"/>
  <c r="I211" i="2"/>
  <c r="B211" i="2"/>
  <c r="D211" i="2" s="1"/>
  <c r="B426" i="6"/>
  <c r="I426" i="6"/>
  <c r="I395" i="6"/>
  <c r="B395" i="6"/>
  <c r="B331" i="2"/>
  <c r="B327" i="2"/>
  <c r="B324" i="2"/>
  <c r="D324" i="2" s="1"/>
  <c r="B313" i="2"/>
  <c r="B306" i="2"/>
  <c r="B297" i="2"/>
  <c r="B290" i="2"/>
  <c r="B281" i="2"/>
  <c r="I258" i="2"/>
  <c r="B258" i="2"/>
  <c r="D258" i="2" s="1"/>
  <c r="B238" i="2"/>
  <c r="B206" i="2"/>
  <c r="D206" i="2" s="1"/>
  <c r="B499" i="6"/>
  <c r="I499" i="6"/>
  <c r="B498" i="6"/>
  <c r="D498" i="6" s="1"/>
  <c r="I498" i="6"/>
  <c r="I455" i="6"/>
  <c r="B455" i="6"/>
  <c r="D455" i="6" s="1"/>
  <c r="B446" i="6"/>
  <c r="D446" i="6" s="1"/>
  <c r="I446" i="6"/>
  <c r="A395" i="6"/>
  <c r="B370" i="6"/>
  <c r="I370" i="6"/>
  <c r="B318" i="6"/>
  <c r="I318" i="6"/>
  <c r="B395" i="2"/>
  <c r="D395" i="2" s="1"/>
  <c r="B370" i="2"/>
  <c r="B354" i="2"/>
  <c r="B339" i="2"/>
  <c r="B335" i="2"/>
  <c r="B333" i="2"/>
  <c r="B309" i="2"/>
  <c r="D309" i="2" s="1"/>
  <c r="B293" i="2"/>
  <c r="D293" i="2" s="1"/>
  <c r="B277" i="2"/>
  <c r="D246" i="2"/>
  <c r="I244" i="2"/>
  <c r="I238" i="2"/>
  <c r="A238" i="2"/>
  <c r="I228" i="2"/>
  <c r="B228" i="2"/>
  <c r="D228" i="2" s="1"/>
  <c r="I206" i="2"/>
  <c r="B483" i="6"/>
  <c r="D483" i="6" s="1"/>
  <c r="I483" i="6"/>
  <c r="B482" i="6"/>
  <c r="D482" i="6" s="1"/>
  <c r="I482" i="6"/>
  <c r="B463" i="6"/>
  <c r="D463" i="6" s="1"/>
  <c r="I463" i="6"/>
  <c r="B462" i="6"/>
  <c r="D462" i="6" s="1"/>
  <c r="I462" i="6"/>
  <c r="I412" i="6"/>
  <c r="B412" i="6"/>
  <c r="D412" i="6" s="1"/>
  <c r="A354" i="6"/>
  <c r="B235" i="3"/>
  <c r="B229" i="3"/>
  <c r="H209" i="3"/>
  <c r="H207" i="3"/>
  <c r="B202" i="3"/>
  <c r="C202" i="3" s="1"/>
  <c r="D202" i="3" s="1"/>
  <c r="I390" i="2"/>
  <c r="I382" i="2"/>
  <c r="B374" i="2"/>
  <c r="B371" i="2"/>
  <c r="B362" i="2"/>
  <c r="B358" i="2"/>
  <c r="B355" i="2"/>
  <c r="B346" i="2"/>
  <c r="B342" i="2"/>
  <c r="B332" i="2"/>
  <c r="D332" i="2" s="1"/>
  <c r="I330" i="2"/>
  <c r="I326" i="2"/>
  <c r="B314" i="2"/>
  <c r="B305" i="2"/>
  <c r="D305" i="2" s="1"/>
  <c r="B298" i="2"/>
  <c r="B289" i="2"/>
  <c r="D289" i="2" s="1"/>
  <c r="B282" i="2"/>
  <c r="I272" i="2"/>
  <c r="B266" i="2"/>
  <c r="D266" i="2" s="1"/>
  <c r="I264" i="2"/>
  <c r="A253" i="2"/>
  <c r="I248" i="2"/>
  <c r="B230" i="2"/>
  <c r="A223" i="2"/>
  <c r="A471" i="6"/>
  <c r="B467" i="6"/>
  <c r="I467" i="6"/>
  <c r="B414" i="6"/>
  <c r="D414" i="6" s="1"/>
  <c r="I414" i="6"/>
  <c r="A406" i="6"/>
  <c r="A393" i="6"/>
  <c r="B382" i="6"/>
  <c r="D382" i="6" s="1"/>
  <c r="I382" i="6"/>
  <c r="A366" i="6"/>
  <c r="B231" i="2"/>
  <c r="D231" i="2" s="1"/>
  <c r="B215" i="2"/>
  <c r="D215" i="2" s="1"/>
  <c r="B488" i="6"/>
  <c r="D488" i="6" s="1"/>
  <c r="B472" i="6"/>
  <c r="B458" i="6"/>
  <c r="I458" i="6"/>
  <c r="B434" i="6"/>
  <c r="D428" i="6"/>
  <c r="B422" i="6"/>
  <c r="D422" i="6" s="1"/>
  <c r="I422" i="6"/>
  <c r="B376" i="6"/>
  <c r="D376" i="6" s="1"/>
  <c r="I376" i="6"/>
  <c r="A370" i="6"/>
  <c r="B342" i="6"/>
  <c r="I342" i="6"/>
  <c r="B324" i="6"/>
  <c r="D324" i="6" s="1"/>
  <c r="I324" i="6"/>
  <c r="B322" i="6"/>
  <c r="I322" i="6"/>
  <c r="A307" i="6"/>
  <c r="A274" i="6"/>
  <c r="I268" i="6"/>
  <c r="B268" i="6"/>
  <c r="D268" i="6" s="1"/>
  <c r="I202" i="2"/>
  <c r="B492" i="6"/>
  <c r="I486" i="6"/>
  <c r="B476" i="6"/>
  <c r="I470" i="6"/>
  <c r="A467" i="6"/>
  <c r="I454" i="6"/>
  <c r="B443" i="6"/>
  <c r="A443" i="6"/>
  <c r="I434" i="6"/>
  <c r="A434" i="6"/>
  <c r="B427" i="6"/>
  <c r="D427" i="6" s="1"/>
  <c r="B407" i="6"/>
  <c r="A407" i="6"/>
  <c r="A399" i="6"/>
  <c r="B394" i="6"/>
  <c r="I394" i="6"/>
  <c r="B374" i="6"/>
  <c r="D374" i="6" s="1"/>
  <c r="B358" i="6"/>
  <c r="D358" i="6" s="1"/>
  <c r="I358" i="6"/>
  <c r="A311" i="6"/>
  <c r="I284" i="6"/>
  <c r="B284" i="6"/>
  <c r="D284" i="6" s="1"/>
  <c r="A275" i="6"/>
  <c r="I260" i="6"/>
  <c r="B260" i="6"/>
  <c r="D260" i="6" s="1"/>
  <c r="A237" i="6"/>
  <c r="B450" i="6"/>
  <c r="D450" i="6" s="1"/>
  <c r="I450" i="6"/>
  <c r="B392" i="6"/>
  <c r="D392" i="6" s="1"/>
  <c r="I392" i="6"/>
  <c r="B366" i="6"/>
  <c r="I366" i="6"/>
  <c r="B354" i="6"/>
  <c r="I354" i="6"/>
  <c r="A315" i="6"/>
  <c r="I289" i="6"/>
  <c r="B289" i="6"/>
  <c r="I277" i="6"/>
  <c r="B277" i="6"/>
  <c r="B360" i="6"/>
  <c r="D360" i="6" s="1"/>
  <c r="B350" i="6"/>
  <c r="D350" i="6" s="1"/>
  <c r="A342" i="6"/>
  <c r="B332" i="6"/>
  <c r="D332" i="6" s="1"/>
  <c r="I332" i="6"/>
  <c r="B326" i="6"/>
  <c r="I326" i="6"/>
  <c r="A323" i="6"/>
  <c r="A322" i="6"/>
  <c r="A318" i="6"/>
  <c r="B311" i="6"/>
  <c r="B304" i="6"/>
  <c r="D304" i="6" s="1"/>
  <c r="I304" i="6"/>
  <c r="I285" i="6"/>
  <c r="B285" i="6"/>
  <c r="I269" i="6"/>
  <c r="B269" i="6"/>
  <c r="I261" i="6"/>
  <c r="B261" i="6"/>
  <c r="B248" i="6"/>
  <c r="D248" i="6" s="1"/>
  <c r="A221" i="6"/>
  <c r="B380" i="6"/>
  <c r="D380" i="6" s="1"/>
  <c r="B364" i="6"/>
  <c r="I360" i="6"/>
  <c r="I350" i="6"/>
  <c r="A340" i="6"/>
  <c r="B334" i="6"/>
  <c r="I334" i="6"/>
  <c r="A326" i="6"/>
  <c r="I305" i="6"/>
  <c r="B305" i="6"/>
  <c r="I253" i="6"/>
  <c r="B253" i="6"/>
  <c r="B247" i="6"/>
  <c r="A247" i="6"/>
  <c r="B213" i="6"/>
  <c r="D213" i="6" s="1"/>
  <c r="I213" i="6"/>
  <c r="B460" i="6"/>
  <c r="D460" i="6" s="1"/>
  <c r="A387" i="6"/>
  <c r="I383" i="6"/>
  <c r="I380" i="6"/>
  <c r="I378" i="6"/>
  <c r="B372" i="6"/>
  <c r="D372" i="6" s="1"/>
  <c r="A371" i="6"/>
  <c r="I367" i="6"/>
  <c r="I364" i="6"/>
  <c r="I362" i="6"/>
  <c r="B356" i="6"/>
  <c r="D356" i="6" s="1"/>
  <c r="A355" i="6"/>
  <c r="I351" i="6"/>
  <c r="B348" i="6"/>
  <c r="D348" i="6" s="1"/>
  <c r="B340" i="6"/>
  <c r="I340" i="6"/>
  <c r="A334" i="6"/>
  <c r="B320" i="6"/>
  <c r="D320" i="6" s="1"/>
  <c r="I320" i="6"/>
  <c r="B288" i="6"/>
  <c r="D288" i="6" s="1"/>
  <c r="I288" i="6"/>
  <c r="A283" i="6"/>
  <c r="A282" i="6"/>
  <c r="B272" i="6"/>
  <c r="D272" i="6" s="1"/>
  <c r="A267" i="6"/>
  <c r="A266" i="6"/>
  <c r="A259" i="6"/>
  <c r="A258" i="6"/>
  <c r="A242" i="6"/>
  <c r="A241" i="6"/>
  <c r="A234" i="6"/>
  <c r="B225" i="6"/>
  <c r="I225" i="6"/>
  <c r="A222" i="6"/>
  <c r="A206" i="6"/>
  <c r="B346" i="6"/>
  <c r="D346" i="6" s="1"/>
  <c r="B339" i="6"/>
  <c r="D339" i="6" s="1"/>
  <c r="B328" i="6"/>
  <c r="D328" i="6" s="1"/>
  <c r="B309" i="6"/>
  <c r="B293" i="6"/>
  <c r="B283" i="6"/>
  <c r="B267" i="6"/>
  <c r="B251" i="6"/>
  <c r="B229" i="6"/>
  <c r="D229" i="6" s="1"/>
  <c r="B210" i="6"/>
  <c r="B236" i="6"/>
  <c r="I231" i="6"/>
  <c r="B226" i="6"/>
  <c r="D226" i="6" s="1"/>
  <c r="B214" i="6"/>
  <c r="D214" i="6" s="1"/>
  <c r="B347" i="6"/>
  <c r="D347" i="6" s="1"/>
  <c r="B338" i="6"/>
  <c r="D338" i="6" s="1"/>
  <c r="B330" i="6"/>
  <c r="D330" i="6" s="1"/>
  <c r="B301" i="6"/>
  <c r="B275" i="6"/>
  <c r="B259" i="6"/>
  <c r="B233" i="6"/>
  <c r="D233" i="6" s="1"/>
  <c r="B206" i="6"/>
  <c r="B203" i="6"/>
  <c r="D203" i="6" s="1"/>
  <c r="I201" i="6"/>
  <c r="A458" i="6"/>
  <c r="I445" i="6"/>
  <c r="B445" i="6"/>
  <c r="A445" i="6"/>
  <c r="A442" i="6"/>
  <c r="B440" i="6"/>
  <c r="D440" i="6" s="1"/>
  <c r="I429" i="6"/>
  <c r="B429" i="6"/>
  <c r="A429" i="6"/>
  <c r="A426" i="6"/>
  <c r="B424" i="6"/>
  <c r="D424" i="6" s="1"/>
  <c r="I413" i="6"/>
  <c r="B413" i="6"/>
  <c r="A413" i="6"/>
  <c r="A410" i="6"/>
  <c r="B408" i="6"/>
  <c r="D408" i="6" s="1"/>
  <c r="I397" i="6"/>
  <c r="B397" i="6"/>
  <c r="A397" i="6"/>
  <c r="B371" i="6"/>
  <c r="B368" i="6"/>
  <c r="D368" i="6" s="1"/>
  <c r="I368" i="6"/>
  <c r="I357" i="6"/>
  <c r="B357" i="6"/>
  <c r="I345" i="6"/>
  <c r="B345" i="6"/>
  <c r="B343" i="6"/>
  <c r="I337" i="6"/>
  <c r="B337" i="6"/>
  <c r="B335" i="6"/>
  <c r="B315" i="6"/>
  <c r="A299" i="6"/>
  <c r="A449" i="6"/>
  <c r="I433" i="6"/>
  <c r="B433" i="6"/>
  <c r="I417" i="6"/>
  <c r="B417" i="6"/>
  <c r="A417" i="6"/>
  <c r="A401" i="6"/>
  <c r="B384" i="6"/>
  <c r="D384" i="6" s="1"/>
  <c r="I384" i="6"/>
  <c r="I373" i="6"/>
  <c r="B373" i="6"/>
  <c r="B456" i="6"/>
  <c r="D456" i="6" s="1"/>
  <c r="I500" i="6"/>
  <c r="I496" i="6"/>
  <c r="I492" i="6"/>
  <c r="I488" i="6"/>
  <c r="I484" i="6"/>
  <c r="I480" i="6"/>
  <c r="I476" i="6"/>
  <c r="I472" i="6"/>
  <c r="I468" i="6"/>
  <c r="I464" i="6"/>
  <c r="I460" i="6"/>
  <c r="I457" i="6"/>
  <c r="B457" i="6"/>
  <c r="A457" i="6"/>
  <c r="B452" i="6"/>
  <c r="D452" i="6" s="1"/>
  <c r="B451" i="6"/>
  <c r="D451" i="6" s="1"/>
  <c r="I441" i="6"/>
  <c r="B441" i="6"/>
  <c r="A441" i="6"/>
  <c r="B436" i="6"/>
  <c r="D436" i="6" s="1"/>
  <c r="B435" i="6"/>
  <c r="D435" i="6" s="1"/>
  <c r="I425" i="6"/>
  <c r="B425" i="6"/>
  <c r="A425" i="6"/>
  <c r="B420" i="6"/>
  <c r="D420" i="6" s="1"/>
  <c r="B419" i="6"/>
  <c r="I409" i="6"/>
  <c r="B409" i="6"/>
  <c r="A409" i="6"/>
  <c r="B404" i="6"/>
  <c r="D404" i="6" s="1"/>
  <c r="B403" i="6"/>
  <c r="D403" i="6" s="1"/>
  <c r="I391" i="6"/>
  <c r="B391" i="6"/>
  <c r="A383" i="6"/>
  <c r="B355" i="6"/>
  <c r="B352" i="6"/>
  <c r="I352" i="6"/>
  <c r="A327" i="6"/>
  <c r="I449" i="6"/>
  <c r="B449" i="6"/>
  <c r="A433" i="6"/>
  <c r="I401" i="6"/>
  <c r="B401" i="6"/>
  <c r="B387" i="6"/>
  <c r="A313" i="6"/>
  <c r="A225" i="6"/>
  <c r="B497" i="6"/>
  <c r="A497" i="6"/>
  <c r="B493" i="6"/>
  <c r="A493" i="6"/>
  <c r="B489" i="6"/>
  <c r="A489" i="6"/>
  <c r="B485" i="6"/>
  <c r="A485" i="6"/>
  <c r="B481" i="6"/>
  <c r="A481" i="6"/>
  <c r="B477" i="6"/>
  <c r="A477" i="6"/>
  <c r="B473" i="6"/>
  <c r="A473" i="6"/>
  <c r="B469" i="6"/>
  <c r="A469" i="6"/>
  <c r="B465" i="6"/>
  <c r="A465" i="6"/>
  <c r="B461" i="6"/>
  <c r="A461" i="6"/>
  <c r="I453" i="6"/>
  <c r="B453" i="6"/>
  <c r="A453" i="6"/>
  <c r="B448" i="6"/>
  <c r="D448" i="6" s="1"/>
  <c r="B447" i="6"/>
  <c r="D447" i="6" s="1"/>
  <c r="I437" i="6"/>
  <c r="B437" i="6"/>
  <c r="A437" i="6"/>
  <c r="B432" i="6"/>
  <c r="D432" i="6" s="1"/>
  <c r="B431" i="6"/>
  <c r="I421" i="6"/>
  <c r="B421" i="6"/>
  <c r="A421" i="6"/>
  <c r="B416" i="6"/>
  <c r="D416" i="6" s="1"/>
  <c r="B415" i="6"/>
  <c r="D415" i="6" s="1"/>
  <c r="I405" i="6"/>
  <c r="B405" i="6"/>
  <c r="A405" i="6"/>
  <c r="B400" i="6"/>
  <c r="D400" i="6" s="1"/>
  <c r="B399" i="6"/>
  <c r="B393" i="6"/>
  <c r="B390" i="6"/>
  <c r="D390" i="6" s="1"/>
  <c r="I390" i="6"/>
  <c r="A367" i="6"/>
  <c r="D367" i="6" s="1"/>
  <c r="B327" i="6"/>
  <c r="A306" i="6"/>
  <c r="A290" i="6"/>
  <c r="A246" i="6"/>
  <c r="I385" i="6"/>
  <c r="B385" i="6"/>
  <c r="I372" i="6"/>
  <c r="I369" i="6"/>
  <c r="B369" i="6"/>
  <c r="I356" i="6"/>
  <c r="I353" i="6"/>
  <c r="B353" i="6"/>
  <c r="B344" i="6"/>
  <c r="D344" i="6" s="1"/>
  <c r="B336" i="6"/>
  <c r="D336" i="6" s="1"/>
  <c r="B331" i="6"/>
  <c r="A297" i="6"/>
  <c r="A391" i="6"/>
  <c r="I381" i="6"/>
  <c r="B381" i="6"/>
  <c r="I365" i="6"/>
  <c r="B365" i="6"/>
  <c r="I349" i="6"/>
  <c r="B349" i="6"/>
  <c r="I344" i="6"/>
  <c r="A343" i="6"/>
  <c r="I341" i="6"/>
  <c r="B341" i="6"/>
  <c r="I336" i="6"/>
  <c r="A335" i="6"/>
  <c r="A331" i="6"/>
  <c r="B299" i="6"/>
  <c r="I377" i="6"/>
  <c r="B377" i="6"/>
  <c r="I361" i="6"/>
  <c r="B361" i="6"/>
  <c r="B323" i="6"/>
  <c r="I313" i="6"/>
  <c r="B313" i="6"/>
  <c r="B294" i="6"/>
  <c r="D294" i="6" s="1"/>
  <c r="I294" i="6"/>
  <c r="A385" i="6"/>
  <c r="A381" i="6"/>
  <c r="A377" i="6"/>
  <c r="A373" i="6"/>
  <c r="A369" i="6"/>
  <c r="A365" i="6"/>
  <c r="A361" i="6"/>
  <c r="A357" i="6"/>
  <c r="A353" i="6"/>
  <c r="A349" i="6"/>
  <c r="A345" i="6"/>
  <c r="A341" i="6"/>
  <c r="A337" i="6"/>
  <c r="B333" i="6"/>
  <c r="A333" i="6"/>
  <c r="B329" i="6"/>
  <c r="A329" i="6"/>
  <c r="B325" i="6"/>
  <c r="A325" i="6"/>
  <c r="B321" i="6"/>
  <c r="A321" i="6"/>
  <c r="B319" i="6"/>
  <c r="A309" i="6"/>
  <c r="B306" i="6"/>
  <c r="I306" i="6"/>
  <c r="A303" i="6"/>
  <c r="B295" i="6"/>
  <c r="D295" i="6" s="1"/>
  <c r="A293" i="6"/>
  <c r="B290" i="6"/>
  <c r="I290" i="6"/>
  <c r="B286" i="6"/>
  <c r="D286" i="6" s="1"/>
  <c r="I286" i="6"/>
  <c r="B282" i="6"/>
  <c r="I282" i="6"/>
  <c r="B278" i="6"/>
  <c r="D278" i="6" s="1"/>
  <c r="I278" i="6"/>
  <c r="B274" i="6"/>
  <c r="I274" i="6"/>
  <c r="B270" i="6"/>
  <c r="D270" i="6" s="1"/>
  <c r="I270" i="6"/>
  <c r="B266" i="6"/>
  <c r="I266" i="6"/>
  <c r="B262" i="6"/>
  <c r="D262" i="6" s="1"/>
  <c r="I262" i="6"/>
  <c r="B258" i="6"/>
  <c r="I258" i="6"/>
  <c r="B254" i="6"/>
  <c r="D254" i="6" s="1"/>
  <c r="I254" i="6"/>
  <c r="B250" i="6"/>
  <c r="I250" i="6"/>
  <c r="B307" i="6"/>
  <c r="A305" i="6"/>
  <c r="B302" i="6"/>
  <c r="D302" i="6" s="1"/>
  <c r="I302" i="6"/>
  <c r="B291" i="6"/>
  <c r="A289" i="6"/>
  <c r="I244" i="6"/>
  <c r="B244" i="6"/>
  <c r="D244" i="6" s="1"/>
  <c r="B218" i="6"/>
  <c r="I216" i="6"/>
  <c r="B216" i="6"/>
  <c r="I317" i="6"/>
  <c r="B317" i="6"/>
  <c r="A317" i="6"/>
  <c r="B312" i="6"/>
  <c r="D312" i="6" s="1"/>
  <c r="B303" i="6"/>
  <c r="A301" i="6"/>
  <c r="B298" i="6"/>
  <c r="D298" i="6" s="1"/>
  <c r="I298" i="6"/>
  <c r="A285" i="6"/>
  <c r="A281" i="6"/>
  <c r="A277" i="6"/>
  <c r="A273" i="6"/>
  <c r="A269" i="6"/>
  <c r="A265" i="6"/>
  <c r="A261" i="6"/>
  <c r="A257" i="6"/>
  <c r="A253" i="6"/>
  <c r="A249" i="6"/>
  <c r="B242" i="6"/>
  <c r="I245" i="6"/>
  <c r="B245" i="6"/>
  <c r="A245" i="6"/>
  <c r="I223" i="6"/>
  <c r="B223" i="6"/>
  <c r="D223" i="6" s="1"/>
  <c r="A216" i="6"/>
  <c r="A209" i="6"/>
  <c r="B238" i="6"/>
  <c r="D238" i="6" s="1"/>
  <c r="B234" i="6"/>
  <c r="B230" i="6"/>
  <c r="D230" i="6" s="1"/>
  <c r="A240" i="6"/>
  <c r="A236" i="6"/>
  <c r="A232" i="6"/>
  <c r="I228" i="6"/>
  <c r="B228" i="6"/>
  <c r="A228" i="6"/>
  <c r="B222" i="6"/>
  <c r="I212" i="6"/>
  <c r="B212" i="6"/>
  <c r="A212" i="6"/>
  <c r="I204" i="6"/>
  <c r="B204" i="6"/>
  <c r="I241" i="6"/>
  <c r="I237" i="6"/>
  <c r="I233" i="6"/>
  <c r="I229" i="6"/>
  <c r="I224" i="6"/>
  <c r="B224" i="6"/>
  <c r="A224" i="6"/>
  <c r="B219" i="6"/>
  <c r="D219" i="6" s="1"/>
  <c r="A205" i="6"/>
  <c r="I220" i="6"/>
  <c r="B220" i="6"/>
  <c r="A220" i="6"/>
  <c r="I208" i="6"/>
  <c r="B208" i="6"/>
  <c r="A208" i="6"/>
  <c r="A204" i="6"/>
  <c r="B325" i="2"/>
  <c r="D325" i="2" s="1"/>
  <c r="A300" i="2"/>
  <c r="I263" i="2"/>
  <c r="B263" i="2"/>
  <c r="I493" i="2"/>
  <c r="B493" i="2"/>
  <c r="A493" i="2"/>
  <c r="A490" i="2"/>
  <c r="B488" i="2"/>
  <c r="D488" i="2" s="1"/>
  <c r="A474" i="2"/>
  <c r="B472" i="2"/>
  <c r="D472" i="2" s="1"/>
  <c r="I461" i="2"/>
  <c r="B461" i="2"/>
  <c r="A458" i="2"/>
  <c r="B456" i="2"/>
  <c r="D456" i="2" s="1"/>
  <c r="I445" i="2"/>
  <c r="B445" i="2"/>
  <c r="A445" i="2"/>
  <c r="A442" i="2"/>
  <c r="B440" i="2"/>
  <c r="D440" i="2" s="1"/>
  <c r="I429" i="2"/>
  <c r="B429" i="2"/>
  <c r="A429" i="2"/>
  <c r="A426" i="2"/>
  <c r="B424" i="2"/>
  <c r="D424" i="2" s="1"/>
  <c r="B408" i="2"/>
  <c r="D408" i="2" s="1"/>
  <c r="A394" i="2"/>
  <c r="B392" i="2"/>
  <c r="D392" i="2" s="1"/>
  <c r="I381" i="2"/>
  <c r="B381" i="2"/>
  <c r="A381" i="2"/>
  <c r="B352" i="2"/>
  <c r="I292" i="2"/>
  <c r="B292" i="2"/>
  <c r="B500" i="2"/>
  <c r="D500" i="2" s="1"/>
  <c r="I489" i="2"/>
  <c r="B489" i="2"/>
  <c r="A489" i="2"/>
  <c r="B484" i="2"/>
  <c r="D484" i="2" s="1"/>
  <c r="B483" i="2"/>
  <c r="A473" i="2"/>
  <c r="B468" i="2"/>
  <c r="D468" i="2" s="1"/>
  <c r="B467" i="2"/>
  <c r="D467" i="2" s="1"/>
  <c r="I457" i="2"/>
  <c r="B457" i="2"/>
  <c r="A457" i="2"/>
  <c r="B452" i="2"/>
  <c r="D452" i="2" s="1"/>
  <c r="B451" i="2"/>
  <c r="I441" i="2"/>
  <c r="B441" i="2"/>
  <c r="A441" i="2"/>
  <c r="B436" i="2"/>
  <c r="D436" i="2" s="1"/>
  <c r="B435" i="2"/>
  <c r="I425" i="2"/>
  <c r="B425" i="2"/>
  <c r="A425" i="2"/>
  <c r="B420" i="2"/>
  <c r="D420" i="2" s="1"/>
  <c r="B419" i="2"/>
  <c r="D419" i="2" s="1"/>
  <c r="I409" i="2"/>
  <c r="B409" i="2"/>
  <c r="A409" i="2"/>
  <c r="B404" i="2"/>
  <c r="D404" i="2" s="1"/>
  <c r="B403" i="2"/>
  <c r="I393" i="2"/>
  <c r="B393" i="2"/>
  <c r="A393" i="2"/>
  <c r="B388" i="2"/>
  <c r="D388" i="2" s="1"/>
  <c r="B387" i="2"/>
  <c r="D387" i="2" s="1"/>
  <c r="B372" i="2"/>
  <c r="D372" i="2" s="1"/>
  <c r="B356" i="2"/>
  <c r="D341" i="2"/>
  <c r="A333" i="2"/>
  <c r="B321" i="2"/>
  <c r="D321" i="2" s="1"/>
  <c r="A316" i="2"/>
  <c r="I300" i="2"/>
  <c r="B300" i="2"/>
  <c r="I497" i="2"/>
  <c r="B497" i="2"/>
  <c r="A497" i="2"/>
  <c r="I481" i="2"/>
  <c r="B481" i="2"/>
  <c r="A481" i="2"/>
  <c r="I465" i="2"/>
  <c r="B465" i="2"/>
  <c r="A465" i="2"/>
  <c r="I449" i="2"/>
  <c r="B449" i="2"/>
  <c r="A449" i="2"/>
  <c r="I433" i="2"/>
  <c r="B433" i="2"/>
  <c r="A433" i="2"/>
  <c r="I417" i="2"/>
  <c r="B417" i="2"/>
  <c r="A417" i="2"/>
  <c r="I401" i="2"/>
  <c r="B401" i="2"/>
  <c r="A401" i="2"/>
  <c r="I385" i="2"/>
  <c r="B385" i="2"/>
  <c r="A385" i="2"/>
  <c r="I316" i="2"/>
  <c r="B316" i="2"/>
  <c r="B265" i="2"/>
  <c r="D265" i="2" s="1"/>
  <c r="I212" i="2"/>
  <c r="B212" i="2"/>
  <c r="D212" i="2" s="1"/>
  <c r="A210" i="2"/>
  <c r="I477" i="2"/>
  <c r="B477" i="2"/>
  <c r="A477" i="2"/>
  <c r="A461" i="2"/>
  <c r="I413" i="2"/>
  <c r="B413" i="2"/>
  <c r="A413" i="2"/>
  <c r="A410" i="2"/>
  <c r="I397" i="2"/>
  <c r="B397" i="2"/>
  <c r="A397" i="2"/>
  <c r="B368" i="2"/>
  <c r="A364" i="2"/>
  <c r="A348" i="2"/>
  <c r="A339" i="2"/>
  <c r="A308" i="2"/>
  <c r="I251" i="2"/>
  <c r="B251" i="2"/>
  <c r="B499" i="2"/>
  <c r="D499" i="2" s="1"/>
  <c r="I473" i="2"/>
  <c r="B473" i="2"/>
  <c r="B496" i="2"/>
  <c r="D496" i="2" s="1"/>
  <c r="B495" i="2"/>
  <c r="D495" i="2" s="1"/>
  <c r="I485" i="2"/>
  <c r="B485" i="2"/>
  <c r="A485" i="2"/>
  <c r="B480" i="2"/>
  <c r="D480" i="2" s="1"/>
  <c r="B479" i="2"/>
  <c r="D479" i="2" s="1"/>
  <c r="I469" i="2"/>
  <c r="B469" i="2"/>
  <c r="A469" i="2"/>
  <c r="B464" i="2"/>
  <c r="D464" i="2" s="1"/>
  <c r="B463" i="2"/>
  <c r="I453" i="2"/>
  <c r="B453" i="2"/>
  <c r="A453" i="2"/>
  <c r="B448" i="2"/>
  <c r="D448" i="2" s="1"/>
  <c r="B447" i="2"/>
  <c r="D447" i="2" s="1"/>
  <c r="I437" i="2"/>
  <c r="B437" i="2"/>
  <c r="A437" i="2"/>
  <c r="B432" i="2"/>
  <c r="D432" i="2" s="1"/>
  <c r="B431" i="2"/>
  <c r="D431" i="2" s="1"/>
  <c r="I421" i="2"/>
  <c r="B421" i="2"/>
  <c r="A421" i="2"/>
  <c r="B416" i="2"/>
  <c r="D416" i="2" s="1"/>
  <c r="B415" i="2"/>
  <c r="D415" i="2" s="1"/>
  <c r="I405" i="2"/>
  <c r="B405" i="2"/>
  <c r="A405" i="2"/>
  <c r="B400" i="2"/>
  <c r="D400" i="2" s="1"/>
  <c r="B399" i="2"/>
  <c r="I389" i="2"/>
  <c r="B389" i="2"/>
  <c r="A389" i="2"/>
  <c r="B384" i="2"/>
  <c r="D384" i="2" s="1"/>
  <c r="B383" i="2"/>
  <c r="D383" i="2" s="1"/>
  <c r="B376" i="2"/>
  <c r="D376" i="2" s="1"/>
  <c r="B360" i="2"/>
  <c r="D360" i="2" s="1"/>
  <c r="B344" i="2"/>
  <c r="D344" i="2" s="1"/>
  <c r="I308" i="2"/>
  <c r="B308" i="2"/>
  <c r="A292" i="2"/>
  <c r="A284" i="2"/>
  <c r="A273" i="2"/>
  <c r="A205" i="2"/>
  <c r="A378" i="2"/>
  <c r="A374" i="2"/>
  <c r="A370" i="2"/>
  <c r="A366" i="2"/>
  <c r="A362" i="2"/>
  <c r="A358" i="2"/>
  <c r="A354" i="2"/>
  <c r="A350" i="2"/>
  <c r="A346" i="2"/>
  <c r="A342" i="2"/>
  <c r="A320" i="2"/>
  <c r="A312" i="2"/>
  <c r="A304" i="2"/>
  <c r="A296" i="2"/>
  <c r="A288" i="2"/>
  <c r="A280" i="2"/>
  <c r="A251" i="2"/>
  <c r="I284" i="2"/>
  <c r="B284" i="2"/>
  <c r="B276" i="2"/>
  <c r="D276" i="2" s="1"/>
  <c r="I276" i="2"/>
  <c r="A260" i="2"/>
  <c r="A247" i="2"/>
  <c r="A230" i="2"/>
  <c r="I375" i="2"/>
  <c r="I371" i="2"/>
  <c r="I367" i="2"/>
  <c r="I363" i="2"/>
  <c r="I359" i="2"/>
  <c r="I355" i="2"/>
  <c r="I351" i="2"/>
  <c r="I347" i="2"/>
  <c r="I343" i="2"/>
  <c r="B340" i="2"/>
  <c r="I340" i="2"/>
  <c r="B336" i="2"/>
  <c r="I336" i="2"/>
  <c r="B329" i="2"/>
  <c r="I312" i="2"/>
  <c r="B312" i="2"/>
  <c r="D312" i="2" s="1"/>
  <c r="I304" i="2"/>
  <c r="B304" i="2"/>
  <c r="D304" i="2" s="1"/>
  <c r="I296" i="2"/>
  <c r="B296" i="2"/>
  <c r="D296" i="2" s="1"/>
  <c r="I288" i="2"/>
  <c r="B288" i="2"/>
  <c r="D288" i="2" s="1"/>
  <c r="I280" i="2"/>
  <c r="B280" i="2"/>
  <c r="D280" i="2" s="1"/>
  <c r="I270" i="2"/>
  <c r="B270" i="2"/>
  <c r="D270" i="2" s="1"/>
  <c r="I267" i="2"/>
  <c r="B267" i="2"/>
  <c r="I240" i="2"/>
  <c r="B240" i="2"/>
  <c r="D240" i="2" s="1"/>
  <c r="B219" i="2"/>
  <c r="D219" i="2" s="1"/>
  <c r="I217" i="2"/>
  <c r="B217" i="2"/>
  <c r="A335" i="2"/>
  <c r="A331" i="2"/>
  <c r="A327" i="2"/>
  <c r="A323" i="2"/>
  <c r="B269" i="2"/>
  <c r="I254" i="2"/>
  <c r="B254" i="2"/>
  <c r="D254" i="2" s="1"/>
  <c r="B249" i="2"/>
  <c r="I247" i="2"/>
  <c r="B247" i="2"/>
  <c r="A217" i="2"/>
  <c r="B207" i="2"/>
  <c r="D207" i="2" s="1"/>
  <c r="I332" i="2"/>
  <c r="I328" i="2"/>
  <c r="I324" i="2"/>
  <c r="I320" i="2"/>
  <c r="B319" i="2"/>
  <c r="B315" i="2"/>
  <c r="B311" i="2"/>
  <c r="B307" i="2"/>
  <c r="B303" i="2"/>
  <c r="B299" i="2"/>
  <c r="B295" i="2"/>
  <c r="B291" i="2"/>
  <c r="B287" i="2"/>
  <c r="B283" i="2"/>
  <c r="B279" i="2"/>
  <c r="B273" i="2"/>
  <c r="A267" i="2"/>
  <c r="A263" i="2"/>
  <c r="B253" i="2"/>
  <c r="B235" i="2"/>
  <c r="D235" i="2" s="1"/>
  <c r="I233" i="2"/>
  <c r="B233" i="2"/>
  <c r="I221" i="2"/>
  <c r="B221" i="2"/>
  <c r="I205" i="2"/>
  <c r="B205" i="2"/>
  <c r="A319" i="2"/>
  <c r="A315" i="2"/>
  <c r="A311" i="2"/>
  <c r="A307" i="2"/>
  <c r="A303" i="2"/>
  <c r="A299" i="2"/>
  <c r="A295" i="2"/>
  <c r="A291" i="2"/>
  <c r="A287" i="2"/>
  <c r="A283" i="2"/>
  <c r="A279" i="2"/>
  <c r="B275" i="2"/>
  <c r="A275" i="2"/>
  <c r="I259" i="2"/>
  <c r="B259" i="2"/>
  <c r="A259" i="2"/>
  <c r="B239" i="2"/>
  <c r="D239" i="2" s="1"/>
  <c r="A237" i="2"/>
  <c r="I224" i="2"/>
  <c r="B224" i="2"/>
  <c r="D224" i="2" s="1"/>
  <c r="B203" i="2"/>
  <c r="I201" i="2"/>
  <c r="B201" i="2"/>
  <c r="I271" i="2"/>
  <c r="B271" i="2"/>
  <c r="A271" i="2"/>
  <c r="I255" i="2"/>
  <c r="B255" i="2"/>
  <c r="A255" i="2"/>
  <c r="I237" i="2"/>
  <c r="B237" i="2"/>
  <c r="A233" i="2"/>
  <c r="B223" i="2"/>
  <c r="A221" i="2"/>
  <c r="I208" i="2"/>
  <c r="B208" i="2"/>
  <c r="D208" i="2" s="1"/>
  <c r="I229" i="2"/>
  <c r="B229" i="2"/>
  <c r="A229" i="2"/>
  <c r="I213" i="2"/>
  <c r="B213" i="2"/>
  <c r="A213" i="2"/>
  <c r="I241" i="2"/>
  <c r="B241" i="2"/>
  <c r="A241" i="2"/>
  <c r="B236" i="2"/>
  <c r="D236" i="2" s="1"/>
  <c r="I225" i="2"/>
  <c r="B225" i="2"/>
  <c r="A225" i="2"/>
  <c r="B220" i="2"/>
  <c r="D220" i="2" s="1"/>
  <c r="I209" i="2"/>
  <c r="B209" i="2"/>
  <c r="A209" i="2"/>
  <c r="B204" i="2"/>
  <c r="D204" i="2" s="1"/>
  <c r="B445" i="3"/>
  <c r="I445" i="3"/>
  <c r="H474" i="3"/>
  <c r="A475" i="3"/>
  <c r="B470" i="3"/>
  <c r="C470" i="3" s="1"/>
  <c r="D470" i="3" s="1"/>
  <c r="I459" i="3"/>
  <c r="B459" i="3"/>
  <c r="H458" i="3"/>
  <c r="A459" i="3"/>
  <c r="A456" i="3"/>
  <c r="B454" i="3"/>
  <c r="C454" i="3" s="1"/>
  <c r="D454" i="3" s="1"/>
  <c r="B446" i="3"/>
  <c r="H446" i="3"/>
  <c r="H443" i="3"/>
  <c r="A444" i="3"/>
  <c r="B441" i="3"/>
  <c r="I441" i="3"/>
  <c r="A441" i="3"/>
  <c r="B437" i="3"/>
  <c r="I437" i="3"/>
  <c r="B433" i="3"/>
  <c r="I433" i="3"/>
  <c r="B429" i="3"/>
  <c r="C429" i="3" s="1"/>
  <c r="D429" i="3" s="1"/>
  <c r="I429" i="3"/>
  <c r="B425" i="3"/>
  <c r="C425" i="3" s="1"/>
  <c r="D425" i="3" s="1"/>
  <c r="I425" i="3"/>
  <c r="B421" i="3"/>
  <c r="I421" i="3"/>
  <c r="B417" i="3"/>
  <c r="I417" i="3"/>
  <c r="B413" i="3"/>
  <c r="C413" i="3" s="1"/>
  <c r="D413" i="3" s="1"/>
  <c r="I413" i="3"/>
  <c r="B409" i="3"/>
  <c r="C409" i="3" s="1"/>
  <c r="D409" i="3" s="1"/>
  <c r="I409" i="3"/>
  <c r="B405" i="3"/>
  <c r="C405" i="3" s="1"/>
  <c r="D405" i="3" s="1"/>
  <c r="I405" i="3"/>
  <c r="B401" i="3"/>
  <c r="I401" i="3"/>
  <c r="B397" i="3"/>
  <c r="I397" i="3"/>
  <c r="B393" i="3"/>
  <c r="C393" i="3" s="1"/>
  <c r="D393" i="3" s="1"/>
  <c r="I393" i="3"/>
  <c r="B389" i="3"/>
  <c r="I389" i="3"/>
  <c r="B385" i="3"/>
  <c r="I385" i="3"/>
  <c r="B381" i="3"/>
  <c r="I381" i="3"/>
  <c r="B377" i="3"/>
  <c r="C377" i="3" s="1"/>
  <c r="D377" i="3" s="1"/>
  <c r="I377" i="3"/>
  <c r="B373" i="3"/>
  <c r="I373" i="3"/>
  <c r="B369" i="3"/>
  <c r="I369" i="3"/>
  <c r="B365" i="3"/>
  <c r="C365" i="3" s="1"/>
  <c r="D365" i="3" s="1"/>
  <c r="I365" i="3"/>
  <c r="B361" i="3"/>
  <c r="C361" i="3" s="1"/>
  <c r="D361" i="3" s="1"/>
  <c r="I361" i="3"/>
  <c r="B357" i="3"/>
  <c r="I357" i="3"/>
  <c r="B353" i="3"/>
  <c r="I353" i="3"/>
  <c r="B349" i="3"/>
  <c r="C349" i="3" s="1"/>
  <c r="D349" i="3" s="1"/>
  <c r="I349" i="3"/>
  <c r="B345" i="3"/>
  <c r="C345" i="3" s="1"/>
  <c r="D345" i="3" s="1"/>
  <c r="I345" i="3"/>
  <c r="B341" i="3"/>
  <c r="I341" i="3"/>
  <c r="B337" i="3"/>
  <c r="I337" i="3"/>
  <c r="H478" i="3"/>
  <c r="A479" i="3"/>
  <c r="I463" i="3"/>
  <c r="B463" i="3"/>
  <c r="H462" i="3"/>
  <c r="A463" i="3"/>
  <c r="B450" i="3"/>
  <c r="H450" i="3"/>
  <c r="H447" i="3"/>
  <c r="A448" i="3"/>
  <c r="B246" i="3"/>
  <c r="C246" i="3" s="1"/>
  <c r="D246" i="3" s="1"/>
  <c r="H246" i="3"/>
  <c r="H237" i="3"/>
  <c r="A238" i="3"/>
  <c r="A472" i="3"/>
  <c r="H498" i="3"/>
  <c r="A499" i="3"/>
  <c r="H494" i="3"/>
  <c r="A495" i="3"/>
  <c r="H490" i="3"/>
  <c r="A491" i="3"/>
  <c r="H486" i="3"/>
  <c r="A487" i="3"/>
  <c r="B482" i="3"/>
  <c r="C482" i="3" s="1"/>
  <c r="D482" i="3" s="1"/>
  <c r="B481" i="3"/>
  <c r="I471" i="3"/>
  <c r="B471" i="3"/>
  <c r="H470" i="3"/>
  <c r="A471" i="3"/>
  <c r="B466" i="3"/>
  <c r="C466" i="3" s="1"/>
  <c r="D466" i="3" s="1"/>
  <c r="B465" i="3"/>
  <c r="C465" i="3" s="1"/>
  <c r="D465" i="3" s="1"/>
  <c r="I455" i="3"/>
  <c r="B455" i="3"/>
  <c r="H454" i="3"/>
  <c r="A455" i="3"/>
  <c r="A450" i="3"/>
  <c r="B442" i="3"/>
  <c r="C442" i="3" s="1"/>
  <c r="D442" i="3" s="1"/>
  <c r="H442" i="3"/>
  <c r="H439" i="3"/>
  <c r="A440" i="3"/>
  <c r="H391" i="3"/>
  <c r="A392" i="3"/>
  <c r="H387" i="3"/>
  <c r="A388" i="3"/>
  <c r="H383" i="3"/>
  <c r="A384" i="3"/>
  <c r="H379" i="3"/>
  <c r="A380" i="3"/>
  <c r="H375" i="3"/>
  <c r="A376" i="3"/>
  <c r="H371" i="3"/>
  <c r="A372" i="3"/>
  <c r="H367" i="3"/>
  <c r="A368" i="3"/>
  <c r="H363" i="3"/>
  <c r="A364" i="3"/>
  <c r="H359" i="3"/>
  <c r="A360" i="3"/>
  <c r="H355" i="3"/>
  <c r="A356" i="3"/>
  <c r="H351" i="3"/>
  <c r="A352" i="3"/>
  <c r="H347" i="3"/>
  <c r="A348" i="3"/>
  <c r="H343" i="3"/>
  <c r="A344" i="3"/>
  <c r="H339" i="3"/>
  <c r="A340" i="3"/>
  <c r="H335" i="3"/>
  <c r="A336" i="3"/>
  <c r="I479" i="3"/>
  <c r="B479" i="3"/>
  <c r="I475" i="3"/>
  <c r="B475" i="3"/>
  <c r="I500" i="3"/>
  <c r="I496" i="3"/>
  <c r="I492" i="3"/>
  <c r="I488" i="3"/>
  <c r="I483" i="3"/>
  <c r="B483" i="3"/>
  <c r="H482" i="3"/>
  <c r="A483" i="3"/>
  <c r="B478" i="3"/>
  <c r="C478" i="3" s="1"/>
  <c r="D478" i="3" s="1"/>
  <c r="B477" i="3"/>
  <c r="I467" i="3"/>
  <c r="B467" i="3"/>
  <c r="H466" i="3"/>
  <c r="A467" i="3"/>
  <c r="B462" i="3"/>
  <c r="C462" i="3" s="1"/>
  <c r="D462" i="3" s="1"/>
  <c r="B461" i="3"/>
  <c r="H451" i="3"/>
  <c r="A452" i="3"/>
  <c r="B449" i="3"/>
  <c r="I449" i="3"/>
  <c r="A446" i="3"/>
  <c r="H435" i="3"/>
  <c r="A436" i="3"/>
  <c r="H431" i="3"/>
  <c r="A432" i="3"/>
  <c r="H427" i="3"/>
  <c r="A428" i="3"/>
  <c r="H423" i="3"/>
  <c r="A424" i="3"/>
  <c r="H419" i="3"/>
  <c r="A420" i="3"/>
  <c r="H415" i="3"/>
  <c r="A416" i="3"/>
  <c r="H411" i="3"/>
  <c r="A412" i="3"/>
  <c r="H407" i="3"/>
  <c r="A408" i="3"/>
  <c r="H403" i="3"/>
  <c r="A404" i="3"/>
  <c r="H399" i="3"/>
  <c r="A400" i="3"/>
  <c r="H395" i="3"/>
  <c r="A396" i="3"/>
  <c r="H430" i="3"/>
  <c r="H426" i="3"/>
  <c r="H410" i="3"/>
  <c r="H394" i="3"/>
  <c r="H328" i="3"/>
  <c r="A329" i="3"/>
  <c r="H320" i="3"/>
  <c r="A321" i="3"/>
  <c r="H312" i="3"/>
  <c r="A313" i="3"/>
  <c r="B266" i="3"/>
  <c r="H266" i="3"/>
  <c r="H438" i="3"/>
  <c r="H434" i="3"/>
  <c r="H422" i="3"/>
  <c r="H418" i="3"/>
  <c r="H414" i="3"/>
  <c r="H406" i="3"/>
  <c r="H402" i="3"/>
  <c r="H398" i="3"/>
  <c r="A334" i="3"/>
  <c r="B332" i="3"/>
  <c r="I330" i="3"/>
  <c r="B329" i="3"/>
  <c r="A326" i="3"/>
  <c r="B324" i="3"/>
  <c r="C324" i="3" s="1"/>
  <c r="D324" i="3" s="1"/>
  <c r="I322" i="3"/>
  <c r="B321" i="3"/>
  <c r="A318" i="3"/>
  <c r="B316" i="3"/>
  <c r="C316" i="3" s="1"/>
  <c r="D316" i="3" s="1"/>
  <c r="I314" i="3"/>
  <c r="B313" i="3"/>
  <c r="A310" i="3"/>
  <c r="H307" i="3"/>
  <c r="A308" i="3"/>
  <c r="H279" i="3"/>
  <c r="A280" i="3"/>
  <c r="B277" i="3"/>
  <c r="I277" i="3"/>
  <c r="H272" i="3"/>
  <c r="A273" i="3"/>
  <c r="H263" i="3"/>
  <c r="A264" i="3"/>
  <c r="B261" i="3"/>
  <c r="I261" i="3"/>
  <c r="H256" i="3"/>
  <c r="A257" i="3"/>
  <c r="B250" i="3"/>
  <c r="H250" i="3"/>
  <c r="H332" i="3"/>
  <c r="A333" i="3"/>
  <c r="H329" i="3"/>
  <c r="H324" i="3"/>
  <c r="A325" i="3"/>
  <c r="H321" i="3"/>
  <c r="H316" i="3"/>
  <c r="A317" i="3"/>
  <c r="H313" i="3"/>
  <c r="B309" i="3"/>
  <c r="I309" i="3"/>
  <c r="H303" i="3"/>
  <c r="A304" i="3"/>
  <c r="H265" i="3"/>
  <c r="A266" i="3"/>
  <c r="B305" i="3"/>
  <c r="I305" i="3"/>
  <c r="B301" i="3"/>
  <c r="I301" i="3"/>
  <c r="B297" i="3"/>
  <c r="I297" i="3"/>
  <c r="B293" i="3"/>
  <c r="I293" i="3"/>
  <c r="B289" i="3"/>
  <c r="I289" i="3"/>
  <c r="B285" i="3"/>
  <c r="C285" i="3" s="1"/>
  <c r="D285" i="3" s="1"/>
  <c r="I285" i="3"/>
  <c r="B281" i="3"/>
  <c r="C281" i="3" s="1"/>
  <c r="D281" i="3" s="1"/>
  <c r="I281" i="3"/>
  <c r="B278" i="3"/>
  <c r="H278" i="3"/>
  <c r="H275" i="3"/>
  <c r="A276" i="3"/>
  <c r="B273" i="3"/>
  <c r="I273" i="3"/>
  <c r="B262" i="3"/>
  <c r="H262" i="3"/>
  <c r="H259" i="3"/>
  <c r="A260" i="3"/>
  <c r="B257" i="3"/>
  <c r="I257" i="3"/>
  <c r="B239" i="3"/>
  <c r="C239" i="3" s="1"/>
  <c r="D239" i="3" s="1"/>
  <c r="I239" i="3"/>
  <c r="B334" i="3"/>
  <c r="B274" i="3"/>
  <c r="H274" i="3"/>
  <c r="H271" i="3"/>
  <c r="A272" i="3"/>
  <c r="B269" i="3"/>
  <c r="C269" i="3" s="1"/>
  <c r="D269" i="3" s="1"/>
  <c r="I269" i="3"/>
  <c r="B258" i="3"/>
  <c r="H258" i="3"/>
  <c r="H255" i="3"/>
  <c r="A256" i="3"/>
  <c r="B253" i="3"/>
  <c r="I253" i="3"/>
  <c r="B242" i="3"/>
  <c r="H242" i="3"/>
  <c r="H299" i="3"/>
  <c r="A300" i="3"/>
  <c r="H295" i="3"/>
  <c r="A296" i="3"/>
  <c r="H291" i="3"/>
  <c r="A292" i="3"/>
  <c r="B290" i="3"/>
  <c r="C290" i="3" s="1"/>
  <c r="D290" i="3" s="1"/>
  <c r="H287" i="3"/>
  <c r="A288" i="3"/>
  <c r="B286" i="3"/>
  <c r="C286" i="3" s="1"/>
  <c r="D286" i="3" s="1"/>
  <c r="H283" i="3"/>
  <c r="A284" i="3"/>
  <c r="B282" i="3"/>
  <c r="C282" i="3" s="1"/>
  <c r="D282" i="3" s="1"/>
  <c r="A278" i="3"/>
  <c r="B270" i="3"/>
  <c r="C270" i="3" s="1"/>
  <c r="D270" i="3" s="1"/>
  <c r="H270" i="3"/>
  <c r="H267" i="3"/>
  <c r="A268" i="3"/>
  <c r="B265" i="3"/>
  <c r="C265" i="3" s="1"/>
  <c r="D265" i="3" s="1"/>
  <c r="I265" i="3"/>
  <c r="A262" i="3"/>
  <c r="B254" i="3"/>
  <c r="C254" i="3" s="1"/>
  <c r="D254" i="3" s="1"/>
  <c r="H254" i="3"/>
  <c r="H251" i="3"/>
  <c r="A252" i="3"/>
  <c r="H247" i="3"/>
  <c r="A248" i="3"/>
  <c r="I240" i="3"/>
  <c r="B240" i="3"/>
  <c r="I249" i="3"/>
  <c r="I245" i="3"/>
  <c r="I236" i="3"/>
  <c r="B236" i="3"/>
  <c r="B230" i="3"/>
  <c r="H238" i="3"/>
  <c r="I235" i="3"/>
  <c r="I215" i="3"/>
  <c r="I213" i="3"/>
  <c r="B213" i="3"/>
  <c r="H212" i="3"/>
  <c r="A213" i="3"/>
  <c r="I209" i="3"/>
  <c r="B209" i="3"/>
  <c r="H208" i="3"/>
  <c r="A209" i="3"/>
  <c r="I205" i="3"/>
  <c r="B205" i="3"/>
  <c r="H204" i="3"/>
  <c r="A205" i="3"/>
  <c r="H243" i="3"/>
  <c r="H239" i="3"/>
  <c r="A240" i="3"/>
  <c r="H235" i="3"/>
  <c r="A236" i="3"/>
  <c r="B232" i="3"/>
  <c r="H231" i="3"/>
  <c r="A232" i="3"/>
  <c r="B228" i="3"/>
  <c r="H227" i="3"/>
  <c r="A228" i="3"/>
  <c r="B224" i="3"/>
  <c r="H223" i="3"/>
  <c r="A224" i="3"/>
  <c r="B220" i="3"/>
  <c r="H219" i="3"/>
  <c r="A220" i="3"/>
  <c r="B216" i="3"/>
  <c r="H215" i="3"/>
  <c r="A216" i="3"/>
  <c r="I204" i="3"/>
  <c r="B204" i="3"/>
  <c r="H203" i="3"/>
  <c r="A212" i="3"/>
  <c r="A208" i="3"/>
  <c r="A204" i="3"/>
  <c r="B201" i="3"/>
  <c r="K1" i="1"/>
  <c r="C472" i="3" l="1"/>
  <c r="D472" i="3" s="1"/>
  <c r="D442" i="2"/>
  <c r="C370" i="3"/>
  <c r="D370" i="3" s="1"/>
  <c r="C376" i="3"/>
  <c r="D376" i="3" s="1"/>
  <c r="D273" i="6"/>
  <c r="C485" i="3"/>
  <c r="D485" i="3" s="1"/>
  <c r="D284" i="2"/>
  <c r="D281" i="6"/>
  <c r="D247" i="2"/>
  <c r="D451" i="2"/>
  <c r="C385" i="3"/>
  <c r="D385" i="3" s="1"/>
  <c r="D402" i="2"/>
  <c r="D202" i="2"/>
  <c r="D240" i="6"/>
  <c r="D249" i="2"/>
  <c r="D242" i="2"/>
  <c r="C237" i="3"/>
  <c r="D237" i="3" s="1"/>
  <c r="C260" i="3"/>
  <c r="D260" i="3" s="1"/>
  <c r="C428" i="3"/>
  <c r="D428" i="3" s="1"/>
  <c r="C284" i="3"/>
  <c r="D284" i="3" s="1"/>
  <c r="C424" i="3"/>
  <c r="D424" i="3" s="1"/>
  <c r="C380" i="3"/>
  <c r="D380" i="3" s="1"/>
  <c r="D265" i="6"/>
  <c r="D203" i="2"/>
  <c r="C208" i="3"/>
  <c r="D208" i="3" s="1"/>
  <c r="C214" i="3"/>
  <c r="D214" i="3" s="1"/>
  <c r="C351" i="3"/>
  <c r="D351" i="3" s="1"/>
  <c r="D218" i="6"/>
  <c r="C256" i="3"/>
  <c r="D256" i="3" s="1"/>
  <c r="C207" i="3"/>
  <c r="D207" i="3" s="1"/>
  <c r="C294" i="3"/>
  <c r="D294" i="3" s="1"/>
  <c r="D410" i="2"/>
  <c r="D356" i="2"/>
  <c r="D257" i="6"/>
  <c r="D406" i="6"/>
  <c r="D277" i="2"/>
  <c r="D379" i="6"/>
  <c r="C302" i="3"/>
  <c r="D302" i="3" s="1"/>
  <c r="C332" i="3"/>
  <c r="D332" i="3" s="1"/>
  <c r="D281" i="2"/>
  <c r="C298" i="3"/>
  <c r="D298" i="3" s="1"/>
  <c r="C402" i="3"/>
  <c r="D402" i="3" s="1"/>
  <c r="D450" i="2"/>
  <c r="C445" i="3"/>
  <c r="D445" i="3" s="1"/>
  <c r="C386" i="3"/>
  <c r="D386" i="3" s="1"/>
  <c r="C248" i="3"/>
  <c r="D248" i="3" s="1"/>
  <c r="C304" i="3"/>
  <c r="D304" i="3" s="1"/>
  <c r="C318" i="3"/>
  <c r="D318" i="3" s="1"/>
  <c r="D446" i="2"/>
  <c r="C230" i="3"/>
  <c r="D230" i="3" s="1"/>
  <c r="C268" i="3"/>
  <c r="D268" i="3" s="1"/>
  <c r="C310" i="3"/>
  <c r="D310" i="3" s="1"/>
  <c r="C337" i="3"/>
  <c r="D337" i="3" s="1"/>
  <c r="D366" i="2"/>
  <c r="C319" i="3"/>
  <c r="D319" i="3" s="1"/>
  <c r="C397" i="3"/>
  <c r="D397" i="3" s="1"/>
  <c r="C444" i="3"/>
  <c r="D444" i="3" s="1"/>
  <c r="D291" i="6"/>
  <c r="D250" i="6"/>
  <c r="D258" i="6"/>
  <c r="D319" i="6"/>
  <c r="D471" i="6"/>
  <c r="C264" i="3"/>
  <c r="D264" i="3" s="1"/>
  <c r="C308" i="3"/>
  <c r="D308" i="3" s="1"/>
  <c r="C396" i="3"/>
  <c r="D396" i="3" s="1"/>
  <c r="C412" i="3"/>
  <c r="D412" i="3" s="1"/>
  <c r="C456" i="3"/>
  <c r="D456" i="3" s="1"/>
  <c r="D241" i="6"/>
  <c r="D297" i="2"/>
  <c r="D438" i="2"/>
  <c r="D327" i="2"/>
  <c r="D419" i="6"/>
  <c r="C206" i="3"/>
  <c r="D206" i="3" s="1"/>
  <c r="D410" i="6"/>
  <c r="D311" i="6"/>
  <c r="C315" i="3"/>
  <c r="D315" i="3" s="1"/>
  <c r="C477" i="3"/>
  <c r="D477" i="3" s="1"/>
  <c r="D336" i="2"/>
  <c r="D298" i="2"/>
  <c r="D290" i="2"/>
  <c r="C203" i="3"/>
  <c r="D203" i="3" s="1"/>
  <c r="C434" i="3"/>
  <c r="D434" i="3" s="1"/>
  <c r="D243" i="2"/>
  <c r="C375" i="3"/>
  <c r="D375" i="3" s="1"/>
  <c r="C359" i="3"/>
  <c r="D359" i="3" s="1"/>
  <c r="C235" i="3"/>
  <c r="D235" i="3" s="1"/>
  <c r="C432" i="3"/>
  <c r="D432" i="3" s="1"/>
  <c r="C491" i="3"/>
  <c r="D491" i="3" s="1"/>
  <c r="D487" i="6"/>
  <c r="D210" i="2"/>
  <c r="D274" i="6"/>
  <c r="C418" i="3"/>
  <c r="D418" i="3" s="1"/>
  <c r="C242" i="3"/>
  <c r="D242" i="3" s="1"/>
  <c r="C276" i="3"/>
  <c r="D276" i="3" s="1"/>
  <c r="C421" i="3"/>
  <c r="D421" i="3" s="1"/>
  <c r="D350" i="2"/>
  <c r="C212" i="3"/>
  <c r="D212" i="3" s="1"/>
  <c r="C300" i="3"/>
  <c r="D300" i="3" s="1"/>
  <c r="C333" i="3"/>
  <c r="D333" i="3" s="1"/>
  <c r="C373" i="3"/>
  <c r="D373" i="3" s="1"/>
  <c r="D230" i="2"/>
  <c r="D260" i="2"/>
  <c r="C289" i="3"/>
  <c r="D289" i="3" s="1"/>
  <c r="C325" i="3"/>
  <c r="D325" i="3" s="1"/>
  <c r="C384" i="3"/>
  <c r="D384" i="3" s="1"/>
  <c r="D339" i="2"/>
  <c r="D401" i="6"/>
  <c r="D482" i="2"/>
  <c r="C390" i="3"/>
  <c r="D390" i="3" s="1"/>
  <c r="D474" i="2"/>
  <c r="C215" i="3"/>
  <c r="D215" i="3" s="1"/>
  <c r="D310" i="6"/>
  <c r="D441" i="6"/>
  <c r="D458" i="6"/>
  <c r="D340" i="6"/>
  <c r="D434" i="2"/>
  <c r="C344" i="3"/>
  <c r="D344" i="3" s="1"/>
  <c r="D278" i="2"/>
  <c r="C273" i="3"/>
  <c r="D273" i="3" s="1"/>
  <c r="C250" i="3"/>
  <c r="D250" i="3" s="1"/>
  <c r="C348" i="3"/>
  <c r="D348" i="3" s="1"/>
  <c r="D368" i="2"/>
  <c r="D333" i="2"/>
  <c r="D462" i="2"/>
  <c r="C292" i="3"/>
  <c r="D292" i="3" s="1"/>
  <c r="C356" i="3"/>
  <c r="D356" i="3" s="1"/>
  <c r="C372" i="3"/>
  <c r="D372" i="3" s="1"/>
  <c r="C440" i="3"/>
  <c r="D440" i="3" s="1"/>
  <c r="D246" i="6"/>
  <c r="C252" i="3"/>
  <c r="D252" i="3" s="1"/>
  <c r="C272" i="3"/>
  <c r="D272" i="3" s="1"/>
  <c r="C400" i="3"/>
  <c r="D400" i="3" s="1"/>
  <c r="C487" i="3"/>
  <c r="D487" i="3" s="1"/>
  <c r="C495" i="3"/>
  <c r="D495" i="3" s="1"/>
  <c r="C437" i="3"/>
  <c r="D437" i="3" s="1"/>
  <c r="C459" i="3"/>
  <c r="D459" i="3" s="1"/>
  <c r="D340" i="2"/>
  <c r="D370" i="2"/>
  <c r="D490" i="2"/>
  <c r="D209" i="6"/>
  <c r="D313" i="6"/>
  <c r="D431" i="6"/>
  <c r="D445" i="6"/>
  <c r="D210" i="6"/>
  <c r="D221" i="6"/>
  <c r="D476" i="6"/>
  <c r="D306" i="2"/>
  <c r="D222" i="2"/>
  <c r="C245" i="3"/>
  <c r="D245" i="3" s="1"/>
  <c r="D427" i="2"/>
  <c r="C452" i="3"/>
  <c r="D452" i="3" s="1"/>
  <c r="D293" i="6"/>
  <c r="C253" i="3"/>
  <c r="D253" i="3" s="1"/>
  <c r="C277" i="3"/>
  <c r="D277" i="3" s="1"/>
  <c r="C461" i="3"/>
  <c r="D461" i="3" s="1"/>
  <c r="C336" i="3"/>
  <c r="D336" i="3" s="1"/>
  <c r="C392" i="3"/>
  <c r="D392" i="3" s="1"/>
  <c r="D273" i="2"/>
  <c r="D435" i="2"/>
  <c r="D394" i="2"/>
  <c r="D205" i="6"/>
  <c r="D325" i="6"/>
  <c r="D352" i="6"/>
  <c r="D237" i="6"/>
  <c r="D318" i="6"/>
  <c r="D499" i="6"/>
  <c r="D238" i="2"/>
  <c r="D313" i="2"/>
  <c r="C382" i="3"/>
  <c r="D382" i="3" s="1"/>
  <c r="C398" i="3"/>
  <c r="D398" i="3" s="1"/>
  <c r="C381" i="3"/>
  <c r="D381" i="3" s="1"/>
  <c r="D461" i="2"/>
  <c r="D253" i="6"/>
  <c r="D355" i="2"/>
  <c r="D459" i="2"/>
  <c r="D414" i="2"/>
  <c r="C317" i="3"/>
  <c r="D317" i="3" s="1"/>
  <c r="C352" i="3"/>
  <c r="D352" i="3" s="1"/>
  <c r="C357" i="3"/>
  <c r="D357" i="3" s="1"/>
  <c r="D483" i="2"/>
  <c r="D232" i="6"/>
  <c r="D285" i="6"/>
  <c r="D266" i="6"/>
  <c r="C436" i="3"/>
  <c r="D436" i="3" s="1"/>
  <c r="D329" i="2"/>
  <c r="D343" i="6"/>
  <c r="D442" i="6"/>
  <c r="D206" i="6"/>
  <c r="D301" i="6"/>
  <c r="D492" i="6"/>
  <c r="D434" i="6"/>
  <c r="D426" i="2"/>
  <c r="D394" i="6"/>
  <c r="C383" i="3"/>
  <c r="D383" i="3" s="1"/>
  <c r="D458" i="2"/>
  <c r="D439" i="2"/>
  <c r="C360" i="3"/>
  <c r="D360" i="3" s="1"/>
  <c r="C341" i="3"/>
  <c r="D341" i="3" s="1"/>
  <c r="D261" i="6"/>
  <c r="D277" i="6"/>
  <c r="C404" i="3"/>
  <c r="D404" i="3" s="1"/>
  <c r="C499" i="3"/>
  <c r="D499" i="3" s="1"/>
  <c r="D253" i="2"/>
  <c r="D354" i="2"/>
  <c r="D378" i="2"/>
  <c r="D425" i="2"/>
  <c r="D493" i="2"/>
  <c r="C258" i="3"/>
  <c r="D258" i="3" s="1"/>
  <c r="C257" i="3"/>
  <c r="D257" i="3" s="1"/>
  <c r="C297" i="3"/>
  <c r="D297" i="3" s="1"/>
  <c r="C305" i="3"/>
  <c r="D305" i="3" s="1"/>
  <c r="C329" i="3"/>
  <c r="D329" i="3" s="1"/>
  <c r="C475" i="3"/>
  <c r="D475" i="3" s="1"/>
  <c r="C364" i="3"/>
  <c r="D364" i="3" s="1"/>
  <c r="C433" i="3"/>
  <c r="D433" i="3" s="1"/>
  <c r="D463" i="2"/>
  <c r="D222" i="6"/>
  <c r="D236" i="6"/>
  <c r="D249" i="6"/>
  <c r="D307" i="6"/>
  <c r="D323" i="6"/>
  <c r="D297" i="6"/>
  <c r="D399" i="6"/>
  <c r="D315" i="6"/>
  <c r="D354" i="6"/>
  <c r="D472" i="6"/>
  <c r="C338" i="3"/>
  <c r="D338" i="3" s="1"/>
  <c r="D272" i="2"/>
  <c r="D500" i="6"/>
  <c r="C401" i="3"/>
  <c r="D401" i="3" s="1"/>
  <c r="C417" i="3"/>
  <c r="D417" i="3" s="1"/>
  <c r="D323" i="2"/>
  <c r="D320" i="2"/>
  <c r="D346" i="2"/>
  <c r="D362" i="2"/>
  <c r="D234" i="6"/>
  <c r="D426" i="6"/>
  <c r="D251" i="6"/>
  <c r="C249" i="3"/>
  <c r="D249" i="3" s="1"/>
  <c r="D475" i="2"/>
  <c r="C354" i="3"/>
  <c r="D354" i="3" s="1"/>
  <c r="D359" i="2"/>
  <c r="D347" i="2"/>
  <c r="D443" i="2"/>
  <c r="C293" i="3"/>
  <c r="D293" i="3" s="1"/>
  <c r="C368" i="3"/>
  <c r="D368" i="3" s="1"/>
  <c r="D352" i="2"/>
  <c r="D445" i="2"/>
  <c r="D329" i="6"/>
  <c r="D364" i="6"/>
  <c r="D314" i="2"/>
  <c r="C342" i="3"/>
  <c r="D342" i="3" s="1"/>
  <c r="C438" i="3"/>
  <c r="D438" i="3" s="1"/>
  <c r="C328" i="3"/>
  <c r="D328" i="3" s="1"/>
  <c r="C301" i="3"/>
  <c r="D301" i="3" s="1"/>
  <c r="C288" i="3"/>
  <c r="D288" i="3" s="1"/>
  <c r="C309" i="3"/>
  <c r="D309" i="3" s="1"/>
  <c r="C280" i="3"/>
  <c r="D280" i="3" s="1"/>
  <c r="C420" i="3"/>
  <c r="D420" i="3" s="1"/>
  <c r="C238" i="3"/>
  <c r="D238" i="3" s="1"/>
  <c r="C448" i="3"/>
  <c r="D448" i="3" s="1"/>
  <c r="C389" i="3"/>
  <c r="D389" i="3" s="1"/>
  <c r="D223" i="2"/>
  <c r="D269" i="2"/>
  <c r="D399" i="2"/>
  <c r="D364" i="2"/>
  <c r="D383" i="6"/>
  <c r="D371" i="6"/>
  <c r="D283" i="6"/>
  <c r="D247" i="6"/>
  <c r="D269" i="6"/>
  <c r="D467" i="6"/>
  <c r="C229" i="3"/>
  <c r="D229" i="3" s="1"/>
  <c r="D370" i="6"/>
  <c r="C358" i="3"/>
  <c r="D358" i="3" s="1"/>
  <c r="C422" i="3"/>
  <c r="D422" i="3" s="1"/>
  <c r="D466" i="2"/>
  <c r="C216" i="3"/>
  <c r="D216" i="3" s="1"/>
  <c r="C232" i="3"/>
  <c r="D232" i="3" s="1"/>
  <c r="D242" i="6"/>
  <c r="D306" i="6"/>
  <c r="D365" i="6"/>
  <c r="D437" i="6"/>
  <c r="D461" i="6"/>
  <c r="D477" i="6"/>
  <c r="D493" i="6"/>
  <c r="D355" i="6"/>
  <c r="D225" i="6"/>
  <c r="D334" i="6"/>
  <c r="D443" i="6"/>
  <c r="C327" i="3"/>
  <c r="D327" i="3" s="1"/>
  <c r="C205" i="3"/>
  <c r="D205" i="3" s="1"/>
  <c r="D316" i="2"/>
  <c r="D208" i="6"/>
  <c r="D289" i="6"/>
  <c r="D309" i="6"/>
  <c r="D259" i="6"/>
  <c r="D335" i="6"/>
  <c r="D348" i="2"/>
  <c r="C326" i="3"/>
  <c r="D326" i="3" s="1"/>
  <c r="D494" i="2"/>
  <c r="D305" i="6"/>
  <c r="C449" i="3"/>
  <c r="D449" i="3" s="1"/>
  <c r="D331" i="2"/>
  <c r="D473" i="2"/>
  <c r="D303" i="6"/>
  <c r="D216" i="6"/>
  <c r="D341" i="6"/>
  <c r="D393" i="6"/>
  <c r="D326" i="6"/>
  <c r="D407" i="6"/>
  <c r="C489" i="3"/>
  <c r="D489" i="3" s="1"/>
  <c r="C340" i="3"/>
  <c r="D340" i="3" s="1"/>
  <c r="C388" i="3"/>
  <c r="D388" i="3" s="1"/>
  <c r="C481" i="3"/>
  <c r="D481" i="3" s="1"/>
  <c r="C353" i="3"/>
  <c r="D353" i="3" s="1"/>
  <c r="C369" i="3"/>
  <c r="D369" i="3" s="1"/>
  <c r="D437" i="2"/>
  <c r="D397" i="2"/>
  <c r="D385" i="2"/>
  <c r="D401" i="2"/>
  <c r="D417" i="2"/>
  <c r="D292" i="2"/>
  <c r="D245" i="6"/>
  <c r="D282" i="6"/>
  <c r="D361" i="6"/>
  <c r="D366" i="6"/>
  <c r="D322" i="6"/>
  <c r="D342" i="6"/>
  <c r="D395" i="6"/>
  <c r="C274" i="3"/>
  <c r="D274" i="3" s="1"/>
  <c r="C278" i="3"/>
  <c r="D278" i="3" s="1"/>
  <c r="C334" i="3"/>
  <c r="D334" i="3" s="1"/>
  <c r="C261" i="3"/>
  <c r="D261" i="3" s="1"/>
  <c r="C313" i="3"/>
  <c r="D313" i="3" s="1"/>
  <c r="C321" i="3"/>
  <c r="D321" i="3" s="1"/>
  <c r="C463" i="3"/>
  <c r="D463" i="3" s="1"/>
  <c r="C220" i="3"/>
  <c r="D220" i="3" s="1"/>
  <c r="C296" i="3"/>
  <c r="D296" i="3" s="1"/>
  <c r="C262" i="3"/>
  <c r="D262" i="3" s="1"/>
  <c r="C408" i="3"/>
  <c r="D408" i="3" s="1"/>
  <c r="C416" i="3"/>
  <c r="D416" i="3" s="1"/>
  <c r="C483" i="3"/>
  <c r="D483" i="3" s="1"/>
  <c r="C450" i="3"/>
  <c r="D450" i="3" s="1"/>
  <c r="D225" i="2"/>
  <c r="D229" i="2"/>
  <c r="D237" i="2"/>
  <c r="D255" i="2"/>
  <c r="D221" i="2"/>
  <c r="D287" i="2"/>
  <c r="D303" i="2"/>
  <c r="D319" i="2"/>
  <c r="D335" i="2"/>
  <c r="D342" i="2"/>
  <c r="D358" i="2"/>
  <c r="D374" i="2"/>
  <c r="D421" i="2"/>
  <c r="D485" i="2"/>
  <c r="D413" i="2"/>
  <c r="D433" i="2"/>
  <c r="D300" i="2"/>
  <c r="D403" i="2"/>
  <c r="D409" i="2"/>
  <c r="D220" i="6"/>
  <c r="D228" i="6"/>
  <c r="D299" i="6"/>
  <c r="D453" i="6"/>
  <c r="D465" i="6"/>
  <c r="D481" i="6"/>
  <c r="D497" i="6"/>
  <c r="D387" i="6"/>
  <c r="D457" i="6"/>
  <c r="D417" i="6"/>
  <c r="D397" i="6"/>
  <c r="D275" i="6"/>
  <c r="D267" i="6"/>
  <c r="D282" i="2"/>
  <c r="D371" i="2"/>
  <c r="D337" i="2"/>
  <c r="D317" i="6"/>
  <c r="D290" i="6"/>
  <c r="D321" i="6"/>
  <c r="D349" i="6"/>
  <c r="D381" i="6"/>
  <c r="D327" i="6"/>
  <c r="D421" i="6"/>
  <c r="D473" i="6"/>
  <c r="D489" i="6"/>
  <c r="D425" i="6"/>
  <c r="D433" i="6"/>
  <c r="D337" i="6"/>
  <c r="D345" i="6"/>
  <c r="D429" i="6"/>
  <c r="D204" i="6"/>
  <c r="D224" i="6"/>
  <c r="D212" i="6"/>
  <c r="D333" i="6"/>
  <c r="D353" i="6"/>
  <c r="D369" i="6"/>
  <c r="D385" i="6"/>
  <c r="D405" i="6"/>
  <c r="D469" i="6"/>
  <c r="D485" i="6"/>
  <c r="D449" i="6"/>
  <c r="D409" i="6"/>
  <c r="D373" i="6"/>
  <c r="D413" i="6"/>
  <c r="D377" i="6"/>
  <c r="D331" i="6"/>
  <c r="D391" i="6"/>
  <c r="D357" i="6"/>
  <c r="D279" i="2"/>
  <c r="D295" i="2"/>
  <c r="D209" i="2"/>
  <c r="D241" i="2"/>
  <c r="D271" i="2"/>
  <c r="D259" i="2"/>
  <c r="D308" i="2"/>
  <c r="D405" i="2"/>
  <c r="D469" i="2"/>
  <c r="D477" i="2"/>
  <c r="D449" i="2"/>
  <c r="D465" i="2"/>
  <c r="D481" i="2"/>
  <c r="D497" i="2"/>
  <c r="D393" i="2"/>
  <c r="D457" i="2"/>
  <c r="D489" i="2"/>
  <c r="D429" i="2"/>
  <c r="D311" i="2"/>
  <c r="D267" i="2"/>
  <c r="D213" i="2"/>
  <c r="D275" i="2"/>
  <c r="D205" i="2"/>
  <c r="D233" i="2"/>
  <c r="D283" i="2"/>
  <c r="D291" i="2"/>
  <c r="D299" i="2"/>
  <c r="D307" i="2"/>
  <c r="D315" i="2"/>
  <c r="D217" i="2"/>
  <c r="D389" i="2"/>
  <c r="D453" i="2"/>
  <c r="D251" i="2"/>
  <c r="D441" i="2"/>
  <c r="D381" i="2"/>
  <c r="D263" i="2"/>
  <c r="C204" i="3"/>
  <c r="D204" i="3" s="1"/>
  <c r="C228" i="3"/>
  <c r="D228" i="3" s="1"/>
  <c r="C209" i="3"/>
  <c r="D209" i="3" s="1"/>
  <c r="C236" i="3"/>
  <c r="D236" i="3" s="1"/>
  <c r="C224" i="3"/>
  <c r="D224" i="3" s="1"/>
  <c r="C213" i="3"/>
  <c r="D213" i="3" s="1"/>
  <c r="C240" i="3"/>
  <c r="D240" i="3" s="1"/>
  <c r="C266" i="3"/>
  <c r="D266" i="3" s="1"/>
  <c r="C467" i="3"/>
  <c r="D467" i="3" s="1"/>
  <c r="C479" i="3"/>
  <c r="D479" i="3" s="1"/>
  <c r="C471" i="3"/>
  <c r="D471" i="3" s="1"/>
  <c r="C441" i="3"/>
  <c r="D441" i="3" s="1"/>
  <c r="C446" i="3"/>
  <c r="D446" i="3" s="1"/>
  <c r="C455" i="3"/>
  <c r="D455" i="3" s="1"/>
  <c r="D1" i="1"/>
  <c r="B1" i="1" l="1"/>
  <c r="D2" i="7" l="1"/>
  <c r="F5" i="2" l="1"/>
  <c r="G5" i="2"/>
  <c r="K5" i="2"/>
  <c r="F6" i="2"/>
  <c r="G6" i="2"/>
  <c r="K6" i="2"/>
  <c r="F7" i="2"/>
  <c r="G7" i="2"/>
  <c r="K7" i="2"/>
  <c r="F8" i="2"/>
  <c r="G8" i="2"/>
  <c r="K8" i="2"/>
  <c r="F9" i="2"/>
  <c r="G9" i="2"/>
  <c r="K9" i="2"/>
  <c r="F10" i="2"/>
  <c r="G10" i="2"/>
  <c r="K10" i="2"/>
  <c r="F11" i="2"/>
  <c r="G11" i="2"/>
  <c r="K11" i="2"/>
  <c r="F12" i="2"/>
  <c r="G12" i="2"/>
  <c r="K12" i="2"/>
  <c r="F13" i="2"/>
  <c r="G13" i="2"/>
  <c r="K13" i="2"/>
  <c r="F14" i="2"/>
  <c r="G14" i="2"/>
  <c r="K14" i="2"/>
  <c r="F15" i="2"/>
  <c r="G15" i="2"/>
  <c r="K15" i="2"/>
  <c r="F16" i="2"/>
  <c r="G16" i="2"/>
  <c r="K16" i="2"/>
  <c r="F17" i="2"/>
  <c r="G17" i="2"/>
  <c r="K17" i="2"/>
  <c r="F18" i="2"/>
  <c r="G18" i="2"/>
  <c r="K18" i="2"/>
  <c r="F19" i="2"/>
  <c r="G19" i="2"/>
  <c r="K19" i="2"/>
  <c r="F20" i="2"/>
  <c r="G20" i="2"/>
  <c r="K20" i="2"/>
  <c r="F21" i="2"/>
  <c r="G21" i="2"/>
  <c r="K21" i="2"/>
  <c r="F22" i="2"/>
  <c r="G22" i="2"/>
  <c r="K22" i="2"/>
  <c r="F23" i="2"/>
  <c r="G23" i="2"/>
  <c r="K23" i="2"/>
  <c r="F24" i="2"/>
  <c r="G24" i="2"/>
  <c r="K24" i="2"/>
  <c r="F25" i="2"/>
  <c r="G25" i="2"/>
  <c r="K25" i="2"/>
  <c r="F26" i="2"/>
  <c r="G26" i="2"/>
  <c r="K26" i="2"/>
  <c r="F27" i="2"/>
  <c r="G27" i="2"/>
  <c r="K27" i="2"/>
  <c r="F28" i="2"/>
  <c r="G28" i="2"/>
  <c r="K28" i="2"/>
  <c r="F29" i="2"/>
  <c r="G29" i="2"/>
  <c r="K29" i="2"/>
  <c r="F30" i="2"/>
  <c r="G30" i="2"/>
  <c r="K30" i="2"/>
  <c r="F31" i="2"/>
  <c r="G31" i="2"/>
  <c r="K31" i="2"/>
  <c r="F32" i="2"/>
  <c r="G32" i="2"/>
  <c r="K32" i="2"/>
  <c r="F33" i="2"/>
  <c r="G33" i="2"/>
  <c r="K33" i="2"/>
  <c r="F34" i="2"/>
  <c r="G34" i="2"/>
  <c r="K34" i="2"/>
  <c r="F35" i="2"/>
  <c r="G35" i="2"/>
  <c r="K35" i="2"/>
  <c r="F36" i="2"/>
  <c r="G36" i="2"/>
  <c r="K36" i="2"/>
  <c r="F37" i="2"/>
  <c r="G37" i="2"/>
  <c r="K37" i="2"/>
  <c r="F38" i="2"/>
  <c r="G38" i="2"/>
  <c r="K38" i="2"/>
  <c r="F39" i="2"/>
  <c r="G39" i="2"/>
  <c r="K39" i="2"/>
  <c r="F40" i="2"/>
  <c r="G40" i="2"/>
  <c r="K40" i="2"/>
  <c r="F41" i="2"/>
  <c r="G41" i="2"/>
  <c r="K41" i="2"/>
  <c r="F42" i="2"/>
  <c r="G42" i="2"/>
  <c r="K42" i="2"/>
  <c r="F43" i="2"/>
  <c r="G43" i="2"/>
  <c r="K43" i="2"/>
  <c r="F44" i="2"/>
  <c r="G44" i="2"/>
  <c r="K44" i="2"/>
  <c r="F45" i="2"/>
  <c r="G45" i="2"/>
  <c r="K45" i="2"/>
  <c r="F46" i="2"/>
  <c r="G46" i="2"/>
  <c r="K46" i="2"/>
  <c r="F47" i="2"/>
  <c r="G47" i="2"/>
  <c r="K47" i="2"/>
  <c r="F48" i="2"/>
  <c r="G48" i="2"/>
  <c r="K48" i="2"/>
  <c r="F49" i="2"/>
  <c r="G49" i="2"/>
  <c r="K49" i="2"/>
  <c r="F50" i="2"/>
  <c r="G50" i="2"/>
  <c r="K50" i="2"/>
  <c r="F51" i="2"/>
  <c r="G51" i="2"/>
  <c r="K51" i="2"/>
  <c r="F52" i="2"/>
  <c r="G52" i="2"/>
  <c r="K52" i="2"/>
  <c r="F53" i="2"/>
  <c r="G53" i="2"/>
  <c r="K53" i="2"/>
  <c r="F54" i="2"/>
  <c r="G54" i="2"/>
  <c r="K54" i="2"/>
  <c r="F55" i="2"/>
  <c r="G55" i="2"/>
  <c r="K55" i="2"/>
  <c r="F56" i="2"/>
  <c r="G56" i="2"/>
  <c r="K56" i="2"/>
  <c r="F57" i="2"/>
  <c r="G57" i="2"/>
  <c r="K57" i="2"/>
  <c r="F58" i="2"/>
  <c r="G58" i="2"/>
  <c r="K58" i="2"/>
  <c r="F59" i="2"/>
  <c r="G59" i="2"/>
  <c r="K59" i="2"/>
  <c r="F60" i="2"/>
  <c r="G60" i="2"/>
  <c r="K60" i="2"/>
  <c r="F61" i="2"/>
  <c r="G61" i="2"/>
  <c r="K61" i="2"/>
  <c r="F62" i="2"/>
  <c r="G62" i="2"/>
  <c r="K62" i="2"/>
  <c r="F63" i="2"/>
  <c r="G63" i="2"/>
  <c r="K63" i="2"/>
  <c r="F64" i="2"/>
  <c r="G64" i="2"/>
  <c r="K64" i="2"/>
  <c r="F65" i="2"/>
  <c r="G65" i="2"/>
  <c r="K65" i="2"/>
  <c r="F66" i="2"/>
  <c r="G66" i="2"/>
  <c r="K66" i="2"/>
  <c r="F67" i="2"/>
  <c r="G67" i="2"/>
  <c r="K67" i="2"/>
  <c r="F68" i="2"/>
  <c r="G68" i="2"/>
  <c r="K68" i="2"/>
  <c r="F69" i="2"/>
  <c r="G69" i="2"/>
  <c r="K69" i="2"/>
  <c r="F70" i="2"/>
  <c r="G70" i="2"/>
  <c r="K70" i="2"/>
  <c r="F71" i="2"/>
  <c r="G71" i="2"/>
  <c r="K71" i="2"/>
  <c r="F72" i="2"/>
  <c r="G72" i="2"/>
  <c r="K72" i="2"/>
  <c r="F73" i="2"/>
  <c r="G73" i="2"/>
  <c r="K73" i="2"/>
  <c r="F74" i="2"/>
  <c r="G74" i="2"/>
  <c r="K74" i="2"/>
  <c r="F75" i="2"/>
  <c r="G75" i="2"/>
  <c r="K75" i="2"/>
  <c r="F76" i="2"/>
  <c r="G76" i="2"/>
  <c r="K76" i="2"/>
  <c r="F77" i="2"/>
  <c r="G77" i="2"/>
  <c r="K77" i="2"/>
  <c r="F78" i="2"/>
  <c r="G78" i="2"/>
  <c r="K78" i="2"/>
  <c r="F79" i="2"/>
  <c r="G79" i="2"/>
  <c r="K79" i="2"/>
  <c r="F80" i="2"/>
  <c r="G80" i="2"/>
  <c r="K80" i="2"/>
  <c r="F81" i="2"/>
  <c r="G81" i="2"/>
  <c r="K81" i="2"/>
  <c r="F82" i="2"/>
  <c r="G82" i="2"/>
  <c r="K82" i="2"/>
  <c r="F83" i="2"/>
  <c r="G83" i="2"/>
  <c r="K83" i="2"/>
  <c r="F84" i="2"/>
  <c r="G84" i="2"/>
  <c r="K84" i="2"/>
  <c r="F85" i="2"/>
  <c r="G85" i="2"/>
  <c r="K85" i="2"/>
  <c r="F86" i="2"/>
  <c r="G86" i="2"/>
  <c r="K86" i="2"/>
  <c r="F87" i="2"/>
  <c r="G87" i="2"/>
  <c r="K87" i="2"/>
  <c r="F88" i="2"/>
  <c r="G88" i="2"/>
  <c r="K88" i="2"/>
  <c r="F89" i="2"/>
  <c r="G89" i="2"/>
  <c r="K89" i="2"/>
  <c r="F90" i="2"/>
  <c r="G90" i="2"/>
  <c r="K90" i="2"/>
  <c r="F91" i="2"/>
  <c r="G91" i="2"/>
  <c r="K91" i="2"/>
  <c r="F92" i="2"/>
  <c r="G92" i="2"/>
  <c r="K92" i="2"/>
  <c r="F93" i="2"/>
  <c r="G93" i="2"/>
  <c r="K93" i="2"/>
  <c r="F94" i="2"/>
  <c r="G94" i="2"/>
  <c r="K94" i="2"/>
  <c r="F95" i="2"/>
  <c r="G95" i="2"/>
  <c r="K95" i="2"/>
  <c r="F96" i="2"/>
  <c r="G96" i="2"/>
  <c r="K96" i="2"/>
  <c r="F97" i="2"/>
  <c r="G97" i="2"/>
  <c r="K97" i="2"/>
  <c r="F98" i="2"/>
  <c r="G98" i="2"/>
  <c r="K98" i="2"/>
  <c r="F99" i="2"/>
  <c r="G99" i="2"/>
  <c r="K99" i="2"/>
  <c r="F100" i="2"/>
  <c r="G100" i="2"/>
  <c r="K100" i="2"/>
  <c r="F101" i="2"/>
  <c r="G101" i="2"/>
  <c r="K101" i="2"/>
  <c r="F102" i="2"/>
  <c r="G102" i="2"/>
  <c r="K102" i="2"/>
  <c r="F103" i="2"/>
  <c r="G103" i="2"/>
  <c r="K103" i="2"/>
  <c r="F104" i="2"/>
  <c r="G104" i="2"/>
  <c r="K104" i="2"/>
  <c r="F105" i="2"/>
  <c r="G105" i="2"/>
  <c r="K105" i="2"/>
  <c r="F106" i="2"/>
  <c r="G106" i="2"/>
  <c r="K106" i="2"/>
  <c r="F107" i="2"/>
  <c r="G107" i="2"/>
  <c r="K107" i="2"/>
  <c r="F108" i="2"/>
  <c r="G108" i="2"/>
  <c r="K108" i="2"/>
  <c r="F109" i="2"/>
  <c r="G109" i="2"/>
  <c r="K109" i="2"/>
  <c r="F110" i="2"/>
  <c r="G110" i="2"/>
  <c r="K110" i="2"/>
  <c r="F111" i="2"/>
  <c r="G111" i="2"/>
  <c r="K111" i="2"/>
  <c r="F112" i="2"/>
  <c r="G112" i="2"/>
  <c r="K112" i="2"/>
  <c r="F113" i="2"/>
  <c r="G113" i="2"/>
  <c r="K113" i="2"/>
  <c r="F114" i="2"/>
  <c r="G114" i="2"/>
  <c r="K114" i="2"/>
  <c r="F115" i="2"/>
  <c r="G115" i="2"/>
  <c r="K115" i="2"/>
  <c r="F116" i="2"/>
  <c r="G116" i="2"/>
  <c r="K116" i="2"/>
  <c r="F117" i="2"/>
  <c r="G117" i="2"/>
  <c r="K117" i="2"/>
  <c r="F118" i="2"/>
  <c r="G118" i="2"/>
  <c r="K118" i="2"/>
  <c r="F119" i="2"/>
  <c r="G119" i="2"/>
  <c r="K119" i="2"/>
  <c r="F120" i="2"/>
  <c r="G120" i="2"/>
  <c r="K120" i="2"/>
  <c r="F121" i="2"/>
  <c r="G121" i="2"/>
  <c r="K121" i="2"/>
  <c r="F122" i="2"/>
  <c r="G122" i="2"/>
  <c r="K122" i="2"/>
  <c r="F123" i="2"/>
  <c r="G123" i="2"/>
  <c r="K123" i="2"/>
  <c r="F124" i="2"/>
  <c r="G124" i="2"/>
  <c r="K124" i="2"/>
  <c r="F125" i="2"/>
  <c r="G125" i="2"/>
  <c r="K125" i="2"/>
  <c r="F126" i="2"/>
  <c r="G126" i="2"/>
  <c r="K126" i="2"/>
  <c r="F127" i="2"/>
  <c r="G127" i="2"/>
  <c r="K127" i="2"/>
  <c r="F128" i="2"/>
  <c r="G128" i="2"/>
  <c r="K128" i="2"/>
  <c r="F129" i="2"/>
  <c r="G129" i="2"/>
  <c r="K129" i="2"/>
  <c r="F130" i="2"/>
  <c r="G130" i="2"/>
  <c r="K130" i="2"/>
  <c r="F131" i="2"/>
  <c r="G131" i="2"/>
  <c r="K131" i="2"/>
  <c r="F132" i="2"/>
  <c r="G132" i="2"/>
  <c r="K132" i="2"/>
  <c r="F133" i="2"/>
  <c r="G133" i="2"/>
  <c r="K133" i="2"/>
  <c r="F134" i="2"/>
  <c r="G134" i="2"/>
  <c r="K134" i="2"/>
  <c r="F135" i="2"/>
  <c r="G135" i="2"/>
  <c r="K135" i="2"/>
  <c r="F136" i="2"/>
  <c r="G136" i="2"/>
  <c r="K136" i="2"/>
  <c r="F137" i="2"/>
  <c r="G137" i="2"/>
  <c r="K137" i="2"/>
  <c r="F138" i="2"/>
  <c r="G138" i="2"/>
  <c r="K138" i="2"/>
  <c r="F139" i="2"/>
  <c r="G139" i="2"/>
  <c r="K139" i="2"/>
  <c r="F140" i="2"/>
  <c r="G140" i="2"/>
  <c r="K140" i="2"/>
  <c r="F141" i="2"/>
  <c r="G141" i="2"/>
  <c r="K141" i="2"/>
  <c r="F142" i="2"/>
  <c r="G142" i="2"/>
  <c r="K142" i="2"/>
  <c r="F143" i="2"/>
  <c r="G143" i="2"/>
  <c r="K143" i="2"/>
  <c r="F144" i="2"/>
  <c r="G144" i="2"/>
  <c r="K144" i="2"/>
  <c r="F145" i="2"/>
  <c r="G145" i="2"/>
  <c r="K145" i="2"/>
  <c r="F146" i="2"/>
  <c r="G146" i="2"/>
  <c r="K146" i="2"/>
  <c r="F147" i="2"/>
  <c r="G147" i="2"/>
  <c r="K147" i="2"/>
  <c r="F148" i="2"/>
  <c r="G148" i="2"/>
  <c r="K148" i="2"/>
  <c r="F149" i="2"/>
  <c r="G149" i="2"/>
  <c r="K149" i="2"/>
  <c r="F150" i="2"/>
  <c r="G150" i="2"/>
  <c r="K150" i="2"/>
  <c r="F151" i="2"/>
  <c r="G151" i="2"/>
  <c r="K151" i="2"/>
  <c r="F152" i="2"/>
  <c r="G152" i="2"/>
  <c r="K152" i="2"/>
  <c r="F153" i="2"/>
  <c r="G153" i="2"/>
  <c r="K153" i="2"/>
  <c r="F154" i="2"/>
  <c r="G154" i="2"/>
  <c r="K154" i="2"/>
  <c r="F155" i="2"/>
  <c r="G155" i="2"/>
  <c r="K155" i="2"/>
  <c r="F156" i="2"/>
  <c r="G156" i="2"/>
  <c r="K156" i="2"/>
  <c r="F157" i="2"/>
  <c r="G157" i="2"/>
  <c r="K157" i="2"/>
  <c r="F158" i="2"/>
  <c r="G158" i="2"/>
  <c r="K158" i="2"/>
  <c r="F159" i="2"/>
  <c r="G159" i="2"/>
  <c r="K159" i="2"/>
  <c r="F160" i="2"/>
  <c r="G160" i="2"/>
  <c r="K160" i="2"/>
  <c r="F161" i="2"/>
  <c r="G161" i="2"/>
  <c r="K161" i="2"/>
  <c r="F162" i="2"/>
  <c r="G162" i="2"/>
  <c r="K162" i="2"/>
  <c r="F163" i="2"/>
  <c r="G163" i="2"/>
  <c r="K163" i="2"/>
  <c r="F164" i="2"/>
  <c r="G164" i="2"/>
  <c r="K164" i="2"/>
  <c r="F165" i="2"/>
  <c r="G165" i="2"/>
  <c r="K165" i="2"/>
  <c r="F166" i="2"/>
  <c r="G166" i="2"/>
  <c r="K166" i="2"/>
  <c r="F167" i="2"/>
  <c r="G167" i="2"/>
  <c r="K167" i="2"/>
  <c r="F168" i="2"/>
  <c r="G168" i="2"/>
  <c r="K168" i="2"/>
  <c r="F169" i="2"/>
  <c r="G169" i="2"/>
  <c r="K169" i="2"/>
  <c r="F170" i="2"/>
  <c r="G170" i="2"/>
  <c r="K170" i="2"/>
  <c r="F171" i="2"/>
  <c r="G171" i="2"/>
  <c r="K171" i="2"/>
  <c r="F172" i="2"/>
  <c r="G172" i="2"/>
  <c r="K172" i="2"/>
  <c r="F173" i="2"/>
  <c r="G173" i="2"/>
  <c r="K173" i="2"/>
  <c r="F174" i="2"/>
  <c r="G174" i="2"/>
  <c r="K174" i="2"/>
  <c r="F175" i="2"/>
  <c r="G175" i="2"/>
  <c r="K175" i="2"/>
  <c r="F176" i="2"/>
  <c r="G176" i="2"/>
  <c r="K176" i="2"/>
  <c r="F177" i="2"/>
  <c r="G177" i="2"/>
  <c r="K177" i="2"/>
  <c r="F178" i="2"/>
  <c r="G178" i="2"/>
  <c r="K178" i="2"/>
  <c r="F179" i="2"/>
  <c r="G179" i="2"/>
  <c r="K179" i="2"/>
  <c r="F180" i="2"/>
  <c r="G180" i="2"/>
  <c r="K180" i="2"/>
  <c r="F181" i="2"/>
  <c r="G181" i="2"/>
  <c r="K181" i="2"/>
  <c r="F182" i="2"/>
  <c r="G182" i="2"/>
  <c r="K182" i="2"/>
  <c r="F183" i="2"/>
  <c r="G183" i="2"/>
  <c r="K183" i="2"/>
  <c r="F184" i="2"/>
  <c r="G184" i="2"/>
  <c r="K184" i="2"/>
  <c r="F185" i="2"/>
  <c r="G185" i="2"/>
  <c r="K185" i="2"/>
  <c r="F186" i="2"/>
  <c r="G186" i="2"/>
  <c r="K186" i="2"/>
  <c r="F187" i="2"/>
  <c r="G187" i="2"/>
  <c r="K187" i="2"/>
  <c r="F188" i="2"/>
  <c r="G188" i="2"/>
  <c r="K188" i="2"/>
  <c r="F189" i="2"/>
  <c r="G189" i="2"/>
  <c r="K189" i="2"/>
  <c r="F190" i="2"/>
  <c r="G190" i="2"/>
  <c r="K190" i="2"/>
  <c r="F191" i="2"/>
  <c r="G191" i="2"/>
  <c r="K191" i="2"/>
  <c r="F192" i="2"/>
  <c r="G192" i="2"/>
  <c r="K192" i="2"/>
  <c r="F193" i="2"/>
  <c r="G193" i="2"/>
  <c r="K193" i="2"/>
  <c r="F194" i="2"/>
  <c r="G194" i="2"/>
  <c r="K194" i="2"/>
  <c r="F195" i="2"/>
  <c r="G195" i="2"/>
  <c r="K195" i="2"/>
  <c r="F196" i="2"/>
  <c r="G196" i="2"/>
  <c r="K196" i="2"/>
  <c r="F197" i="2"/>
  <c r="G197" i="2"/>
  <c r="K197" i="2"/>
  <c r="F198" i="2"/>
  <c r="G198" i="2"/>
  <c r="K198" i="2"/>
  <c r="F199" i="2"/>
  <c r="G199" i="2"/>
  <c r="K199" i="2"/>
  <c r="F200" i="2"/>
  <c r="G200" i="2"/>
  <c r="A201" i="2" s="1"/>
  <c r="D201" i="2" s="1"/>
  <c r="K200" i="2"/>
  <c r="B9" i="2" l="1"/>
  <c r="B199" i="2"/>
  <c r="B195" i="2"/>
  <c r="B191" i="2"/>
  <c r="B187" i="2"/>
  <c r="B183" i="2"/>
  <c r="B179" i="2"/>
  <c r="B175" i="2"/>
  <c r="B171" i="2"/>
  <c r="B167" i="2"/>
  <c r="B159" i="2"/>
  <c r="B155" i="2"/>
  <c r="B151" i="2"/>
  <c r="B147" i="2"/>
  <c r="B143" i="2"/>
  <c r="B139" i="2"/>
  <c r="B135" i="2"/>
  <c r="B131" i="2"/>
  <c r="B127" i="2"/>
  <c r="B119" i="2"/>
  <c r="B100" i="2"/>
  <c r="B96" i="2"/>
  <c r="B92" i="2"/>
  <c r="B88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0" i="2"/>
  <c r="B16" i="2"/>
  <c r="B12" i="2"/>
  <c r="B198" i="2"/>
  <c r="B106" i="2"/>
  <c r="B105" i="2"/>
  <c r="B104" i="2"/>
  <c r="B10" i="2"/>
  <c r="B26" i="2"/>
  <c r="B25" i="2"/>
  <c r="B24" i="2"/>
  <c r="B194" i="2"/>
  <c r="B190" i="2"/>
  <c r="B182" i="2"/>
  <c r="B178" i="2"/>
  <c r="B174" i="2"/>
  <c r="B170" i="2"/>
  <c r="B166" i="2"/>
  <c r="B158" i="2"/>
  <c r="B154" i="2"/>
  <c r="B150" i="2"/>
  <c r="B146" i="2"/>
  <c r="B142" i="2"/>
  <c r="B138" i="2"/>
  <c r="B134" i="2"/>
  <c r="B130" i="2"/>
  <c r="B126" i="2"/>
  <c r="B118" i="2"/>
  <c r="B110" i="2"/>
  <c r="B103" i="2"/>
  <c r="B95" i="2"/>
  <c r="B87" i="2"/>
  <c r="B15" i="2"/>
  <c r="B8" i="2"/>
  <c r="B81" i="2"/>
  <c r="B77" i="2"/>
  <c r="I102" i="2"/>
  <c r="I62" i="2"/>
  <c r="B86" i="2"/>
  <c r="B84" i="2"/>
  <c r="B75" i="2"/>
  <c r="I122" i="2"/>
  <c r="B122" i="2"/>
  <c r="I99" i="2"/>
  <c r="B99" i="2"/>
  <c r="I67" i="2"/>
  <c r="B67" i="2"/>
  <c r="I47" i="2"/>
  <c r="B47" i="2"/>
  <c r="I39" i="2"/>
  <c r="B39" i="2"/>
  <c r="I35" i="2"/>
  <c r="B35" i="2"/>
  <c r="I163" i="2"/>
  <c r="B163" i="2"/>
  <c r="I123" i="2"/>
  <c r="B123" i="2"/>
  <c r="I115" i="2"/>
  <c r="B115" i="2"/>
  <c r="I111" i="2"/>
  <c r="B111" i="2"/>
  <c r="I107" i="2"/>
  <c r="B107" i="2"/>
  <c r="I186" i="2"/>
  <c r="B186" i="2"/>
  <c r="I162" i="2"/>
  <c r="B162" i="2"/>
  <c r="I91" i="2"/>
  <c r="B91" i="2"/>
  <c r="I71" i="2"/>
  <c r="B71" i="2"/>
  <c r="I63" i="2"/>
  <c r="B63" i="2"/>
  <c r="I55" i="2"/>
  <c r="B55" i="2"/>
  <c r="I51" i="2"/>
  <c r="B51" i="2"/>
  <c r="I27" i="2"/>
  <c r="B27" i="2"/>
  <c r="I19" i="2"/>
  <c r="B19" i="2"/>
  <c r="I11" i="2"/>
  <c r="B11" i="2"/>
  <c r="B200" i="2"/>
  <c r="I196" i="2"/>
  <c r="B196" i="2"/>
  <c r="I192" i="2"/>
  <c r="B192" i="2"/>
  <c r="B188" i="2"/>
  <c r="B184" i="2"/>
  <c r="B180" i="2"/>
  <c r="B176" i="2"/>
  <c r="B172" i="2"/>
  <c r="B168" i="2"/>
  <c r="B164" i="2"/>
  <c r="B160" i="2"/>
  <c r="B156" i="2"/>
  <c r="B152" i="2"/>
  <c r="B148" i="2"/>
  <c r="B144" i="2"/>
  <c r="B140" i="2"/>
  <c r="B136" i="2"/>
  <c r="B132" i="2"/>
  <c r="B128" i="2"/>
  <c r="B124" i="2"/>
  <c r="B120" i="2"/>
  <c r="B116" i="2"/>
  <c r="B112" i="2"/>
  <c r="B108" i="2"/>
  <c r="I101" i="2"/>
  <c r="B101" i="2"/>
  <c r="B97" i="2"/>
  <c r="I93" i="2"/>
  <c r="B93" i="2"/>
  <c r="B89" i="2"/>
  <c r="B82" i="2"/>
  <c r="B78" i="2"/>
  <c r="I73" i="2"/>
  <c r="B73" i="2"/>
  <c r="B69" i="2"/>
  <c r="B65" i="2"/>
  <c r="B61" i="2"/>
  <c r="B57" i="2"/>
  <c r="B53" i="2"/>
  <c r="B49" i="2"/>
  <c r="B45" i="2"/>
  <c r="B41" i="2"/>
  <c r="B37" i="2"/>
  <c r="B33" i="2"/>
  <c r="B29" i="2"/>
  <c r="B21" i="2"/>
  <c r="B17" i="2"/>
  <c r="B13" i="2"/>
  <c r="B6" i="2"/>
  <c r="I114" i="2"/>
  <c r="B114" i="2"/>
  <c r="I59" i="2"/>
  <c r="B59" i="2"/>
  <c r="I43" i="2"/>
  <c r="B43" i="2"/>
  <c r="I31" i="2"/>
  <c r="B31" i="2"/>
  <c r="I23" i="2"/>
  <c r="B23" i="2"/>
  <c r="B197" i="2"/>
  <c r="B193" i="2"/>
  <c r="B189" i="2"/>
  <c r="B185" i="2"/>
  <c r="B181" i="2"/>
  <c r="B177" i="2"/>
  <c r="B173" i="2"/>
  <c r="B169" i="2"/>
  <c r="B165" i="2"/>
  <c r="I161" i="2"/>
  <c r="B161" i="2"/>
  <c r="B157" i="2"/>
  <c r="B153" i="2"/>
  <c r="B149" i="2"/>
  <c r="B145" i="2"/>
  <c r="B141" i="2"/>
  <c r="B137" i="2"/>
  <c r="B133" i="2"/>
  <c r="B129" i="2"/>
  <c r="B125" i="2"/>
  <c r="B121" i="2"/>
  <c r="B117" i="2"/>
  <c r="B113" i="2"/>
  <c r="B109" i="2"/>
  <c r="B102" i="2"/>
  <c r="B98" i="2"/>
  <c r="B94" i="2"/>
  <c r="B90" i="2"/>
  <c r="I85" i="2"/>
  <c r="B85" i="2"/>
  <c r="B83" i="2"/>
  <c r="B79" i="2"/>
  <c r="I74" i="2"/>
  <c r="B74" i="2"/>
  <c r="B70" i="2"/>
  <c r="B66" i="2"/>
  <c r="B62" i="2"/>
  <c r="B58" i="2"/>
  <c r="B54" i="2"/>
  <c r="B50" i="2"/>
  <c r="B46" i="2"/>
  <c r="B42" i="2"/>
  <c r="B38" i="2"/>
  <c r="B34" i="2"/>
  <c r="B30" i="2"/>
  <c r="B22" i="2"/>
  <c r="B18" i="2"/>
  <c r="B14" i="2"/>
  <c r="B7" i="2"/>
  <c r="Q5" i="2"/>
  <c r="I7" i="2"/>
  <c r="I28" i="2"/>
  <c r="I10" i="2"/>
  <c r="I9" i="2"/>
  <c r="I8" i="2"/>
  <c r="I60" i="2"/>
  <c r="I159" i="2"/>
  <c r="I151" i="2"/>
  <c r="I147" i="2"/>
  <c r="I143" i="2"/>
  <c r="I137" i="2"/>
  <c r="I136" i="2"/>
  <c r="I124" i="2"/>
  <c r="I120" i="2"/>
  <c r="I116" i="2"/>
  <c r="I37" i="2"/>
  <c r="I33" i="2"/>
  <c r="I29" i="2"/>
  <c r="I30" i="2"/>
  <c r="I82" i="2"/>
  <c r="I78" i="2"/>
  <c r="I65" i="2"/>
  <c r="I61" i="2"/>
  <c r="I197" i="2"/>
  <c r="I176" i="2"/>
  <c r="I172" i="2"/>
  <c r="I167" i="2"/>
  <c r="I121" i="2"/>
  <c r="I86" i="2"/>
  <c r="I84" i="2"/>
  <c r="I83" i="2"/>
  <c r="I70" i="2"/>
  <c r="I66" i="2"/>
  <c r="I52" i="2"/>
  <c r="I48" i="2"/>
  <c r="I46" i="2"/>
  <c r="I45" i="2"/>
  <c r="I44" i="2"/>
  <c r="I38" i="2"/>
  <c r="I34" i="2"/>
  <c r="I20" i="2"/>
  <c r="I16" i="2"/>
  <c r="I12" i="2"/>
  <c r="I153" i="2"/>
  <c r="I152" i="2"/>
  <c r="I108" i="2"/>
  <c r="I98" i="2"/>
  <c r="I94" i="2"/>
  <c r="I80" i="2"/>
  <c r="I53" i="2"/>
  <c r="I49" i="2"/>
  <c r="I21" i="2"/>
  <c r="I17" i="2"/>
  <c r="I181" i="2"/>
  <c r="I68" i="2"/>
  <c r="I64" i="2"/>
  <c r="I54" i="2"/>
  <c r="I50" i="2"/>
  <c r="I36" i="2"/>
  <c r="I32" i="2"/>
  <c r="I22" i="2"/>
  <c r="I18" i="2"/>
  <c r="I13" i="2"/>
  <c r="I14" i="2"/>
  <c r="I15" i="2"/>
  <c r="I148" i="2"/>
  <c r="I112" i="2"/>
  <c r="I75" i="2"/>
  <c r="I58" i="2"/>
  <c r="I57" i="2"/>
  <c r="I56" i="2"/>
  <c r="I42" i="2"/>
  <c r="I41" i="2"/>
  <c r="I40" i="2"/>
  <c r="I26" i="2"/>
  <c r="I25" i="2"/>
  <c r="I24" i="2"/>
  <c r="I177" i="2"/>
  <c r="I155" i="2"/>
  <c r="I133" i="2"/>
  <c r="I106" i="2"/>
  <c r="I88" i="2"/>
  <c r="I189" i="2"/>
  <c r="I173" i="2"/>
  <c r="I169" i="2"/>
  <c r="I168" i="2"/>
  <c r="I160" i="2"/>
  <c r="I145" i="2"/>
  <c r="I144" i="2"/>
  <c r="I129" i="2"/>
  <c r="I128" i="2"/>
  <c r="I113" i="2"/>
  <c r="I193" i="2"/>
  <c r="I149" i="2"/>
  <c r="I132" i="2"/>
  <c r="I117" i="2"/>
  <c r="I90" i="2"/>
  <c r="I185" i="2"/>
  <c r="I165" i="2"/>
  <c r="I164" i="2"/>
  <c r="I157" i="2"/>
  <c r="I156" i="2"/>
  <c r="I141" i="2"/>
  <c r="I140" i="2"/>
  <c r="I125" i="2"/>
  <c r="I109" i="2"/>
  <c r="I79" i="2"/>
  <c r="I76" i="2"/>
  <c r="I72" i="2"/>
  <c r="I6" i="2"/>
  <c r="I5" i="2"/>
  <c r="I198" i="2"/>
  <c r="I188" i="2"/>
  <c r="I182" i="2"/>
  <c r="I166" i="2"/>
  <c r="I135" i="2"/>
  <c r="I127" i="2"/>
  <c r="I118" i="2"/>
  <c r="I110" i="2"/>
  <c r="I97" i="2"/>
  <c r="I95" i="2"/>
  <c r="I81" i="2"/>
  <c r="I200" i="2"/>
  <c r="I194" i="2"/>
  <c r="I184" i="2"/>
  <c r="I178" i="2"/>
  <c r="I119" i="2"/>
  <c r="I190" i="2"/>
  <c r="I180" i="2"/>
  <c r="I150" i="2"/>
  <c r="I139" i="2"/>
  <c r="I131" i="2"/>
  <c r="I105" i="2"/>
  <c r="I103" i="2"/>
  <c r="I89" i="2"/>
  <c r="I87" i="2"/>
  <c r="I183" i="2"/>
  <c r="I179" i="2"/>
  <c r="I174" i="2"/>
  <c r="I170" i="2"/>
  <c r="I199" i="2"/>
  <c r="I195" i="2"/>
  <c r="I191" i="2"/>
  <c r="I187" i="2"/>
  <c r="I175" i="2"/>
  <c r="I171" i="2"/>
  <c r="I158" i="2"/>
  <c r="I154" i="2"/>
  <c r="I146" i="2"/>
  <c r="I142" i="2"/>
  <c r="I138" i="2"/>
  <c r="I134" i="2"/>
  <c r="I130" i="2"/>
  <c r="I126" i="2"/>
  <c r="I104" i="2"/>
  <c r="I100" i="2"/>
  <c r="I96" i="2"/>
  <c r="I92" i="2"/>
  <c r="I77" i="2"/>
  <c r="I69" i="2"/>
  <c r="J1" i="3" l="1"/>
  <c r="B1" i="3"/>
  <c r="J1" i="2"/>
  <c r="B1" i="2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5" i="6"/>
  <c r="J1" i="6"/>
  <c r="B1" i="6"/>
  <c r="H4" i="4" l="1"/>
  <c r="E2" i="7"/>
  <c r="E4" i="4" s="1"/>
  <c r="B4" i="4"/>
  <c r="D4" i="4" s="1"/>
  <c r="A5" i="2" s="1"/>
  <c r="G4" i="4" l="1"/>
  <c r="M9" i="2"/>
  <c r="A4" i="4"/>
  <c r="G200" i="6"/>
  <c r="A201" i="6" s="1"/>
  <c r="D201" i="6" s="1"/>
  <c r="F200" i="6"/>
  <c r="B200" i="6" s="1"/>
  <c r="G199" i="6"/>
  <c r="F199" i="6"/>
  <c r="B199" i="6" s="1"/>
  <c r="G198" i="6"/>
  <c r="A199" i="6" s="1"/>
  <c r="F198" i="6"/>
  <c r="B198" i="6" s="1"/>
  <c r="Q197" i="6"/>
  <c r="G197" i="6"/>
  <c r="A198" i="6" s="1"/>
  <c r="F197" i="6"/>
  <c r="B197" i="6" s="1"/>
  <c r="G196" i="6"/>
  <c r="F196" i="6"/>
  <c r="B196" i="6" s="1"/>
  <c r="Q195" i="6"/>
  <c r="G195" i="6"/>
  <c r="A196" i="6" s="1"/>
  <c r="F195" i="6"/>
  <c r="B195" i="6" s="1"/>
  <c r="G194" i="6"/>
  <c r="A195" i="6" s="1"/>
  <c r="F194" i="6"/>
  <c r="B194" i="6" s="1"/>
  <c r="Q193" i="6"/>
  <c r="G193" i="6"/>
  <c r="A194" i="6" s="1"/>
  <c r="F193" i="6"/>
  <c r="B193" i="6" s="1"/>
  <c r="G192" i="6"/>
  <c r="F192" i="6"/>
  <c r="B192" i="6" s="1"/>
  <c r="G191" i="6"/>
  <c r="A192" i="6" s="1"/>
  <c r="F191" i="6"/>
  <c r="B191" i="6" s="1"/>
  <c r="G190" i="6"/>
  <c r="A191" i="6" s="1"/>
  <c r="F190" i="6"/>
  <c r="B190" i="6" s="1"/>
  <c r="Q189" i="6"/>
  <c r="G189" i="6"/>
  <c r="A190" i="6" s="1"/>
  <c r="F189" i="6"/>
  <c r="B189" i="6" s="1"/>
  <c r="G188" i="6"/>
  <c r="A189" i="6" s="1"/>
  <c r="F188" i="6"/>
  <c r="B188" i="6" s="1"/>
  <c r="G187" i="6"/>
  <c r="A188" i="6" s="1"/>
  <c r="F187" i="6"/>
  <c r="B187" i="6" s="1"/>
  <c r="G186" i="6"/>
  <c r="F186" i="6"/>
  <c r="B186" i="6" s="1"/>
  <c r="Q185" i="6"/>
  <c r="G185" i="6"/>
  <c r="F185" i="6"/>
  <c r="B185" i="6" s="1"/>
  <c r="G184" i="6"/>
  <c r="A185" i="6" s="1"/>
  <c r="F184" i="6"/>
  <c r="B184" i="6" s="1"/>
  <c r="G183" i="6"/>
  <c r="A184" i="6" s="1"/>
  <c r="F183" i="6"/>
  <c r="B183" i="6" s="1"/>
  <c r="G182" i="6"/>
  <c r="A183" i="6" s="1"/>
  <c r="F182" i="6"/>
  <c r="B182" i="6" s="1"/>
  <c r="G181" i="6"/>
  <c r="F181" i="6"/>
  <c r="B181" i="6" s="1"/>
  <c r="G180" i="6"/>
  <c r="A181" i="6" s="1"/>
  <c r="F180" i="6"/>
  <c r="B180" i="6" s="1"/>
  <c r="G179" i="6"/>
  <c r="A180" i="6" s="1"/>
  <c r="F179" i="6"/>
  <c r="B179" i="6" s="1"/>
  <c r="Q178" i="6"/>
  <c r="G178" i="6"/>
  <c r="A179" i="6" s="1"/>
  <c r="F178" i="6"/>
  <c r="B178" i="6" s="1"/>
  <c r="Q177" i="6"/>
  <c r="G177" i="6"/>
  <c r="A178" i="6" s="1"/>
  <c r="F177" i="6"/>
  <c r="B177" i="6" s="1"/>
  <c r="G176" i="6"/>
  <c r="F176" i="6"/>
  <c r="B176" i="6" s="1"/>
  <c r="Q175" i="6"/>
  <c r="G175" i="6"/>
  <c r="F175" i="6"/>
  <c r="B175" i="6" s="1"/>
  <c r="Q174" i="6"/>
  <c r="G174" i="6"/>
  <c r="A175" i="6" s="1"/>
  <c r="F174" i="6"/>
  <c r="B174" i="6" s="1"/>
  <c r="Q173" i="6"/>
  <c r="G173" i="6"/>
  <c r="A174" i="6" s="1"/>
  <c r="F173" i="6"/>
  <c r="B173" i="6" s="1"/>
  <c r="G172" i="6"/>
  <c r="F172" i="6"/>
  <c r="B172" i="6" s="1"/>
  <c r="Q171" i="6"/>
  <c r="G171" i="6"/>
  <c r="A172" i="6" s="1"/>
  <c r="F171" i="6"/>
  <c r="B171" i="6" s="1"/>
  <c r="Q170" i="6"/>
  <c r="G170" i="6"/>
  <c r="A171" i="6" s="1"/>
  <c r="F170" i="6"/>
  <c r="B170" i="6" s="1"/>
  <c r="G169" i="6"/>
  <c r="A170" i="6" s="1"/>
  <c r="F169" i="6"/>
  <c r="B169" i="6" s="1"/>
  <c r="G168" i="6"/>
  <c r="A169" i="6" s="1"/>
  <c r="F168" i="6"/>
  <c r="B168" i="6" s="1"/>
  <c r="G167" i="6"/>
  <c r="A168" i="6" s="1"/>
  <c r="F167" i="6"/>
  <c r="B167" i="6" s="1"/>
  <c r="Q166" i="6"/>
  <c r="G166" i="6"/>
  <c r="A167" i="6" s="1"/>
  <c r="F166" i="6"/>
  <c r="B166" i="6" s="1"/>
  <c r="I165" i="6"/>
  <c r="G165" i="6"/>
  <c r="A166" i="6" s="1"/>
  <c r="F165" i="6"/>
  <c r="B165" i="6" s="1"/>
  <c r="G164" i="6"/>
  <c r="F164" i="6"/>
  <c r="B164" i="6" s="1"/>
  <c r="Q163" i="6"/>
  <c r="G163" i="6"/>
  <c r="A164" i="6" s="1"/>
  <c r="F163" i="6"/>
  <c r="B163" i="6" s="1"/>
  <c r="Q162" i="6"/>
  <c r="G162" i="6"/>
  <c r="F162" i="6"/>
  <c r="B162" i="6" s="1"/>
  <c r="Q161" i="6"/>
  <c r="G161" i="6"/>
  <c r="A162" i="6" s="1"/>
  <c r="F161" i="6"/>
  <c r="B161" i="6" s="1"/>
  <c r="G160" i="6"/>
  <c r="F160" i="6"/>
  <c r="B160" i="6" s="1"/>
  <c r="Q159" i="6"/>
  <c r="G159" i="6"/>
  <c r="F159" i="6"/>
  <c r="B159" i="6" s="1"/>
  <c r="Q158" i="6"/>
  <c r="G158" i="6"/>
  <c r="F158" i="6"/>
  <c r="B158" i="6" s="1"/>
  <c r="Q157" i="6"/>
  <c r="G157" i="6"/>
  <c r="A158" i="6" s="1"/>
  <c r="F157" i="6"/>
  <c r="B157" i="6" s="1"/>
  <c r="G156" i="6"/>
  <c r="F156" i="6"/>
  <c r="B156" i="6" s="1"/>
  <c r="Q155" i="6"/>
  <c r="G155" i="6"/>
  <c r="A156" i="6" s="1"/>
  <c r="F155" i="6"/>
  <c r="B155" i="6" s="1"/>
  <c r="G154" i="6"/>
  <c r="F154" i="6"/>
  <c r="B154" i="6" s="1"/>
  <c r="Q153" i="6"/>
  <c r="G153" i="6"/>
  <c r="A154" i="6" s="1"/>
  <c r="F153" i="6"/>
  <c r="B153" i="6" s="1"/>
  <c r="G152" i="6"/>
  <c r="F152" i="6"/>
  <c r="B152" i="6" s="1"/>
  <c r="Q151" i="6"/>
  <c r="G151" i="6"/>
  <c r="A152" i="6" s="1"/>
  <c r="F151" i="6"/>
  <c r="B151" i="6" s="1"/>
  <c r="G150" i="6"/>
  <c r="F150" i="6"/>
  <c r="B150" i="6" s="1"/>
  <c r="Q149" i="6"/>
  <c r="G149" i="6"/>
  <c r="A150" i="6" s="1"/>
  <c r="F149" i="6"/>
  <c r="B149" i="6" s="1"/>
  <c r="G148" i="6"/>
  <c r="F148" i="6"/>
  <c r="B148" i="6" s="1"/>
  <c r="Q147" i="6"/>
  <c r="G147" i="6"/>
  <c r="A148" i="6" s="1"/>
  <c r="F147" i="6"/>
  <c r="B147" i="6" s="1"/>
  <c r="Q146" i="6"/>
  <c r="G146" i="6"/>
  <c r="F146" i="6"/>
  <c r="B146" i="6" s="1"/>
  <c r="G145" i="6"/>
  <c r="F145" i="6"/>
  <c r="B145" i="6" s="1"/>
  <c r="G144" i="6"/>
  <c r="A145" i="6" s="1"/>
  <c r="F144" i="6"/>
  <c r="B144" i="6" s="1"/>
  <c r="Q143" i="6"/>
  <c r="G143" i="6"/>
  <c r="A144" i="6" s="1"/>
  <c r="F143" i="6"/>
  <c r="B143" i="6" s="1"/>
  <c r="G142" i="6"/>
  <c r="F142" i="6"/>
  <c r="B142" i="6" s="1"/>
  <c r="G141" i="6"/>
  <c r="A142" i="6" s="1"/>
  <c r="F141" i="6"/>
  <c r="B141" i="6" s="1"/>
  <c r="G140" i="6"/>
  <c r="F140" i="6"/>
  <c r="B140" i="6" s="1"/>
  <c r="Q139" i="6"/>
  <c r="G139" i="6"/>
  <c r="F139" i="6"/>
  <c r="B139" i="6" s="1"/>
  <c r="Q138" i="6"/>
  <c r="G138" i="6"/>
  <c r="F138" i="6"/>
  <c r="B138" i="6" s="1"/>
  <c r="Q137" i="6"/>
  <c r="G137" i="6"/>
  <c r="F137" i="6"/>
  <c r="B137" i="6" s="1"/>
  <c r="G136" i="6"/>
  <c r="A137" i="6" s="1"/>
  <c r="F136" i="6"/>
  <c r="B136" i="6" s="1"/>
  <c r="G135" i="6"/>
  <c r="A136" i="6" s="1"/>
  <c r="F135" i="6"/>
  <c r="B135" i="6" s="1"/>
  <c r="G134" i="6"/>
  <c r="A135" i="6" s="1"/>
  <c r="F134" i="6"/>
  <c r="B134" i="6" s="1"/>
  <c r="G133" i="6"/>
  <c r="F133" i="6"/>
  <c r="B133" i="6" s="1"/>
  <c r="Q132" i="6"/>
  <c r="G132" i="6"/>
  <c r="A133" i="6" s="1"/>
  <c r="F132" i="6"/>
  <c r="B132" i="6" s="1"/>
  <c r="Q131" i="6"/>
  <c r="G131" i="6"/>
  <c r="F131" i="6"/>
  <c r="B131" i="6" s="1"/>
  <c r="G130" i="6"/>
  <c r="F130" i="6"/>
  <c r="B130" i="6" s="1"/>
  <c r="G129" i="6"/>
  <c r="F129" i="6"/>
  <c r="B129" i="6" s="1"/>
  <c r="Q128" i="6"/>
  <c r="G128" i="6"/>
  <c r="A129" i="6" s="1"/>
  <c r="F128" i="6"/>
  <c r="B128" i="6" s="1"/>
  <c r="G127" i="6"/>
  <c r="A128" i="6" s="1"/>
  <c r="F127" i="6"/>
  <c r="B127" i="6" s="1"/>
  <c r="G126" i="6"/>
  <c r="F126" i="6"/>
  <c r="B126" i="6" s="1"/>
  <c r="Q125" i="6"/>
  <c r="G125" i="6"/>
  <c r="A126" i="6" s="1"/>
  <c r="F125" i="6"/>
  <c r="B125" i="6" s="1"/>
  <c r="Q124" i="6"/>
  <c r="G124" i="6"/>
  <c r="A125" i="6" s="1"/>
  <c r="F124" i="6"/>
  <c r="B124" i="6" s="1"/>
  <c r="Q123" i="6"/>
  <c r="G123" i="6"/>
  <c r="A124" i="6" s="1"/>
  <c r="F123" i="6"/>
  <c r="B123" i="6" s="1"/>
  <c r="G122" i="6"/>
  <c r="F122" i="6"/>
  <c r="B122" i="6" s="1"/>
  <c r="Q121" i="6"/>
  <c r="G121" i="6"/>
  <c r="A122" i="6" s="1"/>
  <c r="F121" i="6"/>
  <c r="B121" i="6" s="1"/>
  <c r="Q120" i="6"/>
  <c r="G120" i="6"/>
  <c r="A121" i="6" s="1"/>
  <c r="F120" i="6"/>
  <c r="B120" i="6" s="1"/>
  <c r="Q119" i="6"/>
  <c r="G119" i="6"/>
  <c r="A120" i="6" s="1"/>
  <c r="F119" i="6"/>
  <c r="B119" i="6" s="1"/>
  <c r="G118" i="6"/>
  <c r="F118" i="6"/>
  <c r="B118" i="6" s="1"/>
  <c r="Q117" i="6"/>
  <c r="G117" i="6"/>
  <c r="A118" i="6" s="1"/>
  <c r="F117" i="6"/>
  <c r="B117" i="6" s="1"/>
  <c r="Q116" i="6"/>
  <c r="G116" i="6"/>
  <c r="A117" i="6" s="1"/>
  <c r="F116" i="6"/>
  <c r="B116" i="6" s="1"/>
  <c r="Q115" i="6"/>
  <c r="G115" i="6"/>
  <c r="A116" i="6" s="1"/>
  <c r="F115" i="6"/>
  <c r="B115" i="6" s="1"/>
  <c r="G114" i="6"/>
  <c r="F114" i="6"/>
  <c r="B114" i="6" s="1"/>
  <c r="G113" i="6"/>
  <c r="F113" i="6"/>
  <c r="B113" i="6" s="1"/>
  <c r="Q112" i="6"/>
  <c r="G112" i="6"/>
  <c r="A113" i="6" s="1"/>
  <c r="F112" i="6"/>
  <c r="B112" i="6" s="1"/>
  <c r="G111" i="6"/>
  <c r="F111" i="6"/>
  <c r="B111" i="6" s="1"/>
  <c r="Q110" i="6"/>
  <c r="G110" i="6"/>
  <c r="F110" i="6"/>
  <c r="B110" i="6" s="1"/>
  <c r="Q109" i="6"/>
  <c r="G109" i="6"/>
  <c r="F109" i="6"/>
  <c r="B109" i="6" s="1"/>
  <c r="I108" i="6"/>
  <c r="G108" i="6"/>
  <c r="A109" i="6" s="1"/>
  <c r="F108" i="6"/>
  <c r="B108" i="6" s="1"/>
  <c r="G107" i="6"/>
  <c r="F107" i="6"/>
  <c r="B107" i="6" s="1"/>
  <c r="Q106" i="6"/>
  <c r="G106" i="6"/>
  <c r="A107" i="6" s="1"/>
  <c r="F106" i="6"/>
  <c r="B106" i="6" s="1"/>
  <c r="Q105" i="6"/>
  <c r="G105" i="6"/>
  <c r="F105" i="6"/>
  <c r="B105" i="6" s="1"/>
  <c r="Q104" i="6"/>
  <c r="G104" i="6"/>
  <c r="A105" i="6" s="1"/>
  <c r="F104" i="6"/>
  <c r="B104" i="6" s="1"/>
  <c r="G103" i="6"/>
  <c r="F103" i="6"/>
  <c r="B103" i="6" s="1"/>
  <c r="G102" i="6"/>
  <c r="A103" i="6" s="1"/>
  <c r="F102" i="6"/>
  <c r="B102" i="6" s="1"/>
  <c r="G101" i="6"/>
  <c r="F101" i="6"/>
  <c r="B101" i="6" s="1"/>
  <c r="G100" i="6"/>
  <c r="A101" i="6" s="1"/>
  <c r="F100" i="6"/>
  <c r="B100" i="6" s="1"/>
  <c r="G99" i="6"/>
  <c r="F99" i="6"/>
  <c r="B99" i="6" s="1"/>
  <c r="Q98" i="6"/>
  <c r="G98" i="6"/>
  <c r="A99" i="6" s="1"/>
  <c r="F98" i="6"/>
  <c r="B98" i="6" s="1"/>
  <c r="Q97" i="6"/>
  <c r="G97" i="6"/>
  <c r="F97" i="6"/>
  <c r="B97" i="6" s="1"/>
  <c r="Q96" i="6"/>
  <c r="G96" i="6"/>
  <c r="A97" i="6" s="1"/>
  <c r="F96" i="6"/>
  <c r="B96" i="6" s="1"/>
  <c r="G95" i="6"/>
  <c r="F95" i="6"/>
  <c r="B95" i="6" s="1"/>
  <c r="Q94" i="6"/>
  <c r="G94" i="6"/>
  <c r="A95" i="6" s="1"/>
  <c r="F94" i="6"/>
  <c r="B94" i="6" s="1"/>
  <c r="Q93" i="6"/>
  <c r="G93" i="6"/>
  <c r="F93" i="6"/>
  <c r="B93" i="6" s="1"/>
  <c r="I92" i="6"/>
  <c r="G92" i="6"/>
  <c r="A93" i="6" s="1"/>
  <c r="F92" i="6"/>
  <c r="B92" i="6" s="1"/>
  <c r="G91" i="6"/>
  <c r="F91" i="6"/>
  <c r="B91" i="6" s="1"/>
  <c r="Q90" i="6"/>
  <c r="G90" i="6"/>
  <c r="A91" i="6" s="1"/>
  <c r="F90" i="6"/>
  <c r="B90" i="6" s="1"/>
  <c r="Q89" i="6"/>
  <c r="G89" i="6"/>
  <c r="F89" i="6"/>
  <c r="B89" i="6" s="1"/>
  <c r="Q88" i="6"/>
  <c r="G88" i="6"/>
  <c r="A89" i="6" s="1"/>
  <c r="F88" i="6"/>
  <c r="B88" i="6" s="1"/>
  <c r="G87" i="6"/>
  <c r="F87" i="6"/>
  <c r="B87" i="6" s="1"/>
  <c r="Q86" i="6"/>
  <c r="G86" i="6"/>
  <c r="A87" i="6" s="1"/>
  <c r="F86" i="6"/>
  <c r="B86" i="6" s="1"/>
  <c r="Q85" i="6"/>
  <c r="G85" i="6"/>
  <c r="F85" i="6"/>
  <c r="B85" i="6" s="1"/>
  <c r="I84" i="6"/>
  <c r="G84" i="6"/>
  <c r="A85" i="6" s="1"/>
  <c r="F84" i="6"/>
  <c r="B84" i="6" s="1"/>
  <c r="G83" i="6"/>
  <c r="F83" i="6"/>
  <c r="B83" i="6" s="1"/>
  <c r="Q82" i="6"/>
  <c r="G82" i="6"/>
  <c r="A83" i="6" s="1"/>
  <c r="F82" i="6"/>
  <c r="B82" i="6" s="1"/>
  <c r="G81" i="6"/>
  <c r="F81" i="6"/>
  <c r="B81" i="6" s="1"/>
  <c r="Q80" i="6"/>
  <c r="G80" i="6"/>
  <c r="A81" i="6" s="1"/>
  <c r="F80" i="6"/>
  <c r="B80" i="6" s="1"/>
  <c r="G79" i="6"/>
  <c r="F79" i="6"/>
  <c r="B79" i="6" s="1"/>
  <c r="Q78" i="6"/>
  <c r="G78" i="6"/>
  <c r="A79" i="6" s="1"/>
  <c r="F78" i="6"/>
  <c r="B78" i="6" s="1"/>
  <c r="G77" i="6"/>
  <c r="F77" i="6"/>
  <c r="B77" i="6" s="1"/>
  <c r="Q76" i="6"/>
  <c r="G76" i="6"/>
  <c r="A77" i="6" s="1"/>
  <c r="F76" i="6"/>
  <c r="B76" i="6" s="1"/>
  <c r="G75" i="6"/>
  <c r="F75" i="6"/>
  <c r="B75" i="6" s="1"/>
  <c r="Q74" i="6"/>
  <c r="G74" i="6"/>
  <c r="A75" i="6" s="1"/>
  <c r="F74" i="6"/>
  <c r="B74" i="6" s="1"/>
  <c r="G73" i="6"/>
  <c r="F73" i="6"/>
  <c r="B73" i="6" s="1"/>
  <c r="Q72" i="6"/>
  <c r="G72" i="6"/>
  <c r="A73" i="6" s="1"/>
  <c r="F72" i="6"/>
  <c r="B72" i="6" s="1"/>
  <c r="G71" i="6"/>
  <c r="F71" i="6"/>
  <c r="B71" i="6" s="1"/>
  <c r="Q70" i="6"/>
  <c r="G70" i="6"/>
  <c r="A71" i="6" s="1"/>
  <c r="F70" i="6"/>
  <c r="B70" i="6" s="1"/>
  <c r="G69" i="6"/>
  <c r="F69" i="6"/>
  <c r="B69" i="6" s="1"/>
  <c r="Q68" i="6"/>
  <c r="G68" i="6"/>
  <c r="A69" i="6" s="1"/>
  <c r="F68" i="6"/>
  <c r="B68" i="6" s="1"/>
  <c r="G67" i="6"/>
  <c r="A68" i="6" s="1"/>
  <c r="F67" i="6"/>
  <c r="B67" i="6" s="1"/>
  <c r="Q66" i="6"/>
  <c r="G66" i="6"/>
  <c r="A67" i="6" s="1"/>
  <c r="F66" i="6"/>
  <c r="B66" i="6" s="1"/>
  <c r="G65" i="6"/>
  <c r="A66" i="6" s="1"/>
  <c r="F65" i="6"/>
  <c r="B65" i="6" s="1"/>
  <c r="G64" i="6"/>
  <c r="A65" i="6" s="1"/>
  <c r="F64" i="6"/>
  <c r="B64" i="6" s="1"/>
  <c r="G63" i="6"/>
  <c r="A64" i="6" s="1"/>
  <c r="F63" i="6"/>
  <c r="B63" i="6" s="1"/>
  <c r="Q62" i="6"/>
  <c r="G62" i="6"/>
  <c r="A63" i="6" s="1"/>
  <c r="F62" i="6"/>
  <c r="B62" i="6" s="1"/>
  <c r="Q61" i="6"/>
  <c r="G61" i="6"/>
  <c r="A62" i="6" s="1"/>
  <c r="F61" i="6"/>
  <c r="B61" i="6" s="1"/>
  <c r="G60" i="6"/>
  <c r="A61" i="6" s="1"/>
  <c r="F60" i="6"/>
  <c r="B60" i="6" s="1"/>
  <c r="G59" i="6"/>
  <c r="A60" i="6" s="1"/>
  <c r="F59" i="6"/>
  <c r="B59" i="6" s="1"/>
  <c r="Q58" i="6"/>
  <c r="G58" i="6"/>
  <c r="A59" i="6" s="1"/>
  <c r="F58" i="6"/>
  <c r="B58" i="6" s="1"/>
  <c r="G57" i="6"/>
  <c r="A58" i="6" s="1"/>
  <c r="F57" i="6"/>
  <c r="B57" i="6" s="1"/>
  <c r="G56" i="6"/>
  <c r="A57" i="6" s="1"/>
  <c r="F56" i="6"/>
  <c r="B56" i="6" s="1"/>
  <c r="G55" i="6"/>
  <c r="F55" i="6"/>
  <c r="B55" i="6" s="1"/>
  <c r="Q54" i="6"/>
  <c r="G54" i="6"/>
  <c r="F54" i="6"/>
  <c r="B54" i="6" s="1"/>
  <c r="Q53" i="6"/>
  <c r="G53" i="6"/>
  <c r="F53" i="6"/>
  <c r="B53" i="6" s="1"/>
  <c r="I52" i="6"/>
  <c r="G52" i="6"/>
  <c r="A53" i="6" s="1"/>
  <c r="F52" i="6"/>
  <c r="B52" i="6" s="1"/>
  <c r="G51" i="6"/>
  <c r="F51" i="6"/>
  <c r="B51" i="6" s="1"/>
  <c r="Q50" i="6"/>
  <c r="G50" i="6"/>
  <c r="F50" i="6"/>
  <c r="B50" i="6" s="1"/>
  <c r="Q49" i="6"/>
  <c r="G49" i="6"/>
  <c r="F49" i="6"/>
  <c r="B49" i="6" s="1"/>
  <c r="I48" i="6"/>
  <c r="G48" i="6"/>
  <c r="A49" i="6" s="1"/>
  <c r="F48" i="6"/>
  <c r="B48" i="6" s="1"/>
  <c r="G47" i="6"/>
  <c r="F47" i="6"/>
  <c r="B47" i="6" s="1"/>
  <c r="Q46" i="6"/>
  <c r="G46" i="6"/>
  <c r="A47" i="6" s="1"/>
  <c r="F46" i="6"/>
  <c r="B46" i="6" s="1"/>
  <c r="Q45" i="6"/>
  <c r="G45" i="6"/>
  <c r="F45" i="6"/>
  <c r="B45" i="6" s="1"/>
  <c r="I44" i="6"/>
  <c r="G44" i="6"/>
  <c r="A45" i="6" s="1"/>
  <c r="F44" i="6"/>
  <c r="B44" i="6" s="1"/>
  <c r="G43" i="6"/>
  <c r="F43" i="6"/>
  <c r="B43" i="6" s="1"/>
  <c r="Q42" i="6"/>
  <c r="G42" i="6"/>
  <c r="A43" i="6" s="1"/>
  <c r="F42" i="6"/>
  <c r="B42" i="6" s="1"/>
  <c r="Q41" i="6"/>
  <c r="G41" i="6"/>
  <c r="F41" i="6"/>
  <c r="B41" i="6" s="1"/>
  <c r="Q40" i="6"/>
  <c r="G40" i="6"/>
  <c r="A41" i="6" s="1"/>
  <c r="F40" i="6"/>
  <c r="B40" i="6" s="1"/>
  <c r="G39" i="6"/>
  <c r="F39" i="6"/>
  <c r="B39" i="6" s="1"/>
  <c r="Q38" i="6"/>
  <c r="G38" i="6"/>
  <c r="F38" i="6"/>
  <c r="B38" i="6" s="1"/>
  <c r="Q37" i="6"/>
  <c r="G37" i="6"/>
  <c r="F37" i="6"/>
  <c r="B37" i="6" s="1"/>
  <c r="Q36" i="6"/>
  <c r="G36" i="6"/>
  <c r="A37" i="6" s="1"/>
  <c r="F36" i="6"/>
  <c r="B36" i="6" s="1"/>
  <c r="G35" i="6"/>
  <c r="F35" i="6"/>
  <c r="B35" i="6" s="1"/>
  <c r="Q34" i="6"/>
  <c r="G34" i="6"/>
  <c r="A35" i="6" s="1"/>
  <c r="F34" i="6"/>
  <c r="B34" i="6" s="1"/>
  <c r="G33" i="6"/>
  <c r="F33" i="6"/>
  <c r="B33" i="6" s="1"/>
  <c r="Q32" i="6"/>
  <c r="G32" i="6"/>
  <c r="A33" i="6" s="1"/>
  <c r="F32" i="6"/>
  <c r="B32" i="6" s="1"/>
  <c r="G31" i="6"/>
  <c r="F31" i="6"/>
  <c r="B31" i="6" s="1"/>
  <c r="Q30" i="6"/>
  <c r="G30" i="6"/>
  <c r="A31" i="6" s="1"/>
  <c r="F30" i="6"/>
  <c r="B30" i="6" s="1"/>
  <c r="G29" i="6"/>
  <c r="F29" i="6"/>
  <c r="B29" i="6" s="1"/>
  <c r="Q28" i="6"/>
  <c r="G28" i="6"/>
  <c r="A29" i="6" s="1"/>
  <c r="F28" i="6"/>
  <c r="B28" i="6" s="1"/>
  <c r="G27" i="6"/>
  <c r="F27" i="6"/>
  <c r="B27" i="6" s="1"/>
  <c r="Q26" i="6"/>
  <c r="G26" i="6"/>
  <c r="A27" i="6" s="1"/>
  <c r="F26" i="6"/>
  <c r="B26" i="6" s="1"/>
  <c r="G25" i="6"/>
  <c r="F25" i="6"/>
  <c r="B25" i="6" s="1"/>
  <c r="Q24" i="6"/>
  <c r="G24" i="6"/>
  <c r="A25" i="6" s="1"/>
  <c r="F24" i="6"/>
  <c r="B24" i="6" s="1"/>
  <c r="G23" i="6"/>
  <c r="F23" i="6"/>
  <c r="B23" i="6" s="1"/>
  <c r="Q22" i="6"/>
  <c r="G22" i="6"/>
  <c r="A23" i="6" s="1"/>
  <c r="F22" i="6"/>
  <c r="B22" i="6" s="1"/>
  <c r="G21" i="6"/>
  <c r="F21" i="6"/>
  <c r="B21" i="6" s="1"/>
  <c r="Q20" i="6"/>
  <c r="G20" i="6"/>
  <c r="A21" i="6" s="1"/>
  <c r="F20" i="6"/>
  <c r="B20" i="6" s="1"/>
  <c r="G19" i="6"/>
  <c r="F19" i="6"/>
  <c r="B19" i="6" s="1"/>
  <c r="Q18" i="6"/>
  <c r="G18" i="6"/>
  <c r="A19" i="6" s="1"/>
  <c r="F18" i="6"/>
  <c r="B18" i="6" s="1"/>
  <c r="Q17" i="6"/>
  <c r="G17" i="6"/>
  <c r="A18" i="6" s="1"/>
  <c r="F17" i="6"/>
  <c r="B17" i="6" s="1"/>
  <c r="G16" i="6"/>
  <c r="F16" i="6"/>
  <c r="B16" i="6" s="1"/>
  <c r="Q15" i="6"/>
  <c r="G15" i="6"/>
  <c r="A16" i="6" s="1"/>
  <c r="F15" i="6"/>
  <c r="B15" i="6" s="1"/>
  <c r="G14" i="6"/>
  <c r="F14" i="6"/>
  <c r="B14" i="6" s="1"/>
  <c r="Q13" i="6"/>
  <c r="G13" i="6"/>
  <c r="A14" i="6" s="1"/>
  <c r="F13" i="6"/>
  <c r="B13" i="6" s="1"/>
  <c r="G12" i="6"/>
  <c r="A13" i="6" s="1"/>
  <c r="F12" i="6"/>
  <c r="B12" i="6" s="1"/>
  <c r="Q11" i="6"/>
  <c r="G11" i="6"/>
  <c r="A12" i="6" s="1"/>
  <c r="F11" i="6"/>
  <c r="B11" i="6" s="1"/>
  <c r="Q10" i="6"/>
  <c r="G10" i="6"/>
  <c r="A11" i="6" s="1"/>
  <c r="F10" i="6"/>
  <c r="B10" i="6" s="1"/>
  <c r="G9" i="6"/>
  <c r="A10" i="6" s="1"/>
  <c r="F9" i="6"/>
  <c r="B9" i="6" s="1"/>
  <c r="Q8" i="6"/>
  <c r="G8" i="6"/>
  <c r="F8" i="6"/>
  <c r="B8" i="6" s="1"/>
  <c r="Q7" i="6"/>
  <c r="G7" i="6"/>
  <c r="F7" i="6"/>
  <c r="B7" i="6" s="1"/>
  <c r="Q6" i="6"/>
  <c r="G6" i="6"/>
  <c r="A7" i="6" s="1"/>
  <c r="F6" i="6"/>
  <c r="B6" i="6" s="1"/>
  <c r="G5" i="6"/>
  <c r="A6" i="6" s="1"/>
  <c r="F5" i="6"/>
  <c r="D1" i="6"/>
  <c r="A5" i="6"/>
  <c r="I89" i="6" l="1"/>
  <c r="D137" i="6"/>
  <c r="I139" i="6"/>
  <c r="I147" i="6"/>
  <c r="D6" i="6"/>
  <c r="I170" i="6"/>
  <c r="I42" i="6"/>
  <c r="D178" i="6"/>
  <c r="Q186" i="6"/>
  <c r="D188" i="6"/>
  <c r="Q191" i="6"/>
  <c r="I58" i="6"/>
  <c r="I106" i="6"/>
  <c r="I109" i="6"/>
  <c r="I116" i="6"/>
  <c r="D185" i="6"/>
  <c r="Q198" i="6"/>
  <c r="D113" i="6"/>
  <c r="I53" i="6"/>
  <c r="I54" i="6"/>
  <c r="I155" i="6"/>
  <c r="Q194" i="6"/>
  <c r="I11" i="6"/>
  <c r="I15" i="6"/>
  <c r="Q84" i="6"/>
  <c r="I85" i="6"/>
  <c r="Q92" i="6"/>
  <c r="I93" i="6"/>
  <c r="I102" i="6"/>
  <c r="I112" i="6"/>
  <c r="A131" i="6"/>
  <c r="I131" i="6"/>
  <c r="D189" i="6"/>
  <c r="Q190" i="6"/>
  <c r="I38" i="6"/>
  <c r="I46" i="6"/>
  <c r="I120" i="6"/>
  <c r="I158" i="6"/>
  <c r="I159" i="6"/>
  <c r="I182" i="6"/>
  <c r="I190" i="6"/>
  <c r="I8" i="6"/>
  <c r="Q44" i="6"/>
  <c r="I50" i="6"/>
  <c r="I66" i="6"/>
  <c r="I98" i="6"/>
  <c r="I110" i="6"/>
  <c r="Q113" i="6"/>
  <c r="D124" i="6"/>
  <c r="D126" i="6"/>
  <c r="D128" i="6"/>
  <c r="I132" i="6"/>
  <c r="I151" i="6"/>
  <c r="Q165" i="6"/>
  <c r="Q182" i="6"/>
  <c r="D191" i="6"/>
  <c r="I198" i="6"/>
  <c r="Q142" i="6"/>
  <c r="D142" i="6"/>
  <c r="A187" i="6"/>
  <c r="I186" i="6"/>
  <c r="A9" i="6"/>
  <c r="D9" i="6" s="1"/>
  <c r="A39" i="6"/>
  <c r="I49" i="6"/>
  <c r="A51" i="6"/>
  <c r="Q52" i="6"/>
  <c r="A55" i="6"/>
  <c r="I86" i="6"/>
  <c r="I90" i="6"/>
  <c r="I94" i="6"/>
  <c r="Q102" i="6"/>
  <c r="I185" i="6"/>
  <c r="A186" i="6"/>
  <c r="D186" i="6" s="1"/>
  <c r="D174" i="6"/>
  <c r="A200" i="6"/>
  <c r="I45" i="6"/>
  <c r="Q48" i="6"/>
  <c r="D58" i="6"/>
  <c r="D66" i="6"/>
  <c r="I105" i="6"/>
  <c r="Q108" i="6"/>
  <c r="A111" i="6"/>
  <c r="I124" i="6"/>
  <c r="I128" i="6"/>
  <c r="I135" i="6"/>
  <c r="Q135" i="6"/>
  <c r="Q140" i="6"/>
  <c r="Q145" i="6"/>
  <c r="D145" i="6"/>
  <c r="A176" i="6"/>
  <c r="D176" i="6" s="1"/>
  <c r="Q9" i="6"/>
  <c r="I18" i="6"/>
  <c r="I22" i="6"/>
  <c r="I26" i="6"/>
  <c r="I30" i="6"/>
  <c r="I34" i="6"/>
  <c r="I41" i="6"/>
  <c r="D59" i="6"/>
  <c r="D67" i="6"/>
  <c r="I100" i="6"/>
  <c r="Q100" i="6"/>
  <c r="Q101" i="6"/>
  <c r="I101" i="6"/>
  <c r="D116" i="6"/>
  <c r="Q127" i="6"/>
  <c r="D135" i="6"/>
  <c r="A140" i="6"/>
  <c r="D144" i="6"/>
  <c r="A160" i="6"/>
  <c r="Q181" i="6"/>
  <c r="D181" i="6"/>
  <c r="I97" i="6"/>
  <c r="D118" i="6"/>
  <c r="D136" i="6"/>
  <c r="I143" i="6"/>
  <c r="D180" i="6"/>
  <c r="A182" i="6"/>
  <c r="D182" i="6" s="1"/>
  <c r="I189" i="6"/>
  <c r="I193" i="6"/>
  <c r="I194" i="6"/>
  <c r="A132" i="6"/>
  <c r="I162" i="6"/>
  <c r="D170" i="6"/>
  <c r="D184" i="6"/>
  <c r="I163" i="6"/>
  <c r="I174" i="6"/>
  <c r="I178" i="6"/>
  <c r="I181" i="6"/>
  <c r="D190" i="6"/>
  <c r="D195" i="6"/>
  <c r="Q199" i="6"/>
  <c r="I13" i="6"/>
  <c r="D16" i="6"/>
  <c r="Q16" i="6"/>
  <c r="I62" i="6"/>
  <c r="D62" i="6"/>
  <c r="I197" i="6"/>
  <c r="I6" i="6"/>
  <c r="I9" i="6"/>
  <c r="D11" i="6"/>
  <c r="D19" i="6"/>
  <c r="Q19" i="6"/>
  <c r="I20" i="6"/>
  <c r="Q21" i="6"/>
  <c r="D21" i="6"/>
  <c r="D23" i="6"/>
  <c r="Q23" i="6"/>
  <c r="I24" i="6"/>
  <c r="Q25" i="6"/>
  <c r="D25" i="6"/>
  <c r="D27" i="6"/>
  <c r="Q27" i="6"/>
  <c r="I28" i="6"/>
  <c r="Q29" i="6"/>
  <c r="D29" i="6"/>
  <c r="D31" i="6"/>
  <c r="Q31" i="6"/>
  <c r="I32" i="6"/>
  <c r="Q33" i="6"/>
  <c r="D33" i="6"/>
  <c r="D35" i="6"/>
  <c r="Q35" i="6"/>
  <c r="I36" i="6"/>
  <c r="A40" i="6"/>
  <c r="Q51" i="6"/>
  <c r="A56" i="6"/>
  <c r="D63" i="6"/>
  <c r="I63" i="6"/>
  <c r="Q63" i="6"/>
  <c r="D68" i="6"/>
  <c r="Q69" i="6"/>
  <c r="D69" i="6"/>
  <c r="Q77" i="6"/>
  <c r="D77" i="6"/>
  <c r="I80" i="6"/>
  <c r="D95" i="6"/>
  <c r="Q95" i="6"/>
  <c r="Q14" i="6"/>
  <c r="D14" i="6"/>
  <c r="I60" i="6"/>
  <c r="Q60" i="6"/>
  <c r="D60" i="6"/>
  <c r="D75" i="6"/>
  <c r="Q75" i="6"/>
  <c r="D83" i="6"/>
  <c r="Q83" i="6"/>
  <c r="I83" i="6"/>
  <c r="I7" i="6"/>
  <c r="D13" i="6"/>
  <c r="I14" i="6"/>
  <c r="A15" i="6"/>
  <c r="A17" i="6"/>
  <c r="I16" i="6"/>
  <c r="I39" i="6"/>
  <c r="Q39" i="6"/>
  <c r="A44" i="6"/>
  <c r="I55" i="6"/>
  <c r="Q55" i="6"/>
  <c r="Q65" i="6"/>
  <c r="D65" i="6"/>
  <c r="I70" i="6"/>
  <c r="D71" i="6"/>
  <c r="Q71" i="6"/>
  <c r="I78" i="6"/>
  <c r="D79" i="6"/>
  <c r="Q79" i="6"/>
  <c r="I79" i="6"/>
  <c r="Q111" i="6"/>
  <c r="D12" i="6"/>
  <c r="Q12" i="6"/>
  <c r="D47" i="6"/>
  <c r="Q47" i="6"/>
  <c r="A52" i="6"/>
  <c r="I51" i="6"/>
  <c r="I74" i="6"/>
  <c r="I82" i="6"/>
  <c r="A100" i="6"/>
  <c r="Q5" i="6"/>
  <c r="D7" i="6"/>
  <c r="I5" i="6"/>
  <c r="A8" i="6"/>
  <c r="D10" i="6"/>
  <c r="I10" i="6"/>
  <c r="I12" i="6"/>
  <c r="D18" i="6"/>
  <c r="A20" i="6"/>
  <c r="I19" i="6"/>
  <c r="I21" i="6"/>
  <c r="A22" i="6"/>
  <c r="A24" i="6"/>
  <c r="I23" i="6"/>
  <c r="I25" i="6"/>
  <c r="A26" i="6"/>
  <c r="A28" i="6"/>
  <c r="I27" i="6"/>
  <c r="I29" i="6"/>
  <c r="A30" i="6"/>
  <c r="A32" i="6"/>
  <c r="I31" i="6"/>
  <c r="I33" i="6"/>
  <c r="A34" i="6"/>
  <c r="A36" i="6"/>
  <c r="I35" i="6"/>
  <c r="I37" i="6"/>
  <c r="A38" i="6"/>
  <c r="I40" i="6"/>
  <c r="D43" i="6"/>
  <c r="I43" i="6"/>
  <c r="Q43" i="6"/>
  <c r="A48" i="6"/>
  <c r="I47" i="6"/>
  <c r="Q57" i="6"/>
  <c r="I57" i="6"/>
  <c r="D57" i="6"/>
  <c r="I68" i="6"/>
  <c r="I72" i="6"/>
  <c r="Q73" i="6"/>
  <c r="D73" i="6"/>
  <c r="I76" i="6"/>
  <c r="Q81" i="6"/>
  <c r="D81" i="6"/>
  <c r="D37" i="6"/>
  <c r="D41" i="6"/>
  <c r="A42" i="6"/>
  <c r="D45" i="6"/>
  <c r="A46" i="6"/>
  <c r="D49" i="6"/>
  <c r="A50" i="6"/>
  <c r="D50" i="6" s="1"/>
  <c r="D53" i="6"/>
  <c r="A54" i="6"/>
  <c r="I59" i="6"/>
  <c r="I65" i="6"/>
  <c r="I67" i="6"/>
  <c r="A88" i="6"/>
  <c r="I96" i="6"/>
  <c r="D99" i="6"/>
  <c r="I99" i="6"/>
  <c r="Q99" i="6"/>
  <c r="A104" i="6"/>
  <c r="I114" i="6"/>
  <c r="Q114" i="6"/>
  <c r="A119" i="6"/>
  <c r="D119" i="6" s="1"/>
  <c r="I122" i="6"/>
  <c r="Q122" i="6"/>
  <c r="D122" i="6"/>
  <c r="A127" i="6"/>
  <c r="A130" i="6"/>
  <c r="D130" i="6" s="1"/>
  <c r="I142" i="6"/>
  <c r="A143" i="6"/>
  <c r="I56" i="6"/>
  <c r="I64" i="6"/>
  <c r="I69" i="6"/>
  <c r="A70" i="6"/>
  <c r="A72" i="6"/>
  <c r="I71" i="6"/>
  <c r="I73" i="6"/>
  <c r="A74" i="6"/>
  <c r="A76" i="6"/>
  <c r="I75" i="6"/>
  <c r="I77" i="6"/>
  <c r="A78" i="6"/>
  <c r="A80" i="6"/>
  <c r="I81" i="6"/>
  <c r="A82" i="6"/>
  <c r="A84" i="6"/>
  <c r="D87" i="6"/>
  <c r="I87" i="6"/>
  <c r="Q87" i="6"/>
  <c r="A92" i="6"/>
  <c r="I91" i="6"/>
  <c r="D103" i="6"/>
  <c r="I103" i="6"/>
  <c r="Q103" i="6"/>
  <c r="A108" i="6"/>
  <c r="I150" i="6"/>
  <c r="A151" i="6"/>
  <c r="I154" i="6"/>
  <c r="A155" i="6"/>
  <c r="I17" i="6"/>
  <c r="Q56" i="6"/>
  <c r="Q59" i="6"/>
  <c r="D61" i="6"/>
  <c r="I61" i="6"/>
  <c r="D64" i="6"/>
  <c r="Q64" i="6"/>
  <c r="Q67" i="6"/>
  <c r="I88" i="6"/>
  <c r="D91" i="6"/>
  <c r="Q91" i="6"/>
  <c r="A96" i="6"/>
  <c r="I95" i="6"/>
  <c r="I104" i="6"/>
  <c r="D107" i="6"/>
  <c r="I107" i="6"/>
  <c r="Q107" i="6"/>
  <c r="A112" i="6"/>
  <c r="I111" i="6"/>
  <c r="A114" i="6"/>
  <c r="I113" i="6"/>
  <c r="D85" i="6"/>
  <c r="A86" i="6"/>
  <c r="D89" i="6"/>
  <c r="A90" i="6"/>
  <c r="D93" i="6"/>
  <c r="A94" i="6"/>
  <c r="D97" i="6"/>
  <c r="A98" i="6"/>
  <c r="D101" i="6"/>
  <c r="A102" i="6"/>
  <c r="D102" i="6" s="1"/>
  <c r="D105" i="6"/>
  <c r="A106" i="6"/>
  <c r="D106" i="6" s="1"/>
  <c r="D109" i="6"/>
  <c r="A110" i="6"/>
  <c r="A115" i="6"/>
  <c r="I115" i="6"/>
  <c r="D120" i="6"/>
  <c r="D121" i="6"/>
  <c r="I121" i="6"/>
  <c r="A123" i="6"/>
  <c r="I123" i="6"/>
  <c r="D129" i="6"/>
  <c r="I129" i="6"/>
  <c r="Q129" i="6"/>
  <c r="A134" i="6"/>
  <c r="A138" i="6"/>
  <c r="D179" i="6"/>
  <c r="Q179" i="6"/>
  <c r="A193" i="6"/>
  <c r="I118" i="6"/>
  <c r="Q118" i="6"/>
  <c r="I126" i="6"/>
  <c r="Q126" i="6"/>
  <c r="I130" i="6"/>
  <c r="D133" i="6"/>
  <c r="I133" i="6"/>
  <c r="Q133" i="6"/>
  <c r="A141" i="6"/>
  <c r="I140" i="6"/>
  <c r="A146" i="6"/>
  <c r="A149" i="6"/>
  <c r="I148" i="6"/>
  <c r="A153" i="6"/>
  <c r="I152" i="6"/>
  <c r="A157" i="6"/>
  <c r="I156" i="6"/>
  <c r="D117" i="6"/>
  <c r="I117" i="6"/>
  <c r="I119" i="6"/>
  <c r="D125" i="6"/>
  <c r="I125" i="6"/>
  <c r="I127" i="6"/>
  <c r="I134" i="6"/>
  <c r="D167" i="6"/>
  <c r="I167" i="6"/>
  <c r="Q167" i="6"/>
  <c r="I141" i="6"/>
  <c r="A161" i="6"/>
  <c r="Q169" i="6"/>
  <c r="I169" i="6"/>
  <c r="D169" i="6"/>
  <c r="Q130" i="6"/>
  <c r="Q134" i="6"/>
  <c r="Q136" i="6"/>
  <c r="Q141" i="6"/>
  <c r="Q144" i="6"/>
  <c r="D148" i="6"/>
  <c r="Q148" i="6"/>
  <c r="I149" i="6"/>
  <c r="Q150" i="6"/>
  <c r="D150" i="6"/>
  <c r="D152" i="6"/>
  <c r="Q152" i="6"/>
  <c r="I153" i="6"/>
  <c r="Q154" i="6"/>
  <c r="D154" i="6"/>
  <c r="D156" i="6"/>
  <c r="Q156" i="6"/>
  <c r="I157" i="6"/>
  <c r="I160" i="6"/>
  <c r="Q160" i="6"/>
  <c r="A165" i="6"/>
  <c r="Q187" i="6"/>
  <c r="I136" i="6"/>
  <c r="I137" i="6"/>
  <c r="I138" i="6"/>
  <c r="A139" i="6"/>
  <c r="I144" i="6"/>
  <c r="I145" i="6"/>
  <c r="I146" i="6"/>
  <c r="A147" i="6"/>
  <c r="I161" i="6"/>
  <c r="D164" i="6"/>
  <c r="I164" i="6"/>
  <c r="Q164" i="6"/>
  <c r="I166" i="6"/>
  <c r="D166" i="6"/>
  <c r="I172" i="6"/>
  <c r="Q172" i="6"/>
  <c r="D172" i="6"/>
  <c r="A177" i="6"/>
  <c r="D183" i="6"/>
  <c r="Q183" i="6"/>
  <c r="D158" i="6"/>
  <c r="A159" i="6"/>
  <c r="D162" i="6"/>
  <c r="A163" i="6"/>
  <c r="D171" i="6"/>
  <c r="I171" i="6"/>
  <c r="A173" i="6"/>
  <c r="I173" i="6"/>
  <c r="I188" i="6"/>
  <c r="I192" i="6"/>
  <c r="Q192" i="6"/>
  <c r="D192" i="6"/>
  <c r="A197" i="6"/>
  <c r="I168" i="6"/>
  <c r="I176" i="6"/>
  <c r="Q176" i="6"/>
  <c r="D194" i="6"/>
  <c r="I196" i="6"/>
  <c r="Q196" i="6"/>
  <c r="D196" i="6"/>
  <c r="D199" i="6"/>
  <c r="D168" i="6"/>
  <c r="Q168" i="6"/>
  <c r="D175" i="6"/>
  <c r="I175" i="6"/>
  <c r="I177" i="6"/>
  <c r="I179" i="6"/>
  <c r="I180" i="6"/>
  <c r="Q180" i="6"/>
  <c r="I183" i="6"/>
  <c r="I184" i="6"/>
  <c r="Q184" i="6"/>
  <c r="I187" i="6"/>
  <c r="Q188" i="6"/>
  <c r="I191" i="6"/>
  <c r="D198" i="6"/>
  <c r="I200" i="6"/>
  <c r="Q200" i="6"/>
  <c r="I195" i="6"/>
  <c r="I199" i="6"/>
  <c r="K6" i="3"/>
  <c r="K7" i="3"/>
  <c r="Q7" i="3" s="1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5" i="3"/>
  <c r="D143" i="6" l="1"/>
  <c r="D39" i="6"/>
  <c r="D84" i="6"/>
  <c r="D173" i="6"/>
  <c r="D131" i="6"/>
  <c r="D42" i="6"/>
  <c r="I199" i="3"/>
  <c r="Q199" i="3"/>
  <c r="I183" i="3"/>
  <c r="Q183" i="3"/>
  <c r="I167" i="3"/>
  <c r="Q167" i="3"/>
  <c r="I143" i="3"/>
  <c r="Q143" i="3"/>
  <c r="I119" i="3"/>
  <c r="Q119" i="3"/>
  <c r="I99" i="3"/>
  <c r="Q99" i="3"/>
  <c r="I71" i="3"/>
  <c r="Q71" i="3"/>
  <c r="I15" i="3"/>
  <c r="Q15" i="3"/>
  <c r="I191" i="3"/>
  <c r="Q191" i="3"/>
  <c r="I175" i="3"/>
  <c r="Q175" i="3"/>
  <c r="Q155" i="3"/>
  <c r="I155" i="3"/>
  <c r="Q139" i="3"/>
  <c r="I139" i="3"/>
  <c r="I127" i="3"/>
  <c r="Q127" i="3"/>
  <c r="I115" i="3"/>
  <c r="Q115" i="3"/>
  <c r="I103" i="3"/>
  <c r="Q103" i="3"/>
  <c r="I87" i="3"/>
  <c r="Q87" i="3"/>
  <c r="I79" i="3"/>
  <c r="Q79" i="3"/>
  <c r="I63" i="3"/>
  <c r="Q63" i="3"/>
  <c r="I55" i="3"/>
  <c r="Q55" i="3"/>
  <c r="I43" i="3"/>
  <c r="Q43" i="3"/>
  <c r="I31" i="3"/>
  <c r="Q31" i="3"/>
  <c r="I23" i="3"/>
  <c r="Q23" i="3"/>
  <c r="I11" i="3"/>
  <c r="Q11" i="3"/>
  <c r="I198" i="3"/>
  <c r="Q198" i="3"/>
  <c r="I190" i="3"/>
  <c r="Q190" i="3"/>
  <c r="I182" i="3"/>
  <c r="Q182" i="3"/>
  <c r="I174" i="3"/>
  <c r="Q174" i="3"/>
  <c r="I166" i="3"/>
  <c r="Q166" i="3"/>
  <c r="I158" i="3"/>
  <c r="Q158" i="3"/>
  <c r="I150" i="3"/>
  <c r="Q150" i="3"/>
  <c r="I142" i="3"/>
  <c r="Q142" i="3"/>
  <c r="I134" i="3"/>
  <c r="Q134" i="3"/>
  <c r="I126" i="3"/>
  <c r="Q126" i="3"/>
  <c r="I118" i="3"/>
  <c r="Q118" i="3"/>
  <c r="I110" i="3"/>
  <c r="Q110" i="3"/>
  <c r="I102" i="3"/>
  <c r="Q102" i="3"/>
  <c r="I94" i="3"/>
  <c r="Q94" i="3"/>
  <c r="I86" i="3"/>
  <c r="Q86" i="3"/>
  <c r="Q78" i="3"/>
  <c r="I78" i="3"/>
  <c r="I70" i="3"/>
  <c r="Q70" i="3"/>
  <c r="Q62" i="3"/>
  <c r="I62" i="3"/>
  <c r="I54" i="3"/>
  <c r="Q54" i="3"/>
  <c r="Q46" i="3"/>
  <c r="I46" i="3"/>
  <c r="I38" i="3"/>
  <c r="Q38" i="3"/>
  <c r="Q30" i="3"/>
  <c r="I30" i="3"/>
  <c r="I22" i="3"/>
  <c r="Q22" i="3"/>
  <c r="Q195" i="3"/>
  <c r="I195" i="3"/>
  <c r="Q179" i="3"/>
  <c r="I179" i="3"/>
  <c r="Q163" i="3"/>
  <c r="I163" i="3"/>
  <c r="I151" i="3"/>
  <c r="Q151" i="3"/>
  <c r="I135" i="3"/>
  <c r="Q135" i="3"/>
  <c r="Q123" i="3"/>
  <c r="I123" i="3"/>
  <c r="I107" i="3"/>
  <c r="Q107" i="3"/>
  <c r="I91" i="3"/>
  <c r="Q91" i="3"/>
  <c r="I75" i="3"/>
  <c r="Q75" i="3"/>
  <c r="I59" i="3"/>
  <c r="Q59" i="3"/>
  <c r="I47" i="3"/>
  <c r="Q47" i="3"/>
  <c r="I35" i="3"/>
  <c r="Q35" i="3"/>
  <c r="I27" i="3"/>
  <c r="Q27" i="3"/>
  <c r="Q194" i="3"/>
  <c r="I194" i="3"/>
  <c r="Q186" i="3"/>
  <c r="I186" i="3"/>
  <c r="Q178" i="3"/>
  <c r="I178" i="3"/>
  <c r="Q170" i="3"/>
  <c r="I170" i="3"/>
  <c r="Q162" i="3"/>
  <c r="I162" i="3"/>
  <c r="Q154" i="3"/>
  <c r="I154" i="3"/>
  <c r="I146" i="3"/>
  <c r="Q146" i="3"/>
  <c r="I138" i="3"/>
  <c r="Q138" i="3"/>
  <c r="I130" i="3"/>
  <c r="Q130" i="3"/>
  <c r="Q122" i="3"/>
  <c r="I122" i="3"/>
  <c r="I114" i="3"/>
  <c r="Q114" i="3"/>
  <c r="I106" i="3"/>
  <c r="Q106" i="3"/>
  <c r="I98" i="3"/>
  <c r="Q98" i="3"/>
  <c r="I90" i="3"/>
  <c r="Q90" i="3"/>
  <c r="I82" i="3"/>
  <c r="Q82" i="3"/>
  <c r="I74" i="3"/>
  <c r="Q74" i="3"/>
  <c r="I66" i="3"/>
  <c r="Q66" i="3"/>
  <c r="I58" i="3"/>
  <c r="Q58" i="3"/>
  <c r="I50" i="3"/>
  <c r="Q50" i="3"/>
  <c r="I42" i="3"/>
  <c r="Q42" i="3"/>
  <c r="I34" i="3"/>
  <c r="Q34" i="3"/>
  <c r="I26" i="3"/>
  <c r="Q26" i="3"/>
  <c r="I18" i="3"/>
  <c r="Q18" i="3"/>
  <c r="Q14" i="3"/>
  <c r="I14" i="3"/>
  <c r="I10" i="3"/>
  <c r="Q10" i="3"/>
  <c r="Q197" i="3"/>
  <c r="I197" i="3"/>
  <c r="Q193" i="3"/>
  <c r="I193" i="3"/>
  <c r="Q189" i="3"/>
  <c r="I189" i="3"/>
  <c r="Q185" i="3"/>
  <c r="I185" i="3"/>
  <c r="Q181" i="3"/>
  <c r="I181" i="3"/>
  <c r="Q177" i="3"/>
  <c r="I177" i="3"/>
  <c r="Q173" i="3"/>
  <c r="I173" i="3"/>
  <c r="Q169" i="3"/>
  <c r="I169" i="3"/>
  <c r="Q165" i="3"/>
  <c r="I165" i="3"/>
  <c r="Q161" i="3"/>
  <c r="I161" i="3"/>
  <c r="Q157" i="3"/>
  <c r="I157" i="3"/>
  <c r="Q153" i="3"/>
  <c r="I153" i="3"/>
  <c r="Q149" i="3"/>
  <c r="I149" i="3"/>
  <c r="Q145" i="3"/>
  <c r="I145" i="3"/>
  <c r="I141" i="3"/>
  <c r="Q141" i="3"/>
  <c r="Q137" i="3"/>
  <c r="I137" i="3"/>
  <c r="Q133" i="3"/>
  <c r="I133" i="3"/>
  <c r="Q129" i="3"/>
  <c r="I129" i="3"/>
  <c r="I125" i="3"/>
  <c r="Q125" i="3"/>
  <c r="Q121" i="3"/>
  <c r="I121" i="3"/>
  <c r="Q117" i="3"/>
  <c r="I117" i="3"/>
  <c r="Q113" i="3"/>
  <c r="I113" i="3"/>
  <c r="Q109" i="3"/>
  <c r="I109" i="3"/>
  <c r="Q105" i="3"/>
  <c r="I105" i="3"/>
  <c r="Q101" i="3"/>
  <c r="I101" i="3"/>
  <c r="Q97" i="3"/>
  <c r="I97" i="3"/>
  <c r="Q93" i="3"/>
  <c r="I93" i="3"/>
  <c r="Q89" i="3"/>
  <c r="I89" i="3"/>
  <c r="Q85" i="3"/>
  <c r="I85" i="3"/>
  <c r="Q81" i="3"/>
  <c r="I81" i="3"/>
  <c r="Q77" i="3"/>
  <c r="I77" i="3"/>
  <c r="Q73" i="3"/>
  <c r="I73" i="3"/>
  <c r="Q69" i="3"/>
  <c r="I69" i="3"/>
  <c r="Q65" i="3"/>
  <c r="I65" i="3"/>
  <c r="Q61" i="3"/>
  <c r="I61" i="3"/>
  <c r="Q57" i="3"/>
  <c r="I57" i="3"/>
  <c r="Q53" i="3"/>
  <c r="I53" i="3"/>
  <c r="Q49" i="3"/>
  <c r="I49" i="3"/>
  <c r="Q45" i="3"/>
  <c r="I45" i="3"/>
  <c r="Q41" i="3"/>
  <c r="I41" i="3"/>
  <c r="Q37" i="3"/>
  <c r="I37" i="3"/>
  <c r="Q33" i="3"/>
  <c r="I33" i="3"/>
  <c r="Q29" i="3"/>
  <c r="I29" i="3"/>
  <c r="Q25" i="3"/>
  <c r="I25" i="3"/>
  <c r="Q21" i="3"/>
  <c r="I21" i="3"/>
  <c r="Q17" i="3"/>
  <c r="I17" i="3"/>
  <c r="Q13" i="3"/>
  <c r="I13" i="3"/>
  <c r="Q9" i="3"/>
  <c r="I9" i="3"/>
  <c r="Q187" i="3"/>
  <c r="I187" i="3"/>
  <c r="Q171" i="3"/>
  <c r="I171" i="3"/>
  <c r="I159" i="3"/>
  <c r="Q159" i="3"/>
  <c r="I147" i="3"/>
  <c r="Q147" i="3"/>
  <c r="I131" i="3"/>
  <c r="Q131" i="3"/>
  <c r="I111" i="3"/>
  <c r="Q111" i="3"/>
  <c r="I95" i="3"/>
  <c r="Q95" i="3"/>
  <c r="I83" i="3"/>
  <c r="Q83" i="3"/>
  <c r="I67" i="3"/>
  <c r="Q67" i="3"/>
  <c r="I51" i="3"/>
  <c r="Q51" i="3"/>
  <c r="I39" i="3"/>
  <c r="Q39" i="3"/>
  <c r="I19" i="3"/>
  <c r="Q19" i="3"/>
  <c r="I200" i="3"/>
  <c r="Q200" i="3"/>
  <c r="I196" i="3"/>
  <c r="Q196" i="3"/>
  <c r="I192" i="3"/>
  <c r="Q192" i="3"/>
  <c r="I188" i="3"/>
  <c r="Q188" i="3"/>
  <c r="I184" i="3"/>
  <c r="Q184" i="3"/>
  <c r="I180" i="3"/>
  <c r="Q180" i="3"/>
  <c r="I176" i="3"/>
  <c r="Q176" i="3"/>
  <c r="I172" i="3"/>
  <c r="Q172" i="3"/>
  <c r="I168" i="3"/>
  <c r="Q168" i="3"/>
  <c r="I164" i="3"/>
  <c r="Q164" i="3"/>
  <c r="I160" i="3"/>
  <c r="Q160" i="3"/>
  <c r="I156" i="3"/>
  <c r="Q156" i="3"/>
  <c r="I152" i="3"/>
  <c r="Q152" i="3"/>
  <c r="I148" i="3"/>
  <c r="Q148" i="3"/>
  <c r="I144" i="3"/>
  <c r="Q144" i="3"/>
  <c r="I140" i="3"/>
  <c r="Q140" i="3"/>
  <c r="I136" i="3"/>
  <c r="Q136" i="3"/>
  <c r="I132" i="3"/>
  <c r="Q132" i="3"/>
  <c r="I128" i="3"/>
  <c r="Q128" i="3"/>
  <c r="I124" i="3"/>
  <c r="Q124" i="3"/>
  <c r="I120" i="3"/>
  <c r="Q120" i="3"/>
  <c r="I116" i="3"/>
  <c r="Q116" i="3"/>
  <c r="I112" i="3"/>
  <c r="Q112" i="3"/>
  <c r="I108" i="3"/>
  <c r="Q108" i="3"/>
  <c r="I104" i="3"/>
  <c r="Q104" i="3"/>
  <c r="I100" i="3"/>
  <c r="Q100" i="3"/>
  <c r="I96" i="3"/>
  <c r="Q96" i="3"/>
  <c r="I92" i="3"/>
  <c r="Q92" i="3"/>
  <c r="I88" i="3"/>
  <c r="Q88" i="3"/>
  <c r="I84" i="3"/>
  <c r="Q84" i="3"/>
  <c r="I80" i="3"/>
  <c r="Q80" i="3"/>
  <c r="I76" i="3"/>
  <c r="Q76" i="3"/>
  <c r="I72" i="3"/>
  <c r="Q72" i="3"/>
  <c r="I68" i="3"/>
  <c r="Q68" i="3"/>
  <c r="I64" i="3"/>
  <c r="Q64" i="3"/>
  <c r="I60" i="3"/>
  <c r="Q60" i="3"/>
  <c r="I56" i="3"/>
  <c r="Q56" i="3"/>
  <c r="I52" i="3"/>
  <c r="Q52" i="3"/>
  <c r="I48" i="3"/>
  <c r="Q48" i="3"/>
  <c r="I44" i="3"/>
  <c r="Q44" i="3"/>
  <c r="I40" i="3"/>
  <c r="Q40" i="3"/>
  <c r="I36" i="3"/>
  <c r="Q36" i="3"/>
  <c r="I32" i="3"/>
  <c r="Q32" i="3"/>
  <c r="I28" i="3"/>
  <c r="Q28" i="3"/>
  <c r="I24" i="3"/>
  <c r="Q24" i="3"/>
  <c r="I20" i="3"/>
  <c r="Q20" i="3"/>
  <c r="I16" i="3"/>
  <c r="Q16" i="3"/>
  <c r="I12" i="3"/>
  <c r="Q12" i="3"/>
  <c r="I8" i="3"/>
  <c r="Q8" i="3"/>
  <c r="D111" i="6"/>
  <c r="D90" i="6"/>
  <c r="D151" i="6"/>
  <c r="D46" i="6"/>
  <c r="D163" i="6"/>
  <c r="D149" i="6"/>
  <c r="Q6" i="3"/>
  <c r="Q5" i="3"/>
  <c r="D153" i="6"/>
  <c r="D38" i="6"/>
  <c r="D94" i="6"/>
  <c r="D86" i="6"/>
  <c r="D159" i="6"/>
  <c r="D139" i="6"/>
  <c r="D134" i="6"/>
  <c r="D132" i="6"/>
  <c r="D54" i="6"/>
  <c r="D8" i="6"/>
  <c r="D165" i="6"/>
  <c r="D110" i="6"/>
  <c r="D155" i="6"/>
  <c r="D177" i="6"/>
  <c r="D193" i="6"/>
  <c r="D40" i="6"/>
  <c r="D147" i="6"/>
  <c r="D98" i="6"/>
  <c r="D100" i="6"/>
  <c r="D52" i="6"/>
  <c r="D138" i="6"/>
  <c r="D157" i="6"/>
  <c r="D123" i="6"/>
  <c r="D112" i="6"/>
  <c r="D108" i="6"/>
  <c r="D44" i="6"/>
  <c r="D51" i="6"/>
  <c r="D72" i="6"/>
  <c r="D92" i="6"/>
  <c r="D30" i="6"/>
  <c r="D22" i="6"/>
  <c r="D115" i="6"/>
  <c r="D127" i="6"/>
  <c r="D15" i="6"/>
  <c r="D200" i="6"/>
  <c r="D187" i="6"/>
  <c r="D146" i="6"/>
  <c r="D141" i="6"/>
  <c r="D32" i="6"/>
  <c r="D24" i="6"/>
  <c r="D76" i="6"/>
  <c r="D160" i="6"/>
  <c r="D48" i="6"/>
  <c r="D34" i="6"/>
  <c r="D26" i="6"/>
  <c r="D55" i="6"/>
  <c r="D140" i="6"/>
  <c r="D114" i="6"/>
  <c r="D74" i="6"/>
  <c r="D70" i="6"/>
  <c r="D104" i="6"/>
  <c r="D36" i="6"/>
  <c r="D28" i="6"/>
  <c r="D20" i="6"/>
  <c r="D161" i="6"/>
  <c r="D56" i="6"/>
  <c r="D80" i="6"/>
  <c r="D82" i="6"/>
  <c r="D88" i="6"/>
  <c r="D197" i="6"/>
  <c r="D96" i="6"/>
  <c r="D78" i="6"/>
  <c r="D17" i="6"/>
  <c r="P17" i="3" l="1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A199" i="2" l="1"/>
  <c r="A197" i="2"/>
  <c r="A195" i="2"/>
  <c r="A193" i="2"/>
  <c r="A191" i="2"/>
  <c r="A189" i="2"/>
  <c r="A187" i="2"/>
  <c r="A185" i="2"/>
  <c r="A183" i="2"/>
  <c r="A181" i="2"/>
  <c r="A180" i="2"/>
  <c r="A178" i="2"/>
  <c r="A176" i="2"/>
  <c r="A174" i="2"/>
  <c r="A172" i="2"/>
  <c r="A170" i="2"/>
  <c r="A168" i="2"/>
  <c r="A166" i="2"/>
  <c r="A164" i="2"/>
  <c r="A162" i="2"/>
  <c r="A160" i="2"/>
  <c r="A158" i="2"/>
  <c r="A156" i="2"/>
  <c r="A154" i="2"/>
  <c r="A152" i="2"/>
  <c r="A150" i="2"/>
  <c r="A149" i="2"/>
  <c r="A147" i="2"/>
  <c r="A145" i="2"/>
  <c r="A143" i="2"/>
  <c r="A141" i="2"/>
  <c r="A139" i="2"/>
  <c r="A137" i="2"/>
  <c r="A135" i="2"/>
  <c r="A133" i="2"/>
  <c r="A131" i="2"/>
  <c r="A129" i="2"/>
  <c r="A127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99" i="2"/>
  <c r="A97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D66" i="2" l="1"/>
  <c r="D93" i="2"/>
  <c r="D158" i="2"/>
  <c r="D44" i="2"/>
  <c r="D60" i="2"/>
  <c r="D67" i="2"/>
  <c r="D37" i="2"/>
  <c r="D41" i="2"/>
  <c r="D45" i="2"/>
  <c r="D85" i="2"/>
  <c r="D89" i="2"/>
  <c r="D91" i="2"/>
  <c r="D137" i="2"/>
  <c r="D139" i="2"/>
  <c r="D147" i="2"/>
  <c r="D185" i="2"/>
  <c r="D21" i="2"/>
  <c r="D52" i="2"/>
  <c r="D74" i="2"/>
  <c r="D76" i="2"/>
  <c r="D131" i="2"/>
  <c r="D150" i="2"/>
  <c r="D174" i="2"/>
  <c r="D191" i="2"/>
  <c r="D193" i="2"/>
  <c r="D9" i="2"/>
  <c r="D17" i="2"/>
  <c r="D19" i="2"/>
  <c r="D33" i="2"/>
  <c r="D35" i="2"/>
  <c r="D48" i="2"/>
  <c r="D61" i="2"/>
  <c r="D70" i="2"/>
  <c r="D83" i="2"/>
  <c r="D111" i="2"/>
  <c r="D121" i="2"/>
  <c r="D123" i="2"/>
  <c r="D164" i="2"/>
  <c r="D166" i="2"/>
  <c r="D15" i="2"/>
  <c r="D39" i="2"/>
  <c r="D53" i="2"/>
  <c r="D56" i="2"/>
  <c r="D87" i="2"/>
  <c r="D95" i="2"/>
  <c r="D103" i="2"/>
  <c r="D129" i="2"/>
  <c r="D145" i="2"/>
  <c r="D156" i="2"/>
  <c r="D172" i="2"/>
  <c r="D183" i="2"/>
  <c r="D199" i="2"/>
  <c r="D13" i="2"/>
  <c r="D49" i="2"/>
  <c r="D57" i="2"/>
  <c r="D71" i="2"/>
  <c r="D77" i="2"/>
  <c r="D99" i="2"/>
  <c r="D107" i="2"/>
  <c r="D115" i="2"/>
  <c r="D7" i="2"/>
  <c r="D11" i="2"/>
  <c r="D43" i="2"/>
  <c r="D47" i="2"/>
  <c r="D51" i="2"/>
  <c r="D55" i="2"/>
  <c r="D59" i="2"/>
  <c r="D65" i="2"/>
  <c r="D69" i="2"/>
  <c r="D73" i="2"/>
  <c r="D75" i="2"/>
  <c r="D90" i="2"/>
  <c r="D92" i="2"/>
  <c r="D94" i="2"/>
  <c r="D97" i="2"/>
  <c r="D101" i="2"/>
  <c r="D105" i="2"/>
  <c r="D109" i="2"/>
  <c r="D113" i="2"/>
  <c r="D122" i="2"/>
  <c r="D149" i="2"/>
  <c r="D10" i="2"/>
  <c r="D14" i="2"/>
  <c r="D23" i="2"/>
  <c r="D25" i="2"/>
  <c r="D27" i="2"/>
  <c r="D29" i="2"/>
  <c r="D31" i="2"/>
  <c r="D46" i="2"/>
  <c r="D50" i="2"/>
  <c r="D54" i="2"/>
  <c r="D58" i="2"/>
  <c r="D62" i="2"/>
  <c r="D63" i="2"/>
  <c r="D64" i="2"/>
  <c r="D68" i="2"/>
  <c r="D72" i="2"/>
  <c r="D78" i="2"/>
  <c r="D79" i="2"/>
  <c r="D80" i="2"/>
  <c r="D81" i="2"/>
  <c r="D104" i="2"/>
  <c r="D108" i="2"/>
  <c r="D112" i="2"/>
  <c r="D117" i="2"/>
  <c r="D118" i="2"/>
  <c r="D119" i="2"/>
  <c r="D125" i="2"/>
  <c r="D127" i="2"/>
  <c r="D133" i="2"/>
  <c r="D135" i="2"/>
  <c r="D141" i="2"/>
  <c r="D143" i="2"/>
  <c r="D152" i="2"/>
  <c r="D154" i="2"/>
  <c r="D160" i="2"/>
  <c r="D162" i="2"/>
  <c r="D168" i="2"/>
  <c r="D170" i="2"/>
  <c r="D176" i="2"/>
  <c r="D178" i="2"/>
  <c r="D180" i="2"/>
  <c r="D181" i="2"/>
  <c r="D187" i="2"/>
  <c r="D189" i="2"/>
  <c r="D195" i="2"/>
  <c r="D197" i="2"/>
  <c r="D6" i="2"/>
  <c r="D8" i="2"/>
  <c r="D12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D82" i="2"/>
  <c r="D84" i="2"/>
  <c r="D86" i="2"/>
  <c r="D88" i="2"/>
  <c r="D116" i="2"/>
  <c r="D120" i="2"/>
  <c r="A96" i="2"/>
  <c r="A98" i="2"/>
  <c r="D98" i="2" s="1"/>
  <c r="A100" i="2"/>
  <c r="D102" i="2"/>
  <c r="D106" i="2"/>
  <c r="D110" i="2"/>
  <c r="D114" i="2"/>
  <c r="A126" i="2"/>
  <c r="A128" i="2"/>
  <c r="D128" i="2" s="1"/>
  <c r="A130" i="2"/>
  <c r="A132" i="2"/>
  <c r="D132" i="2" s="1"/>
  <c r="A134" i="2"/>
  <c r="A136" i="2"/>
  <c r="D136" i="2" s="1"/>
  <c r="A138" i="2"/>
  <c r="A140" i="2"/>
  <c r="D140" i="2" s="1"/>
  <c r="A142" i="2"/>
  <c r="A144" i="2"/>
  <c r="D144" i="2" s="1"/>
  <c r="A146" i="2"/>
  <c r="A148" i="2"/>
  <c r="D148" i="2" s="1"/>
  <c r="D124" i="2"/>
  <c r="A151" i="2"/>
  <c r="D151" i="2" s="1"/>
  <c r="A153" i="2"/>
  <c r="A155" i="2"/>
  <c r="D155" i="2" s="1"/>
  <c r="A157" i="2"/>
  <c r="A159" i="2"/>
  <c r="D159" i="2" s="1"/>
  <c r="A161" i="2"/>
  <c r="A163" i="2"/>
  <c r="D163" i="2" s="1"/>
  <c r="A165" i="2"/>
  <c r="A167" i="2"/>
  <c r="D167" i="2" s="1"/>
  <c r="A169" i="2"/>
  <c r="A171" i="2"/>
  <c r="D171" i="2" s="1"/>
  <c r="A173" i="2"/>
  <c r="A175" i="2"/>
  <c r="D175" i="2" s="1"/>
  <c r="A177" i="2"/>
  <c r="A179" i="2"/>
  <c r="D179" i="2" s="1"/>
  <c r="A182" i="2"/>
  <c r="D182" i="2" s="1"/>
  <c r="A184" i="2"/>
  <c r="A186" i="2"/>
  <c r="D186" i="2" s="1"/>
  <c r="A188" i="2"/>
  <c r="A190" i="2"/>
  <c r="D190" i="2" s="1"/>
  <c r="A192" i="2"/>
  <c r="A194" i="2"/>
  <c r="D194" i="2" s="1"/>
  <c r="A196" i="2"/>
  <c r="A198" i="2"/>
  <c r="D198" i="2" s="1"/>
  <c r="A200" i="2"/>
  <c r="D126" i="2" l="1"/>
  <c r="D134" i="2"/>
  <c r="D142" i="2"/>
  <c r="D146" i="2"/>
  <c r="D138" i="2"/>
  <c r="D130" i="2"/>
  <c r="D200" i="2"/>
  <c r="D192" i="2"/>
  <c r="D184" i="2"/>
  <c r="D177" i="2"/>
  <c r="D173" i="2"/>
  <c r="D169" i="2"/>
  <c r="D165" i="2"/>
  <c r="D161" i="2"/>
  <c r="D157" i="2"/>
  <c r="D153" i="2"/>
  <c r="D100" i="2"/>
  <c r="D96" i="2"/>
  <c r="D196" i="2"/>
  <c r="D188" i="2"/>
  <c r="F6" i="3" l="1"/>
  <c r="B6" i="3" s="1"/>
  <c r="G6" i="3"/>
  <c r="F7" i="3"/>
  <c r="B7" i="3" s="1"/>
  <c r="G7" i="3"/>
  <c r="A8" i="3" s="1"/>
  <c r="F8" i="3"/>
  <c r="B8" i="3" s="1"/>
  <c r="G8" i="3"/>
  <c r="F9" i="3"/>
  <c r="B9" i="3" s="1"/>
  <c r="G9" i="3"/>
  <c r="A10" i="3" s="1"/>
  <c r="F10" i="3"/>
  <c r="B10" i="3" s="1"/>
  <c r="G10" i="3"/>
  <c r="F11" i="3"/>
  <c r="B11" i="3" s="1"/>
  <c r="G11" i="3"/>
  <c r="A12" i="3" s="1"/>
  <c r="F12" i="3"/>
  <c r="B12" i="3" s="1"/>
  <c r="G12" i="3"/>
  <c r="F13" i="3"/>
  <c r="B13" i="3" s="1"/>
  <c r="G13" i="3"/>
  <c r="A14" i="3" s="1"/>
  <c r="F14" i="3"/>
  <c r="B14" i="3" s="1"/>
  <c r="G14" i="3"/>
  <c r="F15" i="3"/>
  <c r="B15" i="3" s="1"/>
  <c r="G15" i="3"/>
  <c r="A16" i="3" s="1"/>
  <c r="F16" i="3"/>
  <c r="B16" i="3" s="1"/>
  <c r="G16" i="3"/>
  <c r="F17" i="3"/>
  <c r="B17" i="3" s="1"/>
  <c r="G17" i="3"/>
  <c r="A18" i="3" s="1"/>
  <c r="F18" i="3"/>
  <c r="B18" i="3" s="1"/>
  <c r="G18" i="3"/>
  <c r="F19" i="3"/>
  <c r="B19" i="3" s="1"/>
  <c r="G19" i="3"/>
  <c r="A20" i="3" s="1"/>
  <c r="F20" i="3"/>
  <c r="B20" i="3" s="1"/>
  <c r="G20" i="3"/>
  <c r="F21" i="3"/>
  <c r="B21" i="3" s="1"/>
  <c r="G21" i="3"/>
  <c r="A22" i="3" s="1"/>
  <c r="F22" i="3"/>
  <c r="B22" i="3" s="1"/>
  <c r="G22" i="3"/>
  <c r="F23" i="3"/>
  <c r="B23" i="3" s="1"/>
  <c r="G23" i="3"/>
  <c r="A24" i="3" s="1"/>
  <c r="F24" i="3"/>
  <c r="B24" i="3" s="1"/>
  <c r="G24" i="3"/>
  <c r="F25" i="3"/>
  <c r="B25" i="3" s="1"/>
  <c r="G25" i="3"/>
  <c r="A26" i="3" s="1"/>
  <c r="F26" i="3"/>
  <c r="B26" i="3" s="1"/>
  <c r="G26" i="3"/>
  <c r="F27" i="3"/>
  <c r="B27" i="3" s="1"/>
  <c r="G27" i="3"/>
  <c r="A28" i="3" s="1"/>
  <c r="F28" i="3"/>
  <c r="B28" i="3" s="1"/>
  <c r="G28" i="3"/>
  <c r="F29" i="3"/>
  <c r="B29" i="3" s="1"/>
  <c r="G29" i="3"/>
  <c r="A30" i="3" s="1"/>
  <c r="F30" i="3"/>
  <c r="B30" i="3" s="1"/>
  <c r="G30" i="3"/>
  <c r="F31" i="3"/>
  <c r="B31" i="3" s="1"/>
  <c r="G31" i="3"/>
  <c r="A32" i="3" s="1"/>
  <c r="F32" i="3"/>
  <c r="B32" i="3" s="1"/>
  <c r="G32" i="3"/>
  <c r="F33" i="3"/>
  <c r="B33" i="3" s="1"/>
  <c r="G33" i="3"/>
  <c r="A34" i="3" s="1"/>
  <c r="F34" i="3"/>
  <c r="B34" i="3" s="1"/>
  <c r="G34" i="3"/>
  <c r="F35" i="3"/>
  <c r="B35" i="3" s="1"/>
  <c r="G35" i="3"/>
  <c r="A36" i="3" s="1"/>
  <c r="F36" i="3"/>
  <c r="B36" i="3" s="1"/>
  <c r="G36" i="3"/>
  <c r="F37" i="3"/>
  <c r="B37" i="3" s="1"/>
  <c r="G37" i="3"/>
  <c r="A38" i="3" s="1"/>
  <c r="F38" i="3"/>
  <c r="B38" i="3" s="1"/>
  <c r="G38" i="3"/>
  <c r="F39" i="3"/>
  <c r="B39" i="3" s="1"/>
  <c r="G39" i="3"/>
  <c r="A40" i="3" s="1"/>
  <c r="F40" i="3"/>
  <c r="B40" i="3" s="1"/>
  <c r="G40" i="3"/>
  <c r="F41" i="3"/>
  <c r="B41" i="3" s="1"/>
  <c r="G41" i="3"/>
  <c r="A42" i="3" s="1"/>
  <c r="F42" i="3"/>
  <c r="B42" i="3" s="1"/>
  <c r="G42" i="3"/>
  <c r="F43" i="3"/>
  <c r="B43" i="3" s="1"/>
  <c r="G43" i="3"/>
  <c r="A44" i="3" s="1"/>
  <c r="F44" i="3"/>
  <c r="B44" i="3" s="1"/>
  <c r="G44" i="3"/>
  <c r="F45" i="3"/>
  <c r="B45" i="3" s="1"/>
  <c r="G45" i="3"/>
  <c r="A46" i="3" s="1"/>
  <c r="F46" i="3"/>
  <c r="B46" i="3" s="1"/>
  <c r="G46" i="3"/>
  <c r="F47" i="3"/>
  <c r="B47" i="3" s="1"/>
  <c r="G47" i="3"/>
  <c r="A48" i="3" s="1"/>
  <c r="F48" i="3"/>
  <c r="B48" i="3" s="1"/>
  <c r="G48" i="3"/>
  <c r="F49" i="3"/>
  <c r="B49" i="3" s="1"/>
  <c r="G49" i="3"/>
  <c r="A50" i="3" s="1"/>
  <c r="F50" i="3"/>
  <c r="B50" i="3" s="1"/>
  <c r="G50" i="3"/>
  <c r="F51" i="3"/>
  <c r="B51" i="3" s="1"/>
  <c r="G51" i="3"/>
  <c r="A52" i="3" s="1"/>
  <c r="F52" i="3"/>
  <c r="B52" i="3" s="1"/>
  <c r="G52" i="3"/>
  <c r="F53" i="3"/>
  <c r="B53" i="3" s="1"/>
  <c r="G53" i="3"/>
  <c r="A54" i="3" s="1"/>
  <c r="F54" i="3"/>
  <c r="B54" i="3" s="1"/>
  <c r="G54" i="3"/>
  <c r="F55" i="3"/>
  <c r="B55" i="3" s="1"/>
  <c r="G55" i="3"/>
  <c r="A56" i="3" s="1"/>
  <c r="F56" i="3"/>
  <c r="B56" i="3" s="1"/>
  <c r="G56" i="3"/>
  <c r="F57" i="3"/>
  <c r="B57" i="3" s="1"/>
  <c r="G57" i="3"/>
  <c r="A58" i="3" s="1"/>
  <c r="F58" i="3"/>
  <c r="B58" i="3" s="1"/>
  <c r="G58" i="3"/>
  <c r="F59" i="3"/>
  <c r="B59" i="3" s="1"/>
  <c r="G59" i="3"/>
  <c r="A60" i="3" s="1"/>
  <c r="F60" i="3"/>
  <c r="B60" i="3" s="1"/>
  <c r="G60" i="3"/>
  <c r="F61" i="3"/>
  <c r="B61" i="3" s="1"/>
  <c r="G61" i="3"/>
  <c r="A62" i="3" s="1"/>
  <c r="F62" i="3"/>
  <c r="B62" i="3" s="1"/>
  <c r="G62" i="3"/>
  <c r="F63" i="3"/>
  <c r="B63" i="3" s="1"/>
  <c r="G63" i="3"/>
  <c r="A64" i="3" s="1"/>
  <c r="F64" i="3"/>
  <c r="B64" i="3" s="1"/>
  <c r="G64" i="3"/>
  <c r="F65" i="3"/>
  <c r="B65" i="3" s="1"/>
  <c r="G65" i="3"/>
  <c r="A66" i="3" s="1"/>
  <c r="F66" i="3"/>
  <c r="B66" i="3" s="1"/>
  <c r="G66" i="3"/>
  <c r="F67" i="3"/>
  <c r="B67" i="3" s="1"/>
  <c r="G67" i="3"/>
  <c r="A68" i="3" s="1"/>
  <c r="F68" i="3"/>
  <c r="B68" i="3" s="1"/>
  <c r="G68" i="3"/>
  <c r="F69" i="3"/>
  <c r="B69" i="3" s="1"/>
  <c r="G69" i="3"/>
  <c r="A70" i="3" s="1"/>
  <c r="F70" i="3"/>
  <c r="B70" i="3" s="1"/>
  <c r="G70" i="3"/>
  <c r="F71" i="3"/>
  <c r="B71" i="3" s="1"/>
  <c r="G71" i="3"/>
  <c r="A72" i="3" s="1"/>
  <c r="F72" i="3"/>
  <c r="B72" i="3" s="1"/>
  <c r="G72" i="3"/>
  <c r="F73" i="3"/>
  <c r="B73" i="3" s="1"/>
  <c r="G73" i="3"/>
  <c r="A74" i="3" s="1"/>
  <c r="F74" i="3"/>
  <c r="B74" i="3" s="1"/>
  <c r="G74" i="3"/>
  <c r="F75" i="3"/>
  <c r="B75" i="3" s="1"/>
  <c r="G75" i="3"/>
  <c r="A76" i="3" s="1"/>
  <c r="F76" i="3"/>
  <c r="B76" i="3" s="1"/>
  <c r="G76" i="3"/>
  <c r="F77" i="3"/>
  <c r="B77" i="3" s="1"/>
  <c r="G77" i="3"/>
  <c r="A78" i="3" s="1"/>
  <c r="F78" i="3"/>
  <c r="B78" i="3" s="1"/>
  <c r="G78" i="3"/>
  <c r="F79" i="3"/>
  <c r="B79" i="3" s="1"/>
  <c r="G79" i="3"/>
  <c r="A80" i="3" s="1"/>
  <c r="F80" i="3"/>
  <c r="B80" i="3" s="1"/>
  <c r="G80" i="3"/>
  <c r="F81" i="3"/>
  <c r="B81" i="3" s="1"/>
  <c r="G81" i="3"/>
  <c r="A82" i="3" s="1"/>
  <c r="F82" i="3"/>
  <c r="B82" i="3" s="1"/>
  <c r="G82" i="3"/>
  <c r="F83" i="3"/>
  <c r="B83" i="3" s="1"/>
  <c r="G83" i="3"/>
  <c r="A84" i="3" s="1"/>
  <c r="F84" i="3"/>
  <c r="B84" i="3" s="1"/>
  <c r="G84" i="3"/>
  <c r="F85" i="3"/>
  <c r="B85" i="3" s="1"/>
  <c r="G85" i="3"/>
  <c r="A86" i="3" s="1"/>
  <c r="F86" i="3"/>
  <c r="B86" i="3" s="1"/>
  <c r="G86" i="3"/>
  <c r="F87" i="3"/>
  <c r="B87" i="3" s="1"/>
  <c r="G87" i="3"/>
  <c r="A88" i="3" s="1"/>
  <c r="F88" i="3"/>
  <c r="B88" i="3" s="1"/>
  <c r="G88" i="3"/>
  <c r="F89" i="3"/>
  <c r="B89" i="3" s="1"/>
  <c r="G89" i="3"/>
  <c r="A90" i="3" s="1"/>
  <c r="F90" i="3"/>
  <c r="B90" i="3" s="1"/>
  <c r="G90" i="3"/>
  <c r="F91" i="3"/>
  <c r="B91" i="3" s="1"/>
  <c r="G91" i="3"/>
  <c r="A92" i="3" s="1"/>
  <c r="F92" i="3"/>
  <c r="B92" i="3" s="1"/>
  <c r="G92" i="3"/>
  <c r="F93" i="3"/>
  <c r="B93" i="3" s="1"/>
  <c r="G93" i="3"/>
  <c r="A94" i="3" s="1"/>
  <c r="F94" i="3"/>
  <c r="B94" i="3" s="1"/>
  <c r="G94" i="3"/>
  <c r="F95" i="3"/>
  <c r="B95" i="3" s="1"/>
  <c r="G95" i="3"/>
  <c r="A96" i="3" s="1"/>
  <c r="F96" i="3"/>
  <c r="B96" i="3" s="1"/>
  <c r="G96" i="3"/>
  <c r="F97" i="3"/>
  <c r="B97" i="3" s="1"/>
  <c r="G97" i="3"/>
  <c r="A98" i="3" s="1"/>
  <c r="F98" i="3"/>
  <c r="B98" i="3" s="1"/>
  <c r="G98" i="3"/>
  <c r="F99" i="3"/>
  <c r="B99" i="3" s="1"/>
  <c r="G99" i="3"/>
  <c r="A100" i="3" s="1"/>
  <c r="F100" i="3"/>
  <c r="B100" i="3" s="1"/>
  <c r="G100" i="3"/>
  <c r="F101" i="3"/>
  <c r="B101" i="3" s="1"/>
  <c r="G101" i="3"/>
  <c r="A102" i="3" s="1"/>
  <c r="F102" i="3"/>
  <c r="B102" i="3" s="1"/>
  <c r="G102" i="3"/>
  <c r="F103" i="3"/>
  <c r="B103" i="3" s="1"/>
  <c r="G103" i="3"/>
  <c r="A104" i="3" s="1"/>
  <c r="F104" i="3"/>
  <c r="B104" i="3" s="1"/>
  <c r="G104" i="3"/>
  <c r="F105" i="3"/>
  <c r="B105" i="3" s="1"/>
  <c r="G105" i="3"/>
  <c r="A106" i="3" s="1"/>
  <c r="F106" i="3"/>
  <c r="B106" i="3" s="1"/>
  <c r="G106" i="3"/>
  <c r="F107" i="3"/>
  <c r="B107" i="3" s="1"/>
  <c r="G107" i="3"/>
  <c r="A108" i="3" s="1"/>
  <c r="F108" i="3"/>
  <c r="B108" i="3" s="1"/>
  <c r="G108" i="3"/>
  <c r="F109" i="3"/>
  <c r="B109" i="3" s="1"/>
  <c r="G109" i="3"/>
  <c r="A110" i="3" s="1"/>
  <c r="F110" i="3"/>
  <c r="B110" i="3" s="1"/>
  <c r="G110" i="3"/>
  <c r="F111" i="3"/>
  <c r="B111" i="3" s="1"/>
  <c r="G111" i="3"/>
  <c r="A112" i="3" s="1"/>
  <c r="F112" i="3"/>
  <c r="B112" i="3" s="1"/>
  <c r="G112" i="3"/>
  <c r="F113" i="3"/>
  <c r="B113" i="3" s="1"/>
  <c r="G113" i="3"/>
  <c r="A114" i="3" s="1"/>
  <c r="F114" i="3"/>
  <c r="B114" i="3" s="1"/>
  <c r="G114" i="3"/>
  <c r="F115" i="3"/>
  <c r="B115" i="3" s="1"/>
  <c r="G115" i="3"/>
  <c r="A116" i="3" s="1"/>
  <c r="F116" i="3"/>
  <c r="B116" i="3" s="1"/>
  <c r="G116" i="3"/>
  <c r="F117" i="3"/>
  <c r="B117" i="3" s="1"/>
  <c r="G117" i="3"/>
  <c r="A118" i="3" s="1"/>
  <c r="F118" i="3"/>
  <c r="B118" i="3" s="1"/>
  <c r="G118" i="3"/>
  <c r="F119" i="3"/>
  <c r="B119" i="3" s="1"/>
  <c r="G119" i="3"/>
  <c r="A120" i="3" s="1"/>
  <c r="F120" i="3"/>
  <c r="B120" i="3" s="1"/>
  <c r="G120" i="3"/>
  <c r="F121" i="3"/>
  <c r="B121" i="3" s="1"/>
  <c r="G121" i="3"/>
  <c r="A122" i="3" s="1"/>
  <c r="F122" i="3"/>
  <c r="B122" i="3" s="1"/>
  <c r="G122" i="3"/>
  <c r="F123" i="3"/>
  <c r="B123" i="3" s="1"/>
  <c r="G123" i="3"/>
  <c r="A124" i="3" s="1"/>
  <c r="F124" i="3"/>
  <c r="B124" i="3" s="1"/>
  <c r="G124" i="3"/>
  <c r="F125" i="3"/>
  <c r="B125" i="3" s="1"/>
  <c r="G125" i="3"/>
  <c r="A126" i="3" s="1"/>
  <c r="F126" i="3"/>
  <c r="B126" i="3" s="1"/>
  <c r="G126" i="3"/>
  <c r="F127" i="3"/>
  <c r="B127" i="3" s="1"/>
  <c r="G127" i="3"/>
  <c r="A128" i="3" s="1"/>
  <c r="F128" i="3"/>
  <c r="B128" i="3" s="1"/>
  <c r="G128" i="3"/>
  <c r="F129" i="3"/>
  <c r="B129" i="3" s="1"/>
  <c r="G129" i="3"/>
  <c r="A130" i="3" s="1"/>
  <c r="F130" i="3"/>
  <c r="B130" i="3" s="1"/>
  <c r="G130" i="3"/>
  <c r="F131" i="3"/>
  <c r="B131" i="3" s="1"/>
  <c r="G131" i="3"/>
  <c r="A132" i="3" s="1"/>
  <c r="F132" i="3"/>
  <c r="B132" i="3" s="1"/>
  <c r="G132" i="3"/>
  <c r="F133" i="3"/>
  <c r="B133" i="3" s="1"/>
  <c r="G133" i="3"/>
  <c r="A134" i="3" s="1"/>
  <c r="F134" i="3"/>
  <c r="B134" i="3" s="1"/>
  <c r="G134" i="3"/>
  <c r="F135" i="3"/>
  <c r="B135" i="3" s="1"/>
  <c r="G135" i="3"/>
  <c r="A136" i="3" s="1"/>
  <c r="F136" i="3"/>
  <c r="B136" i="3" s="1"/>
  <c r="G136" i="3"/>
  <c r="F137" i="3"/>
  <c r="B137" i="3" s="1"/>
  <c r="G137" i="3"/>
  <c r="A138" i="3" s="1"/>
  <c r="F138" i="3"/>
  <c r="B138" i="3" s="1"/>
  <c r="G138" i="3"/>
  <c r="F139" i="3"/>
  <c r="B139" i="3" s="1"/>
  <c r="G139" i="3"/>
  <c r="A140" i="3" s="1"/>
  <c r="F140" i="3"/>
  <c r="B140" i="3" s="1"/>
  <c r="G140" i="3"/>
  <c r="F141" i="3"/>
  <c r="B141" i="3" s="1"/>
  <c r="G141" i="3"/>
  <c r="A142" i="3" s="1"/>
  <c r="F142" i="3"/>
  <c r="B142" i="3" s="1"/>
  <c r="G142" i="3"/>
  <c r="F143" i="3"/>
  <c r="B143" i="3" s="1"/>
  <c r="G143" i="3"/>
  <c r="A144" i="3" s="1"/>
  <c r="F144" i="3"/>
  <c r="B144" i="3" s="1"/>
  <c r="G144" i="3"/>
  <c r="F145" i="3"/>
  <c r="B145" i="3" s="1"/>
  <c r="G145" i="3"/>
  <c r="A146" i="3" s="1"/>
  <c r="F146" i="3"/>
  <c r="B146" i="3" s="1"/>
  <c r="G146" i="3"/>
  <c r="F147" i="3"/>
  <c r="B147" i="3" s="1"/>
  <c r="G147" i="3"/>
  <c r="A148" i="3" s="1"/>
  <c r="F148" i="3"/>
  <c r="B148" i="3" s="1"/>
  <c r="G148" i="3"/>
  <c r="F149" i="3"/>
  <c r="B149" i="3" s="1"/>
  <c r="G149" i="3"/>
  <c r="A150" i="3" s="1"/>
  <c r="F150" i="3"/>
  <c r="B150" i="3" s="1"/>
  <c r="G150" i="3"/>
  <c r="F151" i="3"/>
  <c r="B151" i="3" s="1"/>
  <c r="G151" i="3"/>
  <c r="A152" i="3" s="1"/>
  <c r="F152" i="3"/>
  <c r="B152" i="3" s="1"/>
  <c r="G152" i="3"/>
  <c r="F153" i="3"/>
  <c r="B153" i="3" s="1"/>
  <c r="G153" i="3"/>
  <c r="A154" i="3" s="1"/>
  <c r="F154" i="3"/>
  <c r="B154" i="3" s="1"/>
  <c r="G154" i="3"/>
  <c r="F155" i="3"/>
  <c r="B155" i="3" s="1"/>
  <c r="G155" i="3"/>
  <c r="A156" i="3" s="1"/>
  <c r="F156" i="3"/>
  <c r="B156" i="3" s="1"/>
  <c r="G156" i="3"/>
  <c r="F157" i="3"/>
  <c r="B157" i="3" s="1"/>
  <c r="G157" i="3"/>
  <c r="A158" i="3" s="1"/>
  <c r="F158" i="3"/>
  <c r="B158" i="3" s="1"/>
  <c r="G158" i="3"/>
  <c r="F159" i="3"/>
  <c r="B159" i="3" s="1"/>
  <c r="G159" i="3"/>
  <c r="A160" i="3" s="1"/>
  <c r="F160" i="3"/>
  <c r="B160" i="3" s="1"/>
  <c r="G160" i="3"/>
  <c r="F161" i="3"/>
  <c r="B161" i="3" s="1"/>
  <c r="G161" i="3"/>
  <c r="A162" i="3" s="1"/>
  <c r="F162" i="3"/>
  <c r="B162" i="3" s="1"/>
  <c r="G162" i="3"/>
  <c r="F163" i="3"/>
  <c r="B163" i="3" s="1"/>
  <c r="G163" i="3"/>
  <c r="A164" i="3" s="1"/>
  <c r="F164" i="3"/>
  <c r="B164" i="3" s="1"/>
  <c r="G164" i="3"/>
  <c r="F165" i="3"/>
  <c r="B165" i="3" s="1"/>
  <c r="G165" i="3"/>
  <c r="A166" i="3" s="1"/>
  <c r="F166" i="3"/>
  <c r="B166" i="3" s="1"/>
  <c r="G166" i="3"/>
  <c r="F167" i="3"/>
  <c r="B167" i="3" s="1"/>
  <c r="G167" i="3"/>
  <c r="A168" i="3" s="1"/>
  <c r="F168" i="3"/>
  <c r="B168" i="3" s="1"/>
  <c r="G168" i="3"/>
  <c r="F169" i="3"/>
  <c r="B169" i="3" s="1"/>
  <c r="G169" i="3"/>
  <c r="A170" i="3" s="1"/>
  <c r="F170" i="3"/>
  <c r="B170" i="3" s="1"/>
  <c r="G170" i="3"/>
  <c r="F171" i="3"/>
  <c r="B171" i="3" s="1"/>
  <c r="G171" i="3"/>
  <c r="A172" i="3" s="1"/>
  <c r="F172" i="3"/>
  <c r="B172" i="3" s="1"/>
  <c r="G172" i="3"/>
  <c r="F173" i="3"/>
  <c r="B173" i="3" s="1"/>
  <c r="G173" i="3"/>
  <c r="A174" i="3" s="1"/>
  <c r="F174" i="3"/>
  <c r="B174" i="3" s="1"/>
  <c r="G174" i="3"/>
  <c r="F175" i="3"/>
  <c r="B175" i="3" s="1"/>
  <c r="G175" i="3"/>
  <c r="A176" i="3" s="1"/>
  <c r="F176" i="3"/>
  <c r="B176" i="3" s="1"/>
  <c r="G176" i="3"/>
  <c r="F177" i="3"/>
  <c r="B177" i="3" s="1"/>
  <c r="G177" i="3"/>
  <c r="A178" i="3" s="1"/>
  <c r="F178" i="3"/>
  <c r="B178" i="3" s="1"/>
  <c r="G178" i="3"/>
  <c r="F179" i="3"/>
  <c r="B179" i="3" s="1"/>
  <c r="G179" i="3"/>
  <c r="A180" i="3" s="1"/>
  <c r="F180" i="3"/>
  <c r="B180" i="3" s="1"/>
  <c r="G180" i="3"/>
  <c r="F181" i="3"/>
  <c r="B181" i="3" s="1"/>
  <c r="G181" i="3"/>
  <c r="A182" i="3" s="1"/>
  <c r="F182" i="3"/>
  <c r="B182" i="3" s="1"/>
  <c r="G182" i="3"/>
  <c r="F183" i="3"/>
  <c r="B183" i="3" s="1"/>
  <c r="G183" i="3"/>
  <c r="A184" i="3" s="1"/>
  <c r="F184" i="3"/>
  <c r="B184" i="3" s="1"/>
  <c r="G184" i="3"/>
  <c r="F185" i="3"/>
  <c r="B185" i="3" s="1"/>
  <c r="G185" i="3"/>
  <c r="A186" i="3" s="1"/>
  <c r="F186" i="3"/>
  <c r="B186" i="3" s="1"/>
  <c r="G186" i="3"/>
  <c r="F187" i="3"/>
  <c r="B187" i="3" s="1"/>
  <c r="G187" i="3"/>
  <c r="A188" i="3" s="1"/>
  <c r="F188" i="3"/>
  <c r="B188" i="3" s="1"/>
  <c r="G188" i="3"/>
  <c r="F189" i="3"/>
  <c r="B189" i="3" s="1"/>
  <c r="G189" i="3"/>
  <c r="A190" i="3" s="1"/>
  <c r="F190" i="3"/>
  <c r="B190" i="3" s="1"/>
  <c r="G190" i="3"/>
  <c r="F191" i="3"/>
  <c r="B191" i="3" s="1"/>
  <c r="G191" i="3"/>
  <c r="A192" i="3" s="1"/>
  <c r="F192" i="3"/>
  <c r="B192" i="3" s="1"/>
  <c r="G192" i="3"/>
  <c r="F193" i="3"/>
  <c r="B193" i="3" s="1"/>
  <c r="G193" i="3"/>
  <c r="A194" i="3" s="1"/>
  <c r="F194" i="3"/>
  <c r="B194" i="3" s="1"/>
  <c r="G194" i="3"/>
  <c r="F195" i="3"/>
  <c r="B195" i="3" s="1"/>
  <c r="G195" i="3"/>
  <c r="A196" i="3" s="1"/>
  <c r="F196" i="3"/>
  <c r="B196" i="3" s="1"/>
  <c r="G196" i="3"/>
  <c r="F197" i="3"/>
  <c r="B197" i="3" s="1"/>
  <c r="G197" i="3"/>
  <c r="A198" i="3" s="1"/>
  <c r="F198" i="3"/>
  <c r="B198" i="3" s="1"/>
  <c r="G198" i="3"/>
  <c r="F199" i="3"/>
  <c r="B199" i="3" s="1"/>
  <c r="G199" i="3"/>
  <c r="A200" i="3" s="1"/>
  <c r="F200" i="3"/>
  <c r="B200" i="3" s="1"/>
  <c r="G200" i="3"/>
  <c r="A201" i="3" s="1"/>
  <c r="C201" i="3" s="1"/>
  <c r="D201" i="3" s="1"/>
  <c r="G5" i="3"/>
  <c r="F5" i="3"/>
  <c r="J4" i="4"/>
  <c r="M4" i="3"/>
  <c r="D1" i="3"/>
  <c r="D1" i="2"/>
  <c r="B5" i="3" l="1"/>
  <c r="M9" i="6"/>
  <c r="M4" i="6" s="1"/>
  <c r="B5" i="6" s="1"/>
  <c r="D5" i="6" s="1"/>
  <c r="A5" i="3"/>
  <c r="C198" i="3"/>
  <c r="D198" i="3" s="1"/>
  <c r="C194" i="3"/>
  <c r="D194" i="3" s="1"/>
  <c r="C190" i="3"/>
  <c r="D190" i="3" s="1"/>
  <c r="C186" i="3"/>
  <c r="D186" i="3" s="1"/>
  <c r="C182" i="3"/>
  <c r="D182" i="3" s="1"/>
  <c r="C178" i="3"/>
  <c r="D178" i="3" s="1"/>
  <c r="C174" i="3"/>
  <c r="D174" i="3" s="1"/>
  <c r="C170" i="3"/>
  <c r="D170" i="3" s="1"/>
  <c r="C166" i="3"/>
  <c r="D166" i="3" s="1"/>
  <c r="C162" i="3"/>
  <c r="D162" i="3" s="1"/>
  <c r="C158" i="3"/>
  <c r="D158" i="3" s="1"/>
  <c r="C154" i="3"/>
  <c r="D154" i="3" s="1"/>
  <c r="C150" i="3"/>
  <c r="D150" i="3" s="1"/>
  <c r="C146" i="3"/>
  <c r="D146" i="3" s="1"/>
  <c r="C142" i="3"/>
  <c r="D142" i="3" s="1"/>
  <c r="C138" i="3"/>
  <c r="D138" i="3" s="1"/>
  <c r="C134" i="3"/>
  <c r="D134" i="3" s="1"/>
  <c r="C130" i="3"/>
  <c r="D130" i="3" s="1"/>
  <c r="C126" i="3"/>
  <c r="D126" i="3" s="1"/>
  <c r="C122" i="3"/>
  <c r="D122" i="3" s="1"/>
  <c r="C118" i="3"/>
  <c r="D118" i="3" s="1"/>
  <c r="C114" i="3"/>
  <c r="D114" i="3" s="1"/>
  <c r="C110" i="3"/>
  <c r="D110" i="3" s="1"/>
  <c r="C106" i="3"/>
  <c r="D106" i="3" s="1"/>
  <c r="C102" i="3"/>
  <c r="D102" i="3" s="1"/>
  <c r="C98" i="3"/>
  <c r="D98" i="3" s="1"/>
  <c r="C94" i="3"/>
  <c r="D94" i="3" s="1"/>
  <c r="C90" i="3"/>
  <c r="D90" i="3" s="1"/>
  <c r="C86" i="3"/>
  <c r="D86" i="3" s="1"/>
  <c r="C82" i="3"/>
  <c r="D82" i="3" s="1"/>
  <c r="C78" i="3"/>
  <c r="D78" i="3" s="1"/>
  <c r="C74" i="3"/>
  <c r="D74" i="3" s="1"/>
  <c r="C70" i="3"/>
  <c r="D70" i="3" s="1"/>
  <c r="C66" i="3"/>
  <c r="D66" i="3" s="1"/>
  <c r="C62" i="3"/>
  <c r="D62" i="3" s="1"/>
  <c r="C58" i="3"/>
  <c r="D58" i="3" s="1"/>
  <c r="C54" i="3"/>
  <c r="D54" i="3" s="1"/>
  <c r="C50" i="3"/>
  <c r="D50" i="3" s="1"/>
  <c r="C46" i="3"/>
  <c r="D46" i="3" s="1"/>
  <c r="C42" i="3"/>
  <c r="D42" i="3" s="1"/>
  <c r="C38" i="3"/>
  <c r="D38" i="3" s="1"/>
  <c r="C34" i="3"/>
  <c r="D34" i="3" s="1"/>
  <c r="C30" i="3"/>
  <c r="D30" i="3" s="1"/>
  <c r="C26" i="3"/>
  <c r="D26" i="3" s="1"/>
  <c r="C22" i="3"/>
  <c r="D22" i="3" s="1"/>
  <c r="C18" i="3"/>
  <c r="D18" i="3" s="1"/>
  <c r="C14" i="3"/>
  <c r="D14" i="3" s="1"/>
  <c r="C10" i="3"/>
  <c r="D10" i="3" s="1"/>
  <c r="C200" i="3"/>
  <c r="D200" i="3" s="1"/>
  <c r="C196" i="3"/>
  <c r="D196" i="3" s="1"/>
  <c r="C192" i="3"/>
  <c r="D192" i="3" s="1"/>
  <c r="C188" i="3"/>
  <c r="D188" i="3" s="1"/>
  <c r="C184" i="3"/>
  <c r="D184" i="3" s="1"/>
  <c r="C180" i="3"/>
  <c r="D180" i="3" s="1"/>
  <c r="C176" i="3"/>
  <c r="D176" i="3" s="1"/>
  <c r="C172" i="3"/>
  <c r="D172" i="3" s="1"/>
  <c r="C168" i="3"/>
  <c r="D168" i="3" s="1"/>
  <c r="C164" i="3"/>
  <c r="D164" i="3" s="1"/>
  <c r="C160" i="3"/>
  <c r="D160" i="3" s="1"/>
  <c r="C156" i="3"/>
  <c r="D156" i="3" s="1"/>
  <c r="C152" i="3"/>
  <c r="D152" i="3" s="1"/>
  <c r="C148" i="3"/>
  <c r="D148" i="3" s="1"/>
  <c r="C144" i="3"/>
  <c r="D144" i="3" s="1"/>
  <c r="C140" i="3"/>
  <c r="D140" i="3" s="1"/>
  <c r="C136" i="3"/>
  <c r="D136" i="3" s="1"/>
  <c r="C132" i="3"/>
  <c r="D132" i="3" s="1"/>
  <c r="C128" i="3"/>
  <c r="D128" i="3" s="1"/>
  <c r="C124" i="3"/>
  <c r="D124" i="3" s="1"/>
  <c r="C120" i="3"/>
  <c r="D120" i="3" s="1"/>
  <c r="C116" i="3"/>
  <c r="D116" i="3" s="1"/>
  <c r="C112" i="3"/>
  <c r="D112" i="3" s="1"/>
  <c r="C108" i="3"/>
  <c r="D108" i="3" s="1"/>
  <c r="C104" i="3"/>
  <c r="D104" i="3" s="1"/>
  <c r="C100" i="3"/>
  <c r="D100" i="3" s="1"/>
  <c r="C96" i="3"/>
  <c r="D96" i="3" s="1"/>
  <c r="C92" i="3"/>
  <c r="D92" i="3" s="1"/>
  <c r="C88" i="3"/>
  <c r="D88" i="3" s="1"/>
  <c r="C84" i="3"/>
  <c r="D84" i="3" s="1"/>
  <c r="C80" i="3"/>
  <c r="D80" i="3" s="1"/>
  <c r="C76" i="3"/>
  <c r="D76" i="3" s="1"/>
  <c r="C72" i="3"/>
  <c r="D72" i="3" s="1"/>
  <c r="C68" i="3"/>
  <c r="D68" i="3" s="1"/>
  <c r="C64" i="3"/>
  <c r="D64" i="3" s="1"/>
  <c r="C60" i="3"/>
  <c r="D60" i="3" s="1"/>
  <c r="C56" i="3"/>
  <c r="D56" i="3" s="1"/>
  <c r="C52" i="3"/>
  <c r="D52" i="3" s="1"/>
  <c r="C48" i="3"/>
  <c r="D48" i="3" s="1"/>
  <c r="C44" i="3"/>
  <c r="D44" i="3" s="1"/>
  <c r="C40" i="3"/>
  <c r="D40" i="3" s="1"/>
  <c r="C36" i="3"/>
  <c r="D36" i="3" s="1"/>
  <c r="C32" i="3"/>
  <c r="D32" i="3" s="1"/>
  <c r="C28" i="3"/>
  <c r="D28" i="3" s="1"/>
  <c r="C24" i="3"/>
  <c r="D24" i="3" s="1"/>
  <c r="C20" i="3"/>
  <c r="D20" i="3" s="1"/>
  <c r="C16" i="3"/>
  <c r="D16" i="3" s="1"/>
  <c r="C12" i="3"/>
  <c r="D12" i="3" s="1"/>
  <c r="C8" i="3"/>
  <c r="D8" i="3" s="1"/>
  <c r="H5" i="3"/>
  <c r="I5" i="3" s="1"/>
  <c r="A6" i="3"/>
  <c r="C6" i="3" s="1"/>
  <c r="D6" i="3" s="1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I7" i="3" s="1"/>
  <c r="H6" i="3"/>
  <c r="I6" i="3" s="1"/>
  <c r="A199" i="3"/>
  <c r="C199" i="3" s="1"/>
  <c r="D199" i="3" s="1"/>
  <c r="A197" i="3"/>
  <c r="C197" i="3" s="1"/>
  <c r="D197" i="3" s="1"/>
  <c r="A195" i="3"/>
  <c r="C195" i="3" s="1"/>
  <c r="D195" i="3" s="1"/>
  <c r="A193" i="3"/>
  <c r="C193" i="3" s="1"/>
  <c r="D193" i="3" s="1"/>
  <c r="A191" i="3"/>
  <c r="C191" i="3" s="1"/>
  <c r="D191" i="3" s="1"/>
  <c r="A189" i="3"/>
  <c r="C189" i="3" s="1"/>
  <c r="D189" i="3" s="1"/>
  <c r="A187" i="3"/>
  <c r="C187" i="3" s="1"/>
  <c r="D187" i="3" s="1"/>
  <c r="A185" i="3"/>
  <c r="C185" i="3" s="1"/>
  <c r="D185" i="3" s="1"/>
  <c r="A183" i="3"/>
  <c r="C183" i="3" s="1"/>
  <c r="D183" i="3" s="1"/>
  <c r="A181" i="3"/>
  <c r="C181" i="3" s="1"/>
  <c r="D181" i="3" s="1"/>
  <c r="A179" i="3"/>
  <c r="C179" i="3" s="1"/>
  <c r="D179" i="3" s="1"/>
  <c r="A177" i="3"/>
  <c r="C177" i="3" s="1"/>
  <c r="D177" i="3" s="1"/>
  <c r="A175" i="3"/>
  <c r="C175" i="3" s="1"/>
  <c r="D175" i="3" s="1"/>
  <c r="A173" i="3"/>
  <c r="C173" i="3" s="1"/>
  <c r="D173" i="3" s="1"/>
  <c r="A171" i="3"/>
  <c r="C171" i="3" s="1"/>
  <c r="D171" i="3" s="1"/>
  <c r="A169" i="3"/>
  <c r="C169" i="3" s="1"/>
  <c r="D169" i="3" s="1"/>
  <c r="A167" i="3"/>
  <c r="C167" i="3" s="1"/>
  <c r="D167" i="3" s="1"/>
  <c r="A165" i="3"/>
  <c r="C165" i="3" s="1"/>
  <c r="D165" i="3" s="1"/>
  <c r="A163" i="3"/>
  <c r="C163" i="3" s="1"/>
  <c r="D163" i="3" s="1"/>
  <c r="A161" i="3"/>
  <c r="C161" i="3" s="1"/>
  <c r="D161" i="3" s="1"/>
  <c r="A159" i="3"/>
  <c r="C159" i="3" s="1"/>
  <c r="D159" i="3" s="1"/>
  <c r="A157" i="3"/>
  <c r="C157" i="3" s="1"/>
  <c r="D157" i="3" s="1"/>
  <c r="A155" i="3"/>
  <c r="C155" i="3" s="1"/>
  <c r="D155" i="3" s="1"/>
  <c r="A153" i="3"/>
  <c r="C153" i="3" s="1"/>
  <c r="D153" i="3" s="1"/>
  <c r="A151" i="3"/>
  <c r="C151" i="3" s="1"/>
  <c r="D151" i="3" s="1"/>
  <c r="A149" i="3"/>
  <c r="C149" i="3" s="1"/>
  <c r="D149" i="3" s="1"/>
  <c r="A147" i="3"/>
  <c r="C147" i="3" s="1"/>
  <c r="D147" i="3" s="1"/>
  <c r="A145" i="3"/>
  <c r="C145" i="3" s="1"/>
  <c r="D145" i="3" s="1"/>
  <c r="A143" i="3"/>
  <c r="C143" i="3" s="1"/>
  <c r="D143" i="3" s="1"/>
  <c r="A141" i="3"/>
  <c r="C141" i="3" s="1"/>
  <c r="D141" i="3" s="1"/>
  <c r="A139" i="3"/>
  <c r="C139" i="3" s="1"/>
  <c r="D139" i="3" s="1"/>
  <c r="A137" i="3"/>
  <c r="C137" i="3" s="1"/>
  <c r="D137" i="3" s="1"/>
  <c r="A135" i="3"/>
  <c r="C135" i="3" s="1"/>
  <c r="D135" i="3" s="1"/>
  <c r="A133" i="3"/>
  <c r="C133" i="3" s="1"/>
  <c r="D133" i="3" s="1"/>
  <c r="A131" i="3"/>
  <c r="C131" i="3" s="1"/>
  <c r="D131" i="3" s="1"/>
  <c r="A129" i="3"/>
  <c r="C129" i="3" s="1"/>
  <c r="D129" i="3" s="1"/>
  <c r="A127" i="3"/>
  <c r="C127" i="3" s="1"/>
  <c r="D127" i="3" s="1"/>
  <c r="A125" i="3"/>
  <c r="C125" i="3" s="1"/>
  <c r="D125" i="3" s="1"/>
  <c r="A123" i="3"/>
  <c r="C123" i="3" s="1"/>
  <c r="D123" i="3" s="1"/>
  <c r="A121" i="3"/>
  <c r="C121" i="3" s="1"/>
  <c r="D121" i="3" s="1"/>
  <c r="A119" i="3"/>
  <c r="C119" i="3" s="1"/>
  <c r="D119" i="3" s="1"/>
  <c r="A117" i="3"/>
  <c r="C117" i="3" s="1"/>
  <c r="D117" i="3" s="1"/>
  <c r="A115" i="3"/>
  <c r="C115" i="3" s="1"/>
  <c r="D115" i="3" s="1"/>
  <c r="A113" i="3"/>
  <c r="C113" i="3" s="1"/>
  <c r="D113" i="3" s="1"/>
  <c r="A111" i="3"/>
  <c r="C111" i="3" s="1"/>
  <c r="D111" i="3" s="1"/>
  <c r="A109" i="3"/>
  <c r="C109" i="3" s="1"/>
  <c r="D109" i="3" s="1"/>
  <c r="A107" i="3"/>
  <c r="C107" i="3" s="1"/>
  <c r="D107" i="3" s="1"/>
  <c r="A105" i="3"/>
  <c r="C105" i="3" s="1"/>
  <c r="D105" i="3" s="1"/>
  <c r="A103" i="3"/>
  <c r="C103" i="3" s="1"/>
  <c r="D103" i="3" s="1"/>
  <c r="A101" i="3"/>
  <c r="C101" i="3" s="1"/>
  <c r="D101" i="3" s="1"/>
  <c r="A99" i="3"/>
  <c r="C99" i="3" s="1"/>
  <c r="D99" i="3" s="1"/>
  <c r="A97" i="3"/>
  <c r="C97" i="3" s="1"/>
  <c r="D97" i="3" s="1"/>
  <c r="A95" i="3"/>
  <c r="C95" i="3" s="1"/>
  <c r="D95" i="3" s="1"/>
  <c r="A93" i="3"/>
  <c r="C93" i="3" s="1"/>
  <c r="D93" i="3" s="1"/>
  <c r="A91" i="3"/>
  <c r="C91" i="3" s="1"/>
  <c r="D91" i="3" s="1"/>
  <c r="A89" i="3"/>
  <c r="C89" i="3" s="1"/>
  <c r="D89" i="3" s="1"/>
  <c r="A87" i="3"/>
  <c r="C87" i="3" s="1"/>
  <c r="D87" i="3" s="1"/>
  <c r="A85" i="3"/>
  <c r="C85" i="3" s="1"/>
  <c r="D85" i="3" s="1"/>
  <c r="A83" i="3"/>
  <c r="C83" i="3" s="1"/>
  <c r="D83" i="3" s="1"/>
  <c r="A81" i="3"/>
  <c r="C81" i="3" s="1"/>
  <c r="D81" i="3" s="1"/>
  <c r="A79" i="3"/>
  <c r="C79" i="3" s="1"/>
  <c r="D79" i="3" s="1"/>
  <c r="A77" i="3"/>
  <c r="C77" i="3" s="1"/>
  <c r="D77" i="3" s="1"/>
  <c r="A75" i="3"/>
  <c r="C75" i="3" s="1"/>
  <c r="D75" i="3" s="1"/>
  <c r="A73" i="3"/>
  <c r="C73" i="3" s="1"/>
  <c r="D73" i="3" s="1"/>
  <c r="A71" i="3"/>
  <c r="C71" i="3" s="1"/>
  <c r="D71" i="3" s="1"/>
  <c r="A69" i="3"/>
  <c r="C69" i="3" s="1"/>
  <c r="D69" i="3" s="1"/>
  <c r="A67" i="3"/>
  <c r="C67" i="3" s="1"/>
  <c r="D67" i="3" s="1"/>
  <c r="A65" i="3"/>
  <c r="C65" i="3" s="1"/>
  <c r="D65" i="3" s="1"/>
  <c r="A63" i="3"/>
  <c r="C63" i="3" s="1"/>
  <c r="D63" i="3" s="1"/>
  <c r="A61" i="3"/>
  <c r="C61" i="3" s="1"/>
  <c r="D61" i="3" s="1"/>
  <c r="A59" i="3"/>
  <c r="C59" i="3" s="1"/>
  <c r="D59" i="3" s="1"/>
  <c r="A57" i="3"/>
  <c r="C57" i="3" s="1"/>
  <c r="D57" i="3" s="1"/>
  <c r="A55" i="3"/>
  <c r="C55" i="3" s="1"/>
  <c r="D55" i="3" s="1"/>
  <c r="A53" i="3"/>
  <c r="C53" i="3" s="1"/>
  <c r="D53" i="3" s="1"/>
  <c r="A51" i="3"/>
  <c r="C51" i="3" s="1"/>
  <c r="D51" i="3" s="1"/>
  <c r="A49" i="3"/>
  <c r="C49" i="3" s="1"/>
  <c r="D49" i="3" s="1"/>
  <c r="A47" i="3"/>
  <c r="C47" i="3" s="1"/>
  <c r="D47" i="3" s="1"/>
  <c r="A45" i="3"/>
  <c r="C45" i="3" s="1"/>
  <c r="D45" i="3" s="1"/>
  <c r="A43" i="3"/>
  <c r="C43" i="3" s="1"/>
  <c r="D43" i="3" s="1"/>
  <c r="A41" i="3"/>
  <c r="C41" i="3" s="1"/>
  <c r="D41" i="3" s="1"/>
  <c r="A39" i="3"/>
  <c r="C39" i="3" s="1"/>
  <c r="D39" i="3" s="1"/>
  <c r="A37" i="3"/>
  <c r="C37" i="3" s="1"/>
  <c r="D37" i="3" s="1"/>
  <c r="A35" i="3"/>
  <c r="C35" i="3" s="1"/>
  <c r="D35" i="3" s="1"/>
  <c r="A33" i="3"/>
  <c r="C33" i="3" s="1"/>
  <c r="D33" i="3" s="1"/>
  <c r="A31" i="3"/>
  <c r="C31" i="3" s="1"/>
  <c r="D31" i="3" s="1"/>
  <c r="A29" i="3"/>
  <c r="C29" i="3" s="1"/>
  <c r="D29" i="3" s="1"/>
  <c r="A27" i="3"/>
  <c r="C27" i="3" s="1"/>
  <c r="D27" i="3" s="1"/>
  <c r="A25" i="3"/>
  <c r="C25" i="3" s="1"/>
  <c r="D25" i="3" s="1"/>
  <c r="A23" i="3"/>
  <c r="C23" i="3" s="1"/>
  <c r="D23" i="3" s="1"/>
  <c r="A21" i="3"/>
  <c r="C21" i="3" s="1"/>
  <c r="D21" i="3" s="1"/>
  <c r="A19" i="3"/>
  <c r="C19" i="3" s="1"/>
  <c r="D19" i="3" s="1"/>
  <c r="A17" i="3"/>
  <c r="C17" i="3" s="1"/>
  <c r="D17" i="3" s="1"/>
  <c r="A15" i="3"/>
  <c r="C15" i="3" s="1"/>
  <c r="D15" i="3" s="1"/>
  <c r="A13" i="3"/>
  <c r="C13" i="3" s="1"/>
  <c r="D13" i="3" s="1"/>
  <c r="A11" i="3"/>
  <c r="C11" i="3" s="1"/>
  <c r="D11" i="3" s="1"/>
  <c r="A9" i="3"/>
  <c r="C9" i="3" s="1"/>
  <c r="D9" i="3" s="1"/>
  <c r="A7" i="3"/>
  <c r="C7" i="3" s="1"/>
  <c r="D7" i="3" s="1"/>
  <c r="M4" i="2"/>
  <c r="E5" i="6" l="1"/>
  <c r="J5" i="6" s="1"/>
  <c r="B5" i="2"/>
  <c r="D5" i="2" s="1"/>
  <c r="C5" i="3"/>
  <c r="D5" i="3" s="1"/>
  <c r="R5" i="6" l="1"/>
  <c r="E6" i="6"/>
  <c r="J6" i="6" s="1"/>
  <c r="R6" i="6" s="1"/>
  <c r="E7" i="6" l="1"/>
  <c r="J7" i="6" s="1"/>
  <c r="E8" i="6" s="1"/>
  <c r="J8" i="6" s="1"/>
  <c r="R7" i="6" l="1"/>
  <c r="P17" i="6" s="1"/>
  <c r="E5" i="2" s="1"/>
  <c r="J5" i="2" s="1"/>
  <c r="R5" i="2" s="1"/>
  <c r="E9" i="6"/>
  <c r="J9" i="6" s="1"/>
  <c r="R8" i="6"/>
  <c r="E6" i="2" l="1"/>
  <c r="J6" i="2" s="1"/>
  <c r="E7" i="2" s="1"/>
  <c r="J7" i="2" s="1"/>
  <c r="R9" i="6"/>
  <c r="E10" i="6"/>
  <c r="J10" i="6" s="1"/>
  <c r="R6" i="2" l="1"/>
  <c r="E8" i="2"/>
  <c r="J8" i="2" s="1"/>
  <c r="R7" i="2"/>
  <c r="P17" i="2" s="1"/>
  <c r="E5" i="3" s="1"/>
  <c r="J5" i="3" s="1"/>
  <c r="E11" i="6"/>
  <c r="J11" i="6" s="1"/>
  <c r="R10" i="6"/>
  <c r="E6" i="3" l="1"/>
  <c r="J6" i="3" s="1"/>
  <c r="R5" i="3"/>
  <c r="E12" i="6"/>
  <c r="J12" i="6" s="1"/>
  <c r="R11" i="6"/>
  <c r="E9" i="2"/>
  <c r="J9" i="2" s="1"/>
  <c r="R8" i="2"/>
  <c r="R12" i="6" l="1"/>
  <c r="E13" i="6"/>
  <c r="J13" i="6" s="1"/>
  <c r="E10" i="2"/>
  <c r="J10" i="2" s="1"/>
  <c r="R9" i="2"/>
  <c r="E7" i="3"/>
  <c r="J7" i="3" s="1"/>
  <c r="R6" i="3"/>
  <c r="E11" i="2" l="1"/>
  <c r="J11" i="2" s="1"/>
  <c r="R10" i="2"/>
  <c r="R13" i="6"/>
  <c r="E14" i="6"/>
  <c r="J14" i="6" s="1"/>
  <c r="R7" i="3"/>
  <c r="E8" i="3"/>
  <c r="J8" i="3" s="1"/>
  <c r="R14" i="6" l="1"/>
  <c r="E15" i="6"/>
  <c r="J15" i="6" s="1"/>
  <c r="R8" i="3"/>
  <c r="E9" i="3"/>
  <c r="J9" i="3" s="1"/>
  <c r="E12" i="2"/>
  <c r="J12" i="2" s="1"/>
  <c r="R11" i="2"/>
  <c r="E10" i="3" l="1"/>
  <c r="J10" i="3" s="1"/>
  <c r="R9" i="3"/>
  <c r="E16" i="6"/>
  <c r="J16" i="6" s="1"/>
  <c r="R15" i="6"/>
  <c r="E13" i="2"/>
  <c r="J13" i="2" s="1"/>
  <c r="R12" i="2"/>
  <c r="R16" i="6" l="1"/>
  <c r="E17" i="6"/>
  <c r="J17" i="6" s="1"/>
  <c r="E14" i="2"/>
  <c r="J14" i="2" s="1"/>
  <c r="R13" i="2"/>
  <c r="E11" i="3"/>
  <c r="J11" i="3" s="1"/>
  <c r="R10" i="3"/>
  <c r="E15" i="2" l="1"/>
  <c r="J15" i="2" s="1"/>
  <c r="R14" i="2"/>
  <c r="E12" i="3"/>
  <c r="J12" i="3" s="1"/>
  <c r="R11" i="3"/>
  <c r="E18" i="6"/>
  <c r="J18" i="6" s="1"/>
  <c r="R17" i="6"/>
  <c r="E13" i="3" l="1"/>
  <c r="J13" i="3" s="1"/>
  <c r="R12" i="3"/>
  <c r="R18" i="6"/>
  <c r="E19" i="6"/>
  <c r="J19" i="6" s="1"/>
  <c r="E16" i="2"/>
  <c r="J16" i="2" s="1"/>
  <c r="R15" i="2"/>
  <c r="E17" i="2" l="1"/>
  <c r="J17" i="2" s="1"/>
  <c r="R16" i="2"/>
  <c r="E20" i="6"/>
  <c r="J20" i="6" s="1"/>
  <c r="R19" i="6"/>
  <c r="E14" i="3"/>
  <c r="J14" i="3" s="1"/>
  <c r="R13" i="3"/>
  <c r="E15" i="3" l="1"/>
  <c r="J15" i="3" s="1"/>
  <c r="R14" i="3"/>
  <c r="R20" i="6"/>
  <c r="E21" i="6"/>
  <c r="J21" i="6" s="1"/>
  <c r="E18" i="2"/>
  <c r="J18" i="2" s="1"/>
  <c r="R17" i="2"/>
  <c r="E19" i="2" l="1"/>
  <c r="J19" i="2" s="1"/>
  <c r="R18" i="2"/>
  <c r="E22" i="6"/>
  <c r="J22" i="6" s="1"/>
  <c r="R21" i="6"/>
  <c r="E16" i="3"/>
  <c r="J16" i="3" s="1"/>
  <c r="R15" i="3"/>
  <c r="E23" i="6" l="1"/>
  <c r="J23" i="6" s="1"/>
  <c r="R22" i="6"/>
  <c r="R16" i="3"/>
  <c r="E17" i="3"/>
  <c r="J17" i="3" s="1"/>
  <c r="E20" i="2"/>
  <c r="J20" i="2" s="1"/>
  <c r="R19" i="2"/>
  <c r="E18" i="3" l="1"/>
  <c r="J18" i="3" s="1"/>
  <c r="R17" i="3"/>
  <c r="E21" i="2"/>
  <c r="J21" i="2" s="1"/>
  <c r="R20" i="2"/>
  <c r="R23" i="6"/>
  <c r="E24" i="6"/>
  <c r="J24" i="6" s="1"/>
  <c r="E22" i="2" l="1"/>
  <c r="J22" i="2" s="1"/>
  <c r="R21" i="2"/>
  <c r="E25" i="6"/>
  <c r="J25" i="6" s="1"/>
  <c r="R24" i="6"/>
  <c r="E19" i="3"/>
  <c r="J19" i="3" s="1"/>
  <c r="R18" i="3"/>
  <c r="R25" i="6" l="1"/>
  <c r="E26" i="6"/>
  <c r="J26" i="6" s="1"/>
  <c r="E20" i="3"/>
  <c r="J20" i="3" s="1"/>
  <c r="R19" i="3"/>
  <c r="E23" i="2"/>
  <c r="J23" i="2" s="1"/>
  <c r="R22" i="2"/>
  <c r="E24" i="2" l="1"/>
  <c r="J24" i="2" s="1"/>
  <c r="R23" i="2"/>
  <c r="E21" i="3"/>
  <c r="J21" i="3" s="1"/>
  <c r="R20" i="3"/>
  <c r="E27" i="6"/>
  <c r="J27" i="6" s="1"/>
  <c r="R26" i="6"/>
  <c r="E25" i="2" l="1"/>
  <c r="J25" i="2" s="1"/>
  <c r="R24" i="2"/>
  <c r="E28" i="6"/>
  <c r="J28" i="6" s="1"/>
  <c r="R27" i="6"/>
  <c r="E22" i="3"/>
  <c r="J22" i="3" s="1"/>
  <c r="R21" i="3"/>
  <c r="R28" i="6" l="1"/>
  <c r="E29" i="6"/>
  <c r="J29" i="6" s="1"/>
  <c r="E23" i="3"/>
  <c r="J23" i="3" s="1"/>
  <c r="R22" i="3"/>
  <c r="E26" i="2"/>
  <c r="J26" i="2" s="1"/>
  <c r="R25" i="2"/>
  <c r="E24" i="3" l="1"/>
  <c r="J24" i="3" s="1"/>
  <c r="R23" i="3"/>
  <c r="E27" i="2"/>
  <c r="J27" i="2" s="1"/>
  <c r="R26" i="2"/>
  <c r="R29" i="6"/>
  <c r="E30" i="6"/>
  <c r="J30" i="6" s="1"/>
  <c r="E28" i="2" l="1"/>
  <c r="J28" i="2" s="1"/>
  <c r="R27" i="2"/>
  <c r="R30" i="6"/>
  <c r="E31" i="6"/>
  <c r="J31" i="6" s="1"/>
  <c r="E25" i="3"/>
  <c r="J25" i="3" s="1"/>
  <c r="R24" i="3"/>
  <c r="R31" i="6" l="1"/>
  <c r="E32" i="6"/>
  <c r="J32" i="6" s="1"/>
  <c r="R25" i="3"/>
  <c r="E26" i="3"/>
  <c r="J26" i="3" s="1"/>
  <c r="E29" i="2"/>
  <c r="J29" i="2" s="1"/>
  <c r="R28" i="2"/>
  <c r="E27" i="3" l="1"/>
  <c r="J27" i="3" s="1"/>
  <c r="R26" i="3"/>
  <c r="R32" i="6"/>
  <c r="E33" i="6"/>
  <c r="J33" i="6" s="1"/>
  <c r="E30" i="2"/>
  <c r="J30" i="2" s="1"/>
  <c r="R29" i="2"/>
  <c r="R33" i="6" l="1"/>
  <c r="E34" i="6"/>
  <c r="J34" i="6" s="1"/>
  <c r="E31" i="2"/>
  <c r="J31" i="2" s="1"/>
  <c r="R30" i="2"/>
  <c r="E28" i="3"/>
  <c r="J28" i="3" s="1"/>
  <c r="R27" i="3"/>
  <c r="R34" i="6" l="1"/>
  <c r="E35" i="6"/>
  <c r="J35" i="6" s="1"/>
  <c r="E32" i="2"/>
  <c r="J32" i="2" s="1"/>
  <c r="R31" i="2"/>
  <c r="E29" i="3"/>
  <c r="J29" i="3" s="1"/>
  <c r="R28" i="3"/>
  <c r="R35" i="6" l="1"/>
  <c r="E36" i="6"/>
  <c r="J36" i="6" s="1"/>
  <c r="E33" i="2"/>
  <c r="J33" i="2" s="1"/>
  <c r="R32" i="2"/>
  <c r="E30" i="3"/>
  <c r="J30" i="3" s="1"/>
  <c r="R29" i="3"/>
  <c r="E31" i="3" l="1"/>
  <c r="J31" i="3" s="1"/>
  <c r="R30" i="3"/>
  <c r="E34" i="2"/>
  <c r="J34" i="2" s="1"/>
  <c r="R33" i="2"/>
  <c r="R36" i="6"/>
  <c r="E37" i="6"/>
  <c r="J37" i="6" s="1"/>
  <c r="E35" i="2" l="1"/>
  <c r="J35" i="2" s="1"/>
  <c r="R34" i="2"/>
  <c r="E38" i="6"/>
  <c r="J38" i="6" s="1"/>
  <c r="R37" i="6"/>
  <c r="E32" i="3"/>
  <c r="J32" i="3" s="1"/>
  <c r="R31" i="3"/>
  <c r="E39" i="6" l="1"/>
  <c r="J39" i="6" s="1"/>
  <c r="R38" i="6"/>
  <c r="R32" i="3"/>
  <c r="E33" i="3"/>
  <c r="J33" i="3" s="1"/>
  <c r="E36" i="2"/>
  <c r="J36" i="2" s="1"/>
  <c r="R35" i="2"/>
  <c r="E34" i="3" l="1"/>
  <c r="J34" i="3" s="1"/>
  <c r="R33" i="3"/>
  <c r="E37" i="2"/>
  <c r="J37" i="2" s="1"/>
  <c r="R36" i="2"/>
  <c r="E40" i="6"/>
  <c r="J40" i="6" s="1"/>
  <c r="R39" i="6"/>
  <c r="E38" i="2" l="1"/>
  <c r="J38" i="2" s="1"/>
  <c r="R37" i="2"/>
  <c r="R40" i="6"/>
  <c r="E41" i="6"/>
  <c r="J41" i="6" s="1"/>
  <c r="E35" i="3"/>
  <c r="J35" i="3" s="1"/>
  <c r="R34" i="3"/>
  <c r="E42" i="6" l="1"/>
  <c r="J42" i="6" s="1"/>
  <c r="R41" i="6"/>
  <c r="R35" i="3"/>
  <c r="E36" i="3"/>
  <c r="J36" i="3" s="1"/>
  <c r="E39" i="2"/>
  <c r="J39" i="2" s="1"/>
  <c r="R38" i="2"/>
  <c r="R36" i="3" l="1"/>
  <c r="E37" i="3"/>
  <c r="J37" i="3" s="1"/>
  <c r="E40" i="2"/>
  <c r="J40" i="2" s="1"/>
  <c r="R39" i="2"/>
  <c r="R42" i="6"/>
  <c r="E43" i="6"/>
  <c r="J43" i="6" s="1"/>
  <c r="E44" i="6" l="1"/>
  <c r="J44" i="6" s="1"/>
  <c r="R43" i="6"/>
  <c r="E41" i="2"/>
  <c r="J41" i="2" s="1"/>
  <c r="R40" i="2"/>
  <c r="E38" i="3"/>
  <c r="J38" i="3" s="1"/>
  <c r="R37" i="3"/>
  <c r="E42" i="2" l="1"/>
  <c r="J42" i="2" s="1"/>
  <c r="R41" i="2"/>
  <c r="R38" i="3"/>
  <c r="E39" i="3"/>
  <c r="J39" i="3" s="1"/>
  <c r="R44" i="6"/>
  <c r="E45" i="6"/>
  <c r="J45" i="6" s="1"/>
  <c r="R39" i="3" l="1"/>
  <c r="E40" i="3"/>
  <c r="J40" i="3" s="1"/>
  <c r="E46" i="6"/>
  <c r="J46" i="6" s="1"/>
  <c r="R45" i="6"/>
  <c r="E43" i="2"/>
  <c r="J43" i="2" s="1"/>
  <c r="R42" i="2"/>
  <c r="E41" i="3" l="1"/>
  <c r="J41" i="3" s="1"/>
  <c r="R40" i="3"/>
  <c r="E47" i="6"/>
  <c r="J47" i="6" s="1"/>
  <c r="R46" i="6"/>
  <c r="E44" i="2"/>
  <c r="J44" i="2" s="1"/>
  <c r="R43" i="2"/>
  <c r="E48" i="6" l="1"/>
  <c r="J48" i="6" s="1"/>
  <c r="R47" i="6"/>
  <c r="E45" i="2"/>
  <c r="J45" i="2" s="1"/>
  <c r="R44" i="2"/>
  <c r="R41" i="3"/>
  <c r="E42" i="3"/>
  <c r="J42" i="3" s="1"/>
  <c r="E46" i="2" l="1"/>
  <c r="J46" i="2" s="1"/>
  <c r="R45" i="2"/>
  <c r="R42" i="3"/>
  <c r="E43" i="3"/>
  <c r="J43" i="3" s="1"/>
  <c r="R48" i="6"/>
  <c r="E49" i="6"/>
  <c r="J49" i="6" s="1"/>
  <c r="E44" i="3" l="1"/>
  <c r="J44" i="3" s="1"/>
  <c r="R43" i="3"/>
  <c r="E50" i="6"/>
  <c r="J50" i="6" s="1"/>
  <c r="R49" i="6"/>
  <c r="E47" i="2"/>
  <c r="J47" i="2" s="1"/>
  <c r="R46" i="2"/>
  <c r="E51" i="6" l="1"/>
  <c r="J51" i="6" s="1"/>
  <c r="R50" i="6"/>
  <c r="E48" i="2"/>
  <c r="J48" i="2" s="1"/>
  <c r="R47" i="2"/>
  <c r="R44" i="3"/>
  <c r="E45" i="3"/>
  <c r="J45" i="3" s="1"/>
  <c r="E46" i="3" l="1"/>
  <c r="J46" i="3" s="1"/>
  <c r="R45" i="3"/>
  <c r="E49" i="2"/>
  <c r="J49" i="2" s="1"/>
  <c r="R48" i="2"/>
  <c r="E52" i="6"/>
  <c r="J52" i="6" s="1"/>
  <c r="R51" i="6"/>
  <c r="E50" i="2" l="1"/>
  <c r="J50" i="2" s="1"/>
  <c r="R49" i="2"/>
  <c r="R52" i="6"/>
  <c r="E53" i="6"/>
  <c r="J53" i="6" s="1"/>
  <c r="R46" i="3"/>
  <c r="E47" i="3"/>
  <c r="J47" i="3" s="1"/>
  <c r="E48" i="3" l="1"/>
  <c r="J48" i="3" s="1"/>
  <c r="R47" i="3"/>
  <c r="E54" i="6"/>
  <c r="J54" i="6" s="1"/>
  <c r="R53" i="6"/>
  <c r="E51" i="2"/>
  <c r="J51" i="2" s="1"/>
  <c r="R50" i="2"/>
  <c r="E55" i="6" l="1"/>
  <c r="J55" i="6" s="1"/>
  <c r="R54" i="6"/>
  <c r="E52" i="2"/>
  <c r="J52" i="2" s="1"/>
  <c r="R51" i="2"/>
  <c r="E49" i="3"/>
  <c r="J49" i="3" s="1"/>
  <c r="R48" i="3"/>
  <c r="E53" i="2" l="1"/>
  <c r="J53" i="2" s="1"/>
  <c r="R52" i="2"/>
  <c r="E50" i="3"/>
  <c r="J50" i="3" s="1"/>
  <c r="R49" i="3"/>
  <c r="E56" i="6"/>
  <c r="J56" i="6" s="1"/>
  <c r="R55" i="6"/>
  <c r="E51" i="3" l="1"/>
  <c r="J51" i="3" s="1"/>
  <c r="R50" i="3"/>
  <c r="R56" i="6"/>
  <c r="E57" i="6"/>
  <c r="J57" i="6" s="1"/>
  <c r="E54" i="2"/>
  <c r="J54" i="2" s="1"/>
  <c r="R53" i="2"/>
  <c r="E58" i="6" l="1"/>
  <c r="J58" i="6" s="1"/>
  <c r="R57" i="6"/>
  <c r="E55" i="2"/>
  <c r="J55" i="2" s="1"/>
  <c r="R54" i="2"/>
  <c r="E52" i="3"/>
  <c r="J52" i="3" s="1"/>
  <c r="R51" i="3"/>
  <c r="E56" i="2" l="1"/>
  <c r="J56" i="2" s="1"/>
  <c r="R55" i="2"/>
  <c r="E53" i="3"/>
  <c r="J53" i="3" s="1"/>
  <c r="R52" i="3"/>
  <c r="E59" i="6"/>
  <c r="J59" i="6" s="1"/>
  <c r="R58" i="6"/>
  <c r="E54" i="3" l="1"/>
  <c r="J54" i="3" s="1"/>
  <c r="R53" i="3"/>
  <c r="E60" i="6"/>
  <c r="J60" i="6" s="1"/>
  <c r="R59" i="6"/>
  <c r="E57" i="2"/>
  <c r="J57" i="2" s="1"/>
  <c r="R56" i="2"/>
  <c r="R60" i="6" l="1"/>
  <c r="E61" i="6"/>
  <c r="J61" i="6" s="1"/>
  <c r="E58" i="2"/>
  <c r="J58" i="2" s="1"/>
  <c r="R57" i="2"/>
  <c r="E55" i="3"/>
  <c r="J55" i="3" s="1"/>
  <c r="R54" i="3"/>
  <c r="E62" i="6" l="1"/>
  <c r="J62" i="6" s="1"/>
  <c r="R61" i="6"/>
  <c r="E59" i="2"/>
  <c r="J59" i="2" s="1"/>
  <c r="R58" i="2"/>
  <c r="R55" i="3"/>
  <c r="E56" i="3"/>
  <c r="J56" i="3" s="1"/>
  <c r="E60" i="2" l="1"/>
  <c r="J60" i="2" s="1"/>
  <c r="R59" i="2"/>
  <c r="E57" i="3"/>
  <c r="J57" i="3" s="1"/>
  <c r="R56" i="3"/>
  <c r="E63" i="6"/>
  <c r="J63" i="6" s="1"/>
  <c r="R62" i="6"/>
  <c r="R57" i="3" l="1"/>
  <c r="E58" i="3"/>
  <c r="J58" i="3" s="1"/>
  <c r="E64" i="6"/>
  <c r="J64" i="6" s="1"/>
  <c r="R63" i="6"/>
  <c r="E61" i="2"/>
  <c r="J61" i="2" s="1"/>
  <c r="R60" i="2"/>
  <c r="R64" i="6" l="1"/>
  <c r="E65" i="6"/>
  <c r="J65" i="6" s="1"/>
  <c r="E59" i="3"/>
  <c r="J59" i="3" s="1"/>
  <c r="R58" i="3"/>
  <c r="E62" i="2"/>
  <c r="J62" i="2" s="1"/>
  <c r="R61" i="2"/>
  <c r="E60" i="3" l="1"/>
  <c r="J60" i="3" s="1"/>
  <c r="R59" i="3"/>
  <c r="E66" i="6"/>
  <c r="J66" i="6" s="1"/>
  <c r="R65" i="6"/>
  <c r="E63" i="2"/>
  <c r="J63" i="2" s="1"/>
  <c r="R62" i="2"/>
  <c r="E67" i="6" l="1"/>
  <c r="J67" i="6" s="1"/>
  <c r="R66" i="6"/>
  <c r="E64" i="2"/>
  <c r="J64" i="2" s="1"/>
  <c r="R63" i="2"/>
  <c r="E61" i="3"/>
  <c r="J61" i="3" s="1"/>
  <c r="R60" i="3"/>
  <c r="E65" i="2" l="1"/>
  <c r="J65" i="2" s="1"/>
  <c r="R64" i="2"/>
  <c r="E62" i="3"/>
  <c r="J62" i="3" s="1"/>
  <c r="R61" i="3"/>
  <c r="E68" i="6"/>
  <c r="J68" i="6" s="1"/>
  <c r="R67" i="6"/>
  <c r="E63" i="3" l="1"/>
  <c r="J63" i="3" s="1"/>
  <c r="R62" i="3"/>
  <c r="R68" i="6"/>
  <c r="E69" i="6"/>
  <c r="J69" i="6" s="1"/>
  <c r="E66" i="2"/>
  <c r="J66" i="2" s="1"/>
  <c r="R65" i="2"/>
  <c r="E70" i="6" l="1"/>
  <c r="J70" i="6" s="1"/>
  <c r="R69" i="6"/>
  <c r="E67" i="2"/>
  <c r="J67" i="2" s="1"/>
  <c r="R66" i="2"/>
  <c r="E64" i="3"/>
  <c r="J64" i="3" s="1"/>
  <c r="R63" i="3"/>
  <c r="E68" i="2" l="1"/>
  <c r="J68" i="2" s="1"/>
  <c r="R67" i="2"/>
  <c r="R64" i="3"/>
  <c r="E65" i="3"/>
  <c r="J65" i="3" s="1"/>
  <c r="R70" i="6"/>
  <c r="E71" i="6"/>
  <c r="J71" i="6" s="1"/>
  <c r="E66" i="3" l="1"/>
  <c r="J66" i="3" s="1"/>
  <c r="R65" i="3"/>
  <c r="E72" i="6"/>
  <c r="J72" i="6" s="1"/>
  <c r="R71" i="6"/>
  <c r="E69" i="2"/>
  <c r="J69" i="2" s="1"/>
  <c r="R68" i="2"/>
  <c r="R72" i="6" l="1"/>
  <c r="E73" i="6"/>
  <c r="J73" i="6" s="1"/>
  <c r="E70" i="2"/>
  <c r="J70" i="2" s="1"/>
  <c r="R69" i="2"/>
  <c r="E67" i="3"/>
  <c r="J67" i="3" s="1"/>
  <c r="R66" i="3"/>
  <c r="E71" i="2" l="1"/>
  <c r="J71" i="2" s="1"/>
  <c r="R70" i="2"/>
  <c r="E74" i="6"/>
  <c r="J74" i="6" s="1"/>
  <c r="R73" i="6"/>
  <c r="E68" i="3"/>
  <c r="J68" i="3" s="1"/>
  <c r="R67" i="3"/>
  <c r="R74" i="6" l="1"/>
  <c r="E75" i="6"/>
  <c r="J75" i="6" s="1"/>
  <c r="R68" i="3"/>
  <c r="E69" i="3"/>
  <c r="J69" i="3" s="1"/>
  <c r="E72" i="2"/>
  <c r="J72" i="2" s="1"/>
  <c r="R71" i="2"/>
  <c r="R69" i="3" l="1"/>
  <c r="E70" i="3"/>
  <c r="J70" i="3" s="1"/>
  <c r="E76" i="6"/>
  <c r="J76" i="6" s="1"/>
  <c r="R75" i="6"/>
  <c r="E73" i="2"/>
  <c r="J73" i="2" s="1"/>
  <c r="R72" i="2"/>
  <c r="R76" i="6" l="1"/>
  <c r="E77" i="6"/>
  <c r="J77" i="6" s="1"/>
  <c r="E71" i="3"/>
  <c r="J71" i="3" s="1"/>
  <c r="R70" i="3"/>
  <c r="E74" i="2"/>
  <c r="J74" i="2" s="1"/>
  <c r="R73" i="2"/>
  <c r="E78" i="6" l="1"/>
  <c r="J78" i="6" s="1"/>
  <c r="R77" i="6"/>
  <c r="E72" i="3"/>
  <c r="J72" i="3" s="1"/>
  <c r="R71" i="3"/>
  <c r="E75" i="2"/>
  <c r="J75" i="2" s="1"/>
  <c r="R74" i="2"/>
  <c r="E73" i="3" l="1"/>
  <c r="J73" i="3" s="1"/>
  <c r="R72" i="3"/>
  <c r="E76" i="2"/>
  <c r="J76" i="2" s="1"/>
  <c r="R75" i="2"/>
  <c r="R78" i="6"/>
  <c r="E79" i="6"/>
  <c r="J79" i="6" s="1"/>
  <c r="E77" i="2" l="1"/>
  <c r="J77" i="2" s="1"/>
  <c r="R76" i="2"/>
  <c r="E80" i="6"/>
  <c r="J80" i="6" s="1"/>
  <c r="R79" i="6"/>
  <c r="R73" i="3"/>
  <c r="E74" i="3"/>
  <c r="J74" i="3" s="1"/>
  <c r="R80" i="6" l="1"/>
  <c r="E81" i="6"/>
  <c r="J81" i="6" s="1"/>
  <c r="E75" i="3"/>
  <c r="J75" i="3" s="1"/>
  <c r="R74" i="3"/>
  <c r="E78" i="2"/>
  <c r="J78" i="2" s="1"/>
  <c r="R77" i="2"/>
  <c r="R75" i="3" l="1"/>
  <c r="E76" i="3"/>
  <c r="J76" i="3" s="1"/>
  <c r="E82" i="6"/>
  <c r="J82" i="6" s="1"/>
  <c r="R81" i="6"/>
  <c r="E79" i="2"/>
  <c r="J79" i="2" s="1"/>
  <c r="R78" i="2"/>
  <c r="R76" i="3" l="1"/>
  <c r="E77" i="3"/>
  <c r="J77" i="3" s="1"/>
  <c r="R82" i="6"/>
  <c r="E83" i="6"/>
  <c r="J83" i="6" s="1"/>
  <c r="E80" i="2"/>
  <c r="J80" i="2" s="1"/>
  <c r="R79" i="2"/>
  <c r="E84" i="6" l="1"/>
  <c r="J84" i="6" s="1"/>
  <c r="R83" i="6"/>
  <c r="E78" i="3"/>
  <c r="J78" i="3" s="1"/>
  <c r="R77" i="3"/>
  <c r="E81" i="2"/>
  <c r="J81" i="2" s="1"/>
  <c r="R80" i="2"/>
  <c r="R78" i="3" l="1"/>
  <c r="E79" i="3"/>
  <c r="J79" i="3" s="1"/>
  <c r="E82" i="2"/>
  <c r="J82" i="2" s="1"/>
  <c r="R81" i="2"/>
  <c r="R84" i="6"/>
  <c r="E85" i="6"/>
  <c r="J85" i="6" s="1"/>
  <c r="E83" i="2" l="1"/>
  <c r="J83" i="2" s="1"/>
  <c r="R82" i="2"/>
  <c r="E86" i="6"/>
  <c r="J86" i="6" s="1"/>
  <c r="R85" i="6"/>
  <c r="R79" i="3"/>
  <c r="E80" i="3"/>
  <c r="J80" i="3" s="1"/>
  <c r="E87" i="6" l="1"/>
  <c r="J87" i="6" s="1"/>
  <c r="R86" i="6"/>
  <c r="E81" i="3"/>
  <c r="J81" i="3" s="1"/>
  <c r="R80" i="3"/>
  <c r="E84" i="2"/>
  <c r="J84" i="2" s="1"/>
  <c r="R83" i="2"/>
  <c r="E82" i="3" l="1"/>
  <c r="J82" i="3" s="1"/>
  <c r="R81" i="3"/>
  <c r="E85" i="2"/>
  <c r="J85" i="2" s="1"/>
  <c r="R84" i="2"/>
  <c r="E88" i="6"/>
  <c r="J88" i="6" s="1"/>
  <c r="R87" i="6"/>
  <c r="E86" i="2" l="1"/>
  <c r="J86" i="2" s="1"/>
  <c r="R85" i="2"/>
  <c r="R88" i="6"/>
  <c r="E89" i="6"/>
  <c r="J89" i="6" s="1"/>
  <c r="E83" i="3"/>
  <c r="J83" i="3" s="1"/>
  <c r="R82" i="3"/>
  <c r="E90" i="6" l="1"/>
  <c r="J90" i="6" s="1"/>
  <c r="R89" i="6"/>
  <c r="R83" i="3"/>
  <c r="E84" i="3"/>
  <c r="J84" i="3" s="1"/>
  <c r="E87" i="2"/>
  <c r="J87" i="2" s="1"/>
  <c r="R86" i="2"/>
  <c r="E85" i="3" l="1"/>
  <c r="J85" i="3" s="1"/>
  <c r="R84" i="3"/>
  <c r="E88" i="2"/>
  <c r="J88" i="2" s="1"/>
  <c r="R87" i="2"/>
  <c r="E91" i="6"/>
  <c r="J91" i="6" s="1"/>
  <c r="R90" i="6"/>
  <c r="E89" i="2" l="1"/>
  <c r="J89" i="2" s="1"/>
  <c r="R88" i="2"/>
  <c r="E92" i="6"/>
  <c r="J92" i="6" s="1"/>
  <c r="R91" i="6"/>
  <c r="R85" i="3"/>
  <c r="E86" i="3"/>
  <c r="J86" i="3" s="1"/>
  <c r="R92" i="6" l="1"/>
  <c r="E93" i="6"/>
  <c r="J93" i="6" s="1"/>
  <c r="E87" i="3"/>
  <c r="J87" i="3" s="1"/>
  <c r="R86" i="3"/>
  <c r="E90" i="2"/>
  <c r="J90" i="2" s="1"/>
  <c r="R89" i="2"/>
  <c r="E94" i="6" l="1"/>
  <c r="J94" i="6" s="1"/>
  <c r="R93" i="6"/>
  <c r="E91" i="2"/>
  <c r="J91" i="2" s="1"/>
  <c r="R90" i="2"/>
  <c r="E88" i="3"/>
  <c r="J88" i="3" s="1"/>
  <c r="R87" i="3"/>
  <c r="E89" i="3" l="1"/>
  <c r="J89" i="3" s="1"/>
  <c r="R88" i="3"/>
  <c r="E95" i="6"/>
  <c r="J95" i="6" s="1"/>
  <c r="R94" i="6"/>
  <c r="E92" i="2"/>
  <c r="J92" i="2" s="1"/>
  <c r="R91" i="2"/>
  <c r="E93" i="2" l="1"/>
  <c r="J93" i="2" s="1"/>
  <c r="R92" i="2"/>
  <c r="E90" i="3"/>
  <c r="J90" i="3" s="1"/>
  <c r="R89" i="3"/>
  <c r="E96" i="6"/>
  <c r="J96" i="6" s="1"/>
  <c r="R95" i="6"/>
  <c r="R90" i="3" l="1"/>
  <c r="E91" i="3"/>
  <c r="J91" i="3" s="1"/>
  <c r="R96" i="6"/>
  <c r="E97" i="6"/>
  <c r="J97" i="6" s="1"/>
  <c r="E94" i="2"/>
  <c r="J94" i="2" s="1"/>
  <c r="R93" i="2"/>
  <c r="E98" i="6" l="1"/>
  <c r="J98" i="6" s="1"/>
  <c r="R97" i="6"/>
  <c r="E92" i="3"/>
  <c r="J92" i="3" s="1"/>
  <c r="R91" i="3"/>
  <c r="E95" i="2"/>
  <c r="J95" i="2" s="1"/>
  <c r="R94" i="2"/>
  <c r="E93" i="3" l="1"/>
  <c r="J93" i="3" s="1"/>
  <c r="R92" i="3"/>
  <c r="E96" i="2"/>
  <c r="J96" i="2" s="1"/>
  <c r="R95" i="2"/>
  <c r="E99" i="6"/>
  <c r="J99" i="6" s="1"/>
  <c r="R98" i="6"/>
  <c r="E94" i="3" l="1"/>
  <c r="J94" i="3" s="1"/>
  <c r="R93" i="3"/>
  <c r="E100" i="6"/>
  <c r="J100" i="6" s="1"/>
  <c r="R99" i="6"/>
  <c r="E97" i="2"/>
  <c r="J97" i="2" s="1"/>
  <c r="R96" i="2"/>
  <c r="R100" i="6" l="1"/>
  <c r="E101" i="6"/>
  <c r="J101" i="6" s="1"/>
  <c r="E98" i="2"/>
  <c r="J98" i="2" s="1"/>
  <c r="R97" i="2"/>
  <c r="E95" i="3"/>
  <c r="J95" i="3" s="1"/>
  <c r="R94" i="3"/>
  <c r="E102" i="6" l="1"/>
  <c r="J102" i="6" s="1"/>
  <c r="R101" i="6"/>
  <c r="E99" i="2"/>
  <c r="J99" i="2" s="1"/>
  <c r="R98" i="2"/>
  <c r="E96" i="3"/>
  <c r="J96" i="3" s="1"/>
  <c r="R95" i="3"/>
  <c r="E100" i="2" l="1"/>
  <c r="J100" i="2" s="1"/>
  <c r="R99" i="2"/>
  <c r="R96" i="3"/>
  <c r="E97" i="3"/>
  <c r="J97" i="3" s="1"/>
  <c r="E103" i="6"/>
  <c r="J103" i="6" s="1"/>
  <c r="R102" i="6"/>
  <c r="R97" i="3" l="1"/>
  <c r="E98" i="3"/>
  <c r="J98" i="3" s="1"/>
  <c r="E104" i="6"/>
  <c r="J104" i="6" s="1"/>
  <c r="R103" i="6"/>
  <c r="E101" i="2"/>
  <c r="J101" i="2" s="1"/>
  <c r="R100" i="2"/>
  <c r="E99" i="3" l="1"/>
  <c r="J99" i="3" s="1"/>
  <c r="R98" i="3"/>
  <c r="R104" i="6"/>
  <c r="E105" i="6"/>
  <c r="J105" i="6" s="1"/>
  <c r="E102" i="2"/>
  <c r="J102" i="2" s="1"/>
  <c r="R101" i="2"/>
  <c r="R105" i="6" l="1"/>
  <c r="E106" i="6"/>
  <c r="J106" i="6" s="1"/>
  <c r="E103" i="2"/>
  <c r="J103" i="2" s="1"/>
  <c r="R102" i="2"/>
  <c r="R99" i="3"/>
  <c r="E100" i="3"/>
  <c r="J100" i="3" s="1"/>
  <c r="E104" i="2" l="1"/>
  <c r="J104" i="2" s="1"/>
  <c r="R103" i="2"/>
  <c r="E107" i="6"/>
  <c r="J107" i="6" s="1"/>
  <c r="R106" i="6"/>
  <c r="E101" i="3"/>
  <c r="J101" i="3" s="1"/>
  <c r="R100" i="3"/>
  <c r="E108" i="6" l="1"/>
  <c r="J108" i="6" s="1"/>
  <c r="R107" i="6"/>
  <c r="E102" i="3"/>
  <c r="J102" i="3" s="1"/>
  <c r="R101" i="3"/>
  <c r="E105" i="2"/>
  <c r="J105" i="2" s="1"/>
  <c r="R104" i="2"/>
  <c r="E103" i="3" l="1"/>
  <c r="J103" i="3" s="1"/>
  <c r="R102" i="3"/>
  <c r="E106" i="2"/>
  <c r="J106" i="2" s="1"/>
  <c r="R105" i="2"/>
  <c r="R108" i="6"/>
  <c r="E109" i="6"/>
  <c r="J109" i="6" s="1"/>
  <c r="E107" i="2" l="1"/>
  <c r="J107" i="2" s="1"/>
  <c r="R106" i="2"/>
  <c r="E110" i="6"/>
  <c r="J110" i="6" s="1"/>
  <c r="R109" i="6"/>
  <c r="E104" i="3"/>
  <c r="J104" i="3" s="1"/>
  <c r="R103" i="3"/>
  <c r="E111" i="6" l="1"/>
  <c r="J111" i="6" s="1"/>
  <c r="R110" i="6"/>
  <c r="E105" i="3"/>
  <c r="J105" i="3" s="1"/>
  <c r="R104" i="3"/>
  <c r="E108" i="2"/>
  <c r="J108" i="2" s="1"/>
  <c r="R107" i="2"/>
  <c r="E106" i="3" l="1"/>
  <c r="J106" i="3" s="1"/>
  <c r="R105" i="3"/>
  <c r="E109" i="2"/>
  <c r="J109" i="2" s="1"/>
  <c r="R108" i="2"/>
  <c r="E112" i="6"/>
  <c r="J112" i="6" s="1"/>
  <c r="R111" i="6"/>
  <c r="E110" i="2" l="1"/>
  <c r="J110" i="2" s="1"/>
  <c r="R109" i="2"/>
  <c r="E113" i="6"/>
  <c r="J113" i="6" s="1"/>
  <c r="R112" i="6"/>
  <c r="E107" i="3"/>
  <c r="J107" i="3" s="1"/>
  <c r="R106" i="3"/>
  <c r="E114" i="6" l="1"/>
  <c r="J114" i="6" s="1"/>
  <c r="R113" i="6"/>
  <c r="E108" i="3"/>
  <c r="J108" i="3" s="1"/>
  <c r="R107" i="3"/>
  <c r="E111" i="2"/>
  <c r="J111" i="2" s="1"/>
  <c r="R110" i="2"/>
  <c r="E109" i="3" l="1"/>
  <c r="J109" i="3" s="1"/>
  <c r="R108" i="3"/>
  <c r="E112" i="2"/>
  <c r="J112" i="2" s="1"/>
  <c r="R111" i="2"/>
  <c r="R114" i="6"/>
  <c r="E115" i="6"/>
  <c r="J115" i="6" s="1"/>
  <c r="E116" i="6" l="1"/>
  <c r="J116" i="6" s="1"/>
  <c r="R115" i="6"/>
  <c r="E113" i="2"/>
  <c r="J113" i="2" s="1"/>
  <c r="R112" i="2"/>
  <c r="E110" i="3"/>
  <c r="J110" i="3" s="1"/>
  <c r="R109" i="3"/>
  <c r="E114" i="2" l="1"/>
  <c r="J114" i="2" s="1"/>
  <c r="R113" i="2"/>
  <c r="E111" i="3"/>
  <c r="J111" i="3" s="1"/>
  <c r="R110" i="3"/>
  <c r="E117" i="6"/>
  <c r="J117" i="6" s="1"/>
  <c r="R116" i="6"/>
  <c r="E112" i="3" l="1"/>
  <c r="J112" i="3" s="1"/>
  <c r="R111" i="3"/>
  <c r="E118" i="6"/>
  <c r="J118" i="6" s="1"/>
  <c r="R117" i="6"/>
  <c r="E115" i="2"/>
  <c r="J115" i="2" s="1"/>
  <c r="R114" i="2"/>
  <c r="R118" i="6" l="1"/>
  <c r="E119" i="6"/>
  <c r="J119" i="6" s="1"/>
  <c r="E116" i="2"/>
  <c r="J116" i="2" s="1"/>
  <c r="R115" i="2"/>
  <c r="E113" i="3"/>
  <c r="J113" i="3" s="1"/>
  <c r="R112" i="3"/>
  <c r="E117" i="2" l="1"/>
  <c r="J117" i="2" s="1"/>
  <c r="R116" i="2"/>
  <c r="E120" i="6"/>
  <c r="J120" i="6" s="1"/>
  <c r="R119" i="6"/>
  <c r="R113" i="3"/>
  <c r="E114" i="3"/>
  <c r="J114" i="3" s="1"/>
  <c r="R114" i="3" l="1"/>
  <c r="E115" i="3"/>
  <c r="J115" i="3" s="1"/>
  <c r="E121" i="6"/>
  <c r="J121" i="6" s="1"/>
  <c r="R120" i="6"/>
  <c r="E118" i="2"/>
  <c r="J118" i="2" s="1"/>
  <c r="R117" i="2"/>
  <c r="E116" i="3" l="1"/>
  <c r="J116" i="3" s="1"/>
  <c r="R115" i="3"/>
  <c r="E122" i="6"/>
  <c r="J122" i="6" s="1"/>
  <c r="R121" i="6"/>
  <c r="E119" i="2"/>
  <c r="J119" i="2" s="1"/>
  <c r="R118" i="2"/>
  <c r="R122" i="6" l="1"/>
  <c r="E123" i="6"/>
  <c r="J123" i="6" s="1"/>
  <c r="E120" i="2"/>
  <c r="J120" i="2" s="1"/>
  <c r="R119" i="2"/>
  <c r="E117" i="3"/>
  <c r="J117" i="3" s="1"/>
  <c r="R116" i="3"/>
  <c r="E124" i="6" l="1"/>
  <c r="J124" i="6" s="1"/>
  <c r="R123" i="6"/>
  <c r="E121" i="2"/>
  <c r="J121" i="2" s="1"/>
  <c r="R120" i="2"/>
  <c r="E118" i="3"/>
  <c r="J118" i="3" s="1"/>
  <c r="R117" i="3"/>
  <c r="E122" i="2" l="1"/>
  <c r="J122" i="2" s="1"/>
  <c r="R121" i="2"/>
  <c r="E119" i="3"/>
  <c r="J119" i="3" s="1"/>
  <c r="R118" i="3"/>
  <c r="E125" i="6"/>
  <c r="J125" i="6" s="1"/>
  <c r="R124" i="6"/>
  <c r="R119" i="3" l="1"/>
  <c r="E120" i="3"/>
  <c r="J120" i="3" s="1"/>
  <c r="E126" i="6"/>
  <c r="J126" i="6" s="1"/>
  <c r="R125" i="6"/>
  <c r="E123" i="2"/>
  <c r="J123" i="2" s="1"/>
  <c r="R122" i="2"/>
  <c r="E121" i="3" l="1"/>
  <c r="J121" i="3" s="1"/>
  <c r="R120" i="3"/>
  <c r="R126" i="6"/>
  <c r="E127" i="6"/>
  <c r="J127" i="6" s="1"/>
  <c r="E124" i="2"/>
  <c r="J124" i="2" s="1"/>
  <c r="R123" i="2"/>
  <c r="E128" i="6" l="1"/>
  <c r="J128" i="6" s="1"/>
  <c r="R127" i="6"/>
  <c r="E125" i="2"/>
  <c r="J125" i="2" s="1"/>
  <c r="R124" i="2"/>
  <c r="E122" i="3"/>
  <c r="J122" i="3" s="1"/>
  <c r="R121" i="3"/>
  <c r="E126" i="2" l="1"/>
  <c r="J126" i="2" s="1"/>
  <c r="R125" i="2"/>
  <c r="E123" i="3"/>
  <c r="J123" i="3" s="1"/>
  <c r="R122" i="3"/>
  <c r="E129" i="6"/>
  <c r="J129" i="6" s="1"/>
  <c r="R128" i="6"/>
  <c r="R123" i="3" l="1"/>
  <c r="E124" i="3"/>
  <c r="J124" i="3" s="1"/>
  <c r="E130" i="6"/>
  <c r="J130" i="6" s="1"/>
  <c r="R129" i="6"/>
  <c r="E127" i="2"/>
  <c r="J127" i="2" s="1"/>
  <c r="R126" i="2"/>
  <c r="E125" i="3" l="1"/>
  <c r="J125" i="3" s="1"/>
  <c r="R124" i="3"/>
  <c r="R130" i="6"/>
  <c r="E131" i="6"/>
  <c r="J131" i="6" s="1"/>
  <c r="E128" i="2"/>
  <c r="J128" i="2" s="1"/>
  <c r="R127" i="2"/>
  <c r="E132" i="6" l="1"/>
  <c r="J132" i="6" s="1"/>
  <c r="R131" i="6"/>
  <c r="E129" i="2"/>
  <c r="J129" i="2" s="1"/>
  <c r="R128" i="2"/>
  <c r="E126" i="3"/>
  <c r="J126" i="3" s="1"/>
  <c r="R125" i="3"/>
  <c r="E130" i="2" l="1"/>
  <c r="J130" i="2" s="1"/>
  <c r="R129" i="2"/>
  <c r="E127" i="3"/>
  <c r="J127" i="3" s="1"/>
  <c r="R126" i="3"/>
  <c r="E133" i="6"/>
  <c r="J133" i="6" s="1"/>
  <c r="R132" i="6"/>
  <c r="E128" i="3" l="1"/>
  <c r="J128" i="3" s="1"/>
  <c r="R127" i="3"/>
  <c r="E134" i="6"/>
  <c r="J134" i="6" s="1"/>
  <c r="R133" i="6"/>
  <c r="E131" i="2"/>
  <c r="J131" i="2" s="1"/>
  <c r="R130" i="2"/>
  <c r="R134" i="6" l="1"/>
  <c r="E135" i="6"/>
  <c r="J135" i="6" s="1"/>
  <c r="E132" i="2"/>
  <c r="J132" i="2" s="1"/>
  <c r="R131" i="2"/>
  <c r="R128" i="3"/>
  <c r="E129" i="3"/>
  <c r="J129" i="3" s="1"/>
  <c r="E130" i="3" l="1"/>
  <c r="J130" i="3" s="1"/>
  <c r="R129" i="3"/>
  <c r="E133" i="2"/>
  <c r="J133" i="2" s="1"/>
  <c r="R132" i="2"/>
  <c r="E136" i="6"/>
  <c r="J136" i="6" s="1"/>
  <c r="R135" i="6"/>
  <c r="E134" i="2" l="1"/>
  <c r="J134" i="2" s="1"/>
  <c r="R133" i="2"/>
  <c r="E137" i="6"/>
  <c r="J137" i="6" s="1"/>
  <c r="R136" i="6"/>
  <c r="E131" i="3"/>
  <c r="J131" i="3" s="1"/>
  <c r="R130" i="3"/>
  <c r="R137" i="6" l="1"/>
  <c r="E138" i="6"/>
  <c r="J138" i="6" s="1"/>
  <c r="E132" i="3"/>
  <c r="J132" i="3" s="1"/>
  <c r="R131" i="3"/>
  <c r="E135" i="2"/>
  <c r="J135" i="2" s="1"/>
  <c r="R134" i="2"/>
  <c r="E139" i="6" l="1"/>
  <c r="J139" i="6" s="1"/>
  <c r="R138" i="6"/>
  <c r="R132" i="3"/>
  <c r="E133" i="3"/>
  <c r="J133" i="3" s="1"/>
  <c r="E136" i="2"/>
  <c r="J136" i="2" s="1"/>
  <c r="R135" i="2"/>
  <c r="E134" i="3" l="1"/>
  <c r="J134" i="3" s="1"/>
  <c r="R133" i="3"/>
  <c r="E137" i="2"/>
  <c r="J137" i="2" s="1"/>
  <c r="R136" i="2"/>
  <c r="E140" i="6"/>
  <c r="J140" i="6" s="1"/>
  <c r="R139" i="6"/>
  <c r="E138" i="2" l="1"/>
  <c r="J138" i="2" s="1"/>
  <c r="R137" i="2"/>
  <c r="E141" i="6"/>
  <c r="J141" i="6" s="1"/>
  <c r="R140" i="6"/>
  <c r="E135" i="3"/>
  <c r="J135" i="3" s="1"/>
  <c r="R134" i="3"/>
  <c r="R141" i="6" l="1"/>
  <c r="E142" i="6"/>
  <c r="J142" i="6" s="1"/>
  <c r="E136" i="3"/>
  <c r="J136" i="3" s="1"/>
  <c r="R135" i="3"/>
  <c r="E139" i="2"/>
  <c r="J139" i="2" s="1"/>
  <c r="R138" i="2"/>
  <c r="E137" i="3" l="1"/>
  <c r="J137" i="3" s="1"/>
  <c r="R136" i="3"/>
  <c r="E143" i="6"/>
  <c r="J143" i="6" s="1"/>
  <c r="R142" i="6"/>
  <c r="E140" i="2"/>
  <c r="J140" i="2" s="1"/>
  <c r="R139" i="2"/>
  <c r="E144" i="6" l="1"/>
  <c r="J144" i="6" s="1"/>
  <c r="R143" i="6"/>
  <c r="E141" i="2"/>
  <c r="J141" i="2" s="1"/>
  <c r="R140" i="2"/>
  <c r="E138" i="3"/>
  <c r="J138" i="3" s="1"/>
  <c r="R137" i="3"/>
  <c r="E142" i="2" l="1"/>
  <c r="J142" i="2" s="1"/>
  <c r="R141" i="2"/>
  <c r="E139" i="3"/>
  <c r="J139" i="3" s="1"/>
  <c r="R138" i="3"/>
  <c r="E145" i="6"/>
  <c r="J145" i="6" s="1"/>
  <c r="R144" i="6"/>
  <c r="E140" i="3" l="1"/>
  <c r="J140" i="3" s="1"/>
  <c r="R139" i="3"/>
  <c r="R145" i="6"/>
  <c r="E146" i="6"/>
  <c r="J146" i="6" s="1"/>
  <c r="E143" i="2"/>
  <c r="J143" i="2" s="1"/>
  <c r="R142" i="2"/>
  <c r="E147" i="6" l="1"/>
  <c r="J147" i="6" s="1"/>
  <c r="R146" i="6"/>
  <c r="E144" i="2"/>
  <c r="J144" i="2" s="1"/>
  <c r="R143" i="2"/>
  <c r="E141" i="3"/>
  <c r="J141" i="3" s="1"/>
  <c r="R140" i="3"/>
  <c r="E145" i="2" l="1"/>
  <c r="J145" i="2" s="1"/>
  <c r="R144" i="2"/>
  <c r="E142" i="3"/>
  <c r="J142" i="3" s="1"/>
  <c r="R141" i="3"/>
  <c r="R147" i="6"/>
  <c r="E148" i="6"/>
  <c r="J148" i="6" s="1"/>
  <c r="E143" i="3" l="1"/>
  <c r="J143" i="3" s="1"/>
  <c r="R142" i="3"/>
  <c r="E149" i="6"/>
  <c r="J149" i="6" s="1"/>
  <c r="R148" i="6"/>
  <c r="E146" i="2"/>
  <c r="J146" i="2" s="1"/>
  <c r="R145" i="2"/>
  <c r="R149" i="6" l="1"/>
  <c r="E150" i="6"/>
  <c r="J150" i="6" s="1"/>
  <c r="E147" i="2"/>
  <c r="J147" i="2" s="1"/>
  <c r="R146" i="2"/>
  <c r="E144" i="3"/>
  <c r="J144" i="3" s="1"/>
  <c r="R143" i="3"/>
  <c r="E148" i="2" l="1"/>
  <c r="J148" i="2" s="1"/>
  <c r="R147" i="2"/>
  <c r="E151" i="6"/>
  <c r="J151" i="6" s="1"/>
  <c r="R150" i="6"/>
  <c r="E145" i="3"/>
  <c r="J145" i="3" s="1"/>
  <c r="R144" i="3"/>
  <c r="R151" i="6" l="1"/>
  <c r="E152" i="6"/>
  <c r="J152" i="6" s="1"/>
  <c r="E146" i="3"/>
  <c r="J146" i="3" s="1"/>
  <c r="R145" i="3"/>
  <c r="E149" i="2"/>
  <c r="J149" i="2" s="1"/>
  <c r="R148" i="2"/>
  <c r="E147" i="3" l="1"/>
  <c r="J147" i="3" s="1"/>
  <c r="R146" i="3"/>
  <c r="E153" i="6"/>
  <c r="J153" i="6" s="1"/>
  <c r="R152" i="6"/>
  <c r="E150" i="2"/>
  <c r="J150" i="2" s="1"/>
  <c r="R149" i="2"/>
  <c r="R153" i="6" l="1"/>
  <c r="E154" i="6"/>
  <c r="J154" i="6" s="1"/>
  <c r="E151" i="2"/>
  <c r="J151" i="2" s="1"/>
  <c r="R150" i="2"/>
  <c r="E148" i="3"/>
  <c r="J148" i="3" s="1"/>
  <c r="R147" i="3"/>
  <c r="E155" i="6" l="1"/>
  <c r="J155" i="6" s="1"/>
  <c r="R154" i="6"/>
  <c r="E152" i="2"/>
  <c r="J152" i="2" s="1"/>
  <c r="R151" i="2"/>
  <c r="E149" i="3"/>
  <c r="J149" i="3" s="1"/>
  <c r="R148" i="3"/>
  <c r="E153" i="2" l="1"/>
  <c r="J153" i="2" s="1"/>
  <c r="R152" i="2"/>
  <c r="E150" i="3"/>
  <c r="J150" i="3" s="1"/>
  <c r="R149" i="3"/>
  <c r="R155" i="6"/>
  <c r="E156" i="6"/>
  <c r="J156" i="6" s="1"/>
  <c r="E157" i="6" l="1"/>
  <c r="J157" i="6" s="1"/>
  <c r="R156" i="6"/>
  <c r="E151" i="3"/>
  <c r="J151" i="3" s="1"/>
  <c r="R150" i="3"/>
  <c r="E154" i="2"/>
  <c r="J154" i="2" s="1"/>
  <c r="R153" i="2"/>
  <c r="E152" i="3" l="1"/>
  <c r="J152" i="3" s="1"/>
  <c r="R151" i="3"/>
  <c r="E155" i="2"/>
  <c r="J155" i="2" s="1"/>
  <c r="R154" i="2"/>
  <c r="R157" i="6"/>
  <c r="E158" i="6"/>
  <c r="J158" i="6" s="1"/>
  <c r="E159" i="6" l="1"/>
  <c r="J159" i="6" s="1"/>
  <c r="R158" i="6"/>
  <c r="E156" i="2"/>
  <c r="J156" i="2" s="1"/>
  <c r="R155" i="2"/>
  <c r="E153" i="3"/>
  <c r="J153" i="3" s="1"/>
  <c r="R152" i="3"/>
  <c r="E157" i="2" l="1"/>
  <c r="J157" i="2" s="1"/>
  <c r="R156" i="2"/>
  <c r="R153" i="3"/>
  <c r="E154" i="3"/>
  <c r="J154" i="3" s="1"/>
  <c r="E160" i="6"/>
  <c r="J160" i="6" s="1"/>
  <c r="R159" i="6"/>
  <c r="R154" i="3" l="1"/>
  <c r="E155" i="3"/>
  <c r="J155" i="3" s="1"/>
  <c r="E161" i="6"/>
  <c r="J161" i="6" s="1"/>
  <c r="R160" i="6"/>
  <c r="E158" i="2"/>
  <c r="J158" i="2" s="1"/>
  <c r="R157" i="2"/>
  <c r="E156" i="3" l="1"/>
  <c r="J156" i="3" s="1"/>
  <c r="R155" i="3"/>
  <c r="R161" i="6"/>
  <c r="E162" i="6"/>
  <c r="J162" i="6" s="1"/>
  <c r="E159" i="2"/>
  <c r="J159" i="2" s="1"/>
  <c r="R158" i="2"/>
  <c r="E163" i="6" l="1"/>
  <c r="J163" i="6" s="1"/>
  <c r="R162" i="6"/>
  <c r="E160" i="2"/>
  <c r="J160" i="2" s="1"/>
  <c r="R159" i="2"/>
  <c r="R156" i="3"/>
  <c r="E157" i="3"/>
  <c r="J157" i="3" s="1"/>
  <c r="E161" i="2" l="1"/>
  <c r="J161" i="2" s="1"/>
  <c r="R160" i="2"/>
  <c r="E158" i="3"/>
  <c r="J158" i="3" s="1"/>
  <c r="R157" i="3"/>
  <c r="E164" i="6"/>
  <c r="J164" i="6" s="1"/>
  <c r="R163" i="6"/>
  <c r="E159" i="3" l="1"/>
  <c r="J159" i="3" s="1"/>
  <c r="R158" i="3"/>
  <c r="E165" i="6"/>
  <c r="J165" i="6" s="1"/>
  <c r="R164" i="6"/>
  <c r="E162" i="2"/>
  <c r="J162" i="2" s="1"/>
  <c r="R161" i="2"/>
  <c r="E166" i="6" l="1"/>
  <c r="J166" i="6" s="1"/>
  <c r="R165" i="6"/>
  <c r="E163" i="2"/>
  <c r="J163" i="2" s="1"/>
  <c r="R162" i="2"/>
  <c r="R159" i="3"/>
  <c r="E160" i="3"/>
  <c r="J160" i="3" s="1"/>
  <c r="E161" i="3" l="1"/>
  <c r="J161" i="3" s="1"/>
  <c r="R160" i="3"/>
  <c r="E164" i="2"/>
  <c r="J164" i="2" s="1"/>
  <c r="R163" i="2"/>
  <c r="E167" i="6"/>
  <c r="J167" i="6" s="1"/>
  <c r="R166" i="6"/>
  <c r="E165" i="2" l="1"/>
  <c r="J165" i="2" s="1"/>
  <c r="R164" i="2"/>
  <c r="E168" i="6"/>
  <c r="J168" i="6" s="1"/>
  <c r="R167" i="6"/>
  <c r="R161" i="3"/>
  <c r="E162" i="3"/>
  <c r="J162" i="3" s="1"/>
  <c r="E163" i="3" l="1"/>
  <c r="J163" i="3" s="1"/>
  <c r="R162" i="3"/>
  <c r="R168" i="6"/>
  <c r="E169" i="6"/>
  <c r="J169" i="6" s="1"/>
  <c r="E166" i="2"/>
  <c r="J166" i="2" s="1"/>
  <c r="R165" i="2"/>
  <c r="E170" i="6" l="1"/>
  <c r="J170" i="6" s="1"/>
  <c r="R169" i="6"/>
  <c r="E167" i="2"/>
  <c r="J167" i="2" s="1"/>
  <c r="R166" i="2"/>
  <c r="E164" i="3"/>
  <c r="J164" i="3" s="1"/>
  <c r="R163" i="3"/>
  <c r="E168" i="2" l="1"/>
  <c r="J168" i="2" s="1"/>
  <c r="R167" i="2"/>
  <c r="E165" i="3"/>
  <c r="J165" i="3" s="1"/>
  <c r="R164" i="3"/>
  <c r="E171" i="6"/>
  <c r="J171" i="6" s="1"/>
  <c r="R170" i="6"/>
  <c r="R165" i="3" l="1"/>
  <c r="E166" i="3"/>
  <c r="J166" i="3" s="1"/>
  <c r="E172" i="6"/>
  <c r="J172" i="6" s="1"/>
  <c r="R171" i="6"/>
  <c r="E169" i="2"/>
  <c r="J169" i="2" s="1"/>
  <c r="R168" i="2"/>
  <c r="R172" i="6" l="1"/>
  <c r="E173" i="6"/>
  <c r="J173" i="6" s="1"/>
  <c r="E167" i="3"/>
  <c r="J167" i="3" s="1"/>
  <c r="R166" i="3"/>
  <c r="E170" i="2"/>
  <c r="J170" i="2" s="1"/>
  <c r="R169" i="2"/>
  <c r="E174" i="6" l="1"/>
  <c r="J174" i="6" s="1"/>
  <c r="R173" i="6"/>
  <c r="E168" i="3"/>
  <c r="J168" i="3" s="1"/>
  <c r="R167" i="3"/>
  <c r="E171" i="2"/>
  <c r="J171" i="2" s="1"/>
  <c r="R170" i="2"/>
  <c r="R168" i="3" l="1"/>
  <c r="E169" i="3"/>
  <c r="J169" i="3" s="1"/>
  <c r="E172" i="2"/>
  <c r="J172" i="2" s="1"/>
  <c r="R171" i="2"/>
  <c r="E175" i="6"/>
  <c r="J175" i="6" s="1"/>
  <c r="R174" i="6"/>
  <c r="E173" i="2" l="1"/>
  <c r="J173" i="2" s="1"/>
  <c r="R172" i="2"/>
  <c r="R169" i="3"/>
  <c r="E170" i="3"/>
  <c r="J170" i="3" s="1"/>
  <c r="E176" i="6"/>
  <c r="J176" i="6" s="1"/>
  <c r="R175" i="6"/>
  <c r="E171" i="3" l="1"/>
  <c r="J171" i="3" s="1"/>
  <c r="R170" i="3"/>
  <c r="R176" i="6"/>
  <c r="E177" i="6"/>
  <c r="J177" i="6" s="1"/>
  <c r="E174" i="2"/>
  <c r="J174" i="2" s="1"/>
  <c r="R173" i="2"/>
  <c r="E178" i="6" l="1"/>
  <c r="J178" i="6" s="1"/>
  <c r="R177" i="6"/>
  <c r="E175" i="2"/>
  <c r="J175" i="2" s="1"/>
  <c r="R174" i="2"/>
  <c r="R171" i="3"/>
  <c r="E172" i="3"/>
  <c r="J172" i="3" s="1"/>
  <c r="E176" i="2" l="1"/>
  <c r="J176" i="2" s="1"/>
  <c r="R175" i="2"/>
  <c r="E173" i="3"/>
  <c r="J173" i="3" s="1"/>
  <c r="R172" i="3"/>
  <c r="E179" i="6"/>
  <c r="J179" i="6" s="1"/>
  <c r="R178" i="6"/>
  <c r="E174" i="3" l="1"/>
  <c r="J174" i="3" s="1"/>
  <c r="R173" i="3"/>
  <c r="E180" i="6"/>
  <c r="J180" i="6" s="1"/>
  <c r="R179" i="6"/>
  <c r="E177" i="2"/>
  <c r="J177" i="2" s="1"/>
  <c r="R176" i="2"/>
  <c r="R180" i="6" l="1"/>
  <c r="E181" i="6"/>
  <c r="J181" i="6" s="1"/>
  <c r="E178" i="2"/>
  <c r="J178" i="2" s="1"/>
  <c r="R177" i="2"/>
  <c r="R174" i="3"/>
  <c r="E175" i="3"/>
  <c r="J175" i="3" s="1"/>
  <c r="E176" i="3" l="1"/>
  <c r="J176" i="3" s="1"/>
  <c r="R175" i="3"/>
  <c r="E179" i="2"/>
  <c r="J179" i="2" s="1"/>
  <c r="R178" i="2"/>
  <c r="E182" i="6"/>
  <c r="J182" i="6" s="1"/>
  <c r="R181" i="6"/>
  <c r="E180" i="2" l="1"/>
  <c r="J180" i="2" s="1"/>
  <c r="R179" i="2"/>
  <c r="E183" i="6"/>
  <c r="J183" i="6" s="1"/>
  <c r="R182" i="6"/>
  <c r="E177" i="3"/>
  <c r="J177" i="3" s="1"/>
  <c r="R176" i="3"/>
  <c r="E184" i="6" l="1"/>
  <c r="J184" i="6" s="1"/>
  <c r="R183" i="6"/>
  <c r="R177" i="3"/>
  <c r="E178" i="3"/>
  <c r="J178" i="3" s="1"/>
  <c r="E181" i="2"/>
  <c r="J181" i="2" s="1"/>
  <c r="R180" i="2"/>
  <c r="E179" i="3" l="1"/>
  <c r="J179" i="3" s="1"/>
  <c r="R178" i="3"/>
  <c r="E182" i="2"/>
  <c r="J182" i="2" s="1"/>
  <c r="R181" i="2"/>
  <c r="R184" i="6"/>
  <c r="E185" i="6"/>
  <c r="J185" i="6" s="1"/>
  <c r="E186" i="6" l="1"/>
  <c r="J186" i="6" s="1"/>
  <c r="R185" i="6"/>
  <c r="E183" i="2"/>
  <c r="J183" i="2" s="1"/>
  <c r="R182" i="2"/>
  <c r="E180" i="3"/>
  <c r="J180" i="3" s="1"/>
  <c r="R179" i="3"/>
  <c r="E184" i="2" l="1"/>
  <c r="J184" i="2" s="1"/>
  <c r="R183" i="2"/>
  <c r="E181" i="3"/>
  <c r="J181" i="3" s="1"/>
  <c r="R180" i="3"/>
  <c r="E187" i="6"/>
  <c r="J187" i="6" s="1"/>
  <c r="R186" i="6"/>
  <c r="R181" i="3" l="1"/>
  <c r="E182" i="3"/>
  <c r="J182" i="3" s="1"/>
  <c r="E188" i="6"/>
  <c r="J188" i="6" s="1"/>
  <c r="R187" i="6"/>
  <c r="E185" i="2"/>
  <c r="J185" i="2" s="1"/>
  <c r="R184" i="2"/>
  <c r="E183" i="3" l="1"/>
  <c r="J183" i="3" s="1"/>
  <c r="R182" i="3"/>
  <c r="R188" i="6"/>
  <c r="E189" i="6"/>
  <c r="J189" i="6" s="1"/>
  <c r="E186" i="2"/>
  <c r="J186" i="2" s="1"/>
  <c r="R185" i="2"/>
  <c r="E190" i="6" l="1"/>
  <c r="J190" i="6" s="1"/>
  <c r="R189" i="6"/>
  <c r="E187" i="2"/>
  <c r="J187" i="2" s="1"/>
  <c r="R186" i="2"/>
  <c r="R183" i="3"/>
  <c r="E184" i="3"/>
  <c r="J184" i="3" s="1"/>
  <c r="R184" i="3" l="1"/>
  <c r="E185" i="3"/>
  <c r="J185" i="3" s="1"/>
  <c r="E188" i="2"/>
  <c r="J188" i="2" s="1"/>
  <c r="R187" i="2"/>
  <c r="E191" i="6"/>
  <c r="J191" i="6" s="1"/>
  <c r="R190" i="6"/>
  <c r="E189" i="2" l="1"/>
  <c r="J189" i="2" s="1"/>
  <c r="R188" i="2"/>
  <c r="E186" i="3"/>
  <c r="J186" i="3" s="1"/>
  <c r="R185" i="3"/>
  <c r="E192" i="6"/>
  <c r="J192" i="6" s="1"/>
  <c r="R191" i="6"/>
  <c r="E187" i="3" l="1"/>
  <c r="J187" i="3" s="1"/>
  <c r="R186" i="3"/>
  <c r="R192" i="6"/>
  <c r="E193" i="6"/>
  <c r="J193" i="6" s="1"/>
  <c r="E190" i="2"/>
  <c r="J190" i="2" s="1"/>
  <c r="R189" i="2"/>
  <c r="R193" i="6" l="1"/>
  <c r="E194" i="6"/>
  <c r="J194" i="6" s="1"/>
  <c r="E191" i="2"/>
  <c r="J191" i="2" s="1"/>
  <c r="R190" i="2"/>
  <c r="R187" i="3"/>
  <c r="E188" i="3"/>
  <c r="J188" i="3" s="1"/>
  <c r="E192" i="2" l="1"/>
  <c r="J192" i="2" s="1"/>
  <c r="R191" i="2"/>
  <c r="E195" i="6"/>
  <c r="J195" i="6" s="1"/>
  <c r="R194" i="6"/>
  <c r="R188" i="3"/>
  <c r="E189" i="3"/>
  <c r="J189" i="3" s="1"/>
  <c r="R189" i="3" l="1"/>
  <c r="E190" i="3"/>
  <c r="J190" i="3" s="1"/>
  <c r="E196" i="6"/>
  <c r="J196" i="6" s="1"/>
  <c r="R195" i="6"/>
  <c r="E193" i="2"/>
  <c r="J193" i="2" s="1"/>
  <c r="R192" i="2"/>
  <c r="R190" i="3" l="1"/>
  <c r="E191" i="3"/>
  <c r="J191" i="3" s="1"/>
  <c r="R196" i="6"/>
  <c r="E197" i="6"/>
  <c r="J197" i="6" s="1"/>
  <c r="E194" i="2"/>
  <c r="J194" i="2" s="1"/>
  <c r="R193" i="2"/>
  <c r="E192" i="3" l="1"/>
  <c r="J192" i="3" s="1"/>
  <c r="R191" i="3"/>
  <c r="R197" i="6"/>
  <c r="E198" i="6"/>
  <c r="J198" i="6" s="1"/>
  <c r="E195" i="2"/>
  <c r="J195" i="2" s="1"/>
  <c r="R194" i="2"/>
  <c r="E199" i="6" l="1"/>
  <c r="J199" i="6" s="1"/>
  <c r="R198" i="6"/>
  <c r="E196" i="2"/>
  <c r="J196" i="2" s="1"/>
  <c r="R195" i="2"/>
  <c r="E193" i="3"/>
  <c r="J193" i="3" s="1"/>
  <c r="R192" i="3"/>
  <c r="E197" i="2" l="1"/>
  <c r="J197" i="2" s="1"/>
  <c r="R196" i="2"/>
  <c r="E194" i="3"/>
  <c r="J194" i="3" s="1"/>
  <c r="R193" i="3"/>
  <c r="E200" i="6"/>
  <c r="J200" i="6" s="1"/>
  <c r="R199" i="6"/>
  <c r="R200" i="6" l="1"/>
  <c r="E201" i="6"/>
  <c r="J201" i="6" s="1"/>
  <c r="E202" i="6" s="1"/>
  <c r="J202" i="6" s="1"/>
  <c r="E203" i="6" s="1"/>
  <c r="J203" i="6" s="1"/>
  <c r="E204" i="6" s="1"/>
  <c r="J204" i="6" s="1"/>
  <c r="E205" i="6" s="1"/>
  <c r="J205" i="6" s="1"/>
  <c r="E206" i="6" s="1"/>
  <c r="J206" i="6" s="1"/>
  <c r="E207" i="6" s="1"/>
  <c r="J207" i="6" s="1"/>
  <c r="E208" i="6" s="1"/>
  <c r="J208" i="6" s="1"/>
  <c r="E209" i="6" s="1"/>
  <c r="J209" i="6" s="1"/>
  <c r="E210" i="6" s="1"/>
  <c r="J210" i="6" s="1"/>
  <c r="E211" i="6" s="1"/>
  <c r="J211" i="6" s="1"/>
  <c r="E212" i="6" s="1"/>
  <c r="J212" i="6" s="1"/>
  <c r="E213" i="6" s="1"/>
  <c r="J213" i="6" s="1"/>
  <c r="E214" i="6" s="1"/>
  <c r="J214" i="6" s="1"/>
  <c r="E215" i="6" s="1"/>
  <c r="J215" i="6" s="1"/>
  <c r="E216" i="6" s="1"/>
  <c r="J216" i="6" s="1"/>
  <c r="E217" i="6" s="1"/>
  <c r="J217" i="6" s="1"/>
  <c r="E218" i="6" s="1"/>
  <c r="J218" i="6" s="1"/>
  <c r="E219" i="6" s="1"/>
  <c r="J219" i="6" s="1"/>
  <c r="E220" i="6" s="1"/>
  <c r="J220" i="6" s="1"/>
  <c r="E221" i="6" s="1"/>
  <c r="J221" i="6" s="1"/>
  <c r="E222" i="6" s="1"/>
  <c r="J222" i="6" s="1"/>
  <c r="E223" i="6" s="1"/>
  <c r="J223" i="6" s="1"/>
  <c r="E224" i="6" s="1"/>
  <c r="J224" i="6" s="1"/>
  <c r="E225" i="6" s="1"/>
  <c r="J225" i="6" s="1"/>
  <c r="E226" i="6" s="1"/>
  <c r="J226" i="6" s="1"/>
  <c r="E227" i="6" s="1"/>
  <c r="J227" i="6" s="1"/>
  <c r="E228" i="6" s="1"/>
  <c r="J228" i="6" s="1"/>
  <c r="E229" i="6" s="1"/>
  <c r="J229" i="6" s="1"/>
  <c r="E230" i="6" s="1"/>
  <c r="J230" i="6" s="1"/>
  <c r="E231" i="6" s="1"/>
  <c r="J231" i="6" s="1"/>
  <c r="E232" i="6" s="1"/>
  <c r="J232" i="6" s="1"/>
  <c r="E233" i="6" s="1"/>
  <c r="J233" i="6" s="1"/>
  <c r="E234" i="6" s="1"/>
  <c r="J234" i="6" s="1"/>
  <c r="E235" i="6" s="1"/>
  <c r="J235" i="6" s="1"/>
  <c r="E236" i="6" s="1"/>
  <c r="J236" i="6" s="1"/>
  <c r="E237" i="6" s="1"/>
  <c r="J237" i="6" s="1"/>
  <c r="E238" i="6" s="1"/>
  <c r="J238" i="6" s="1"/>
  <c r="E239" i="6" s="1"/>
  <c r="J239" i="6" s="1"/>
  <c r="E240" i="6" s="1"/>
  <c r="J240" i="6" s="1"/>
  <c r="E241" i="6" s="1"/>
  <c r="J241" i="6" s="1"/>
  <c r="E242" i="6" s="1"/>
  <c r="J242" i="6" s="1"/>
  <c r="E243" i="6" s="1"/>
  <c r="J243" i="6" s="1"/>
  <c r="E244" i="6" s="1"/>
  <c r="J244" i="6" s="1"/>
  <c r="E245" i="6" s="1"/>
  <c r="J245" i="6" s="1"/>
  <c r="E246" i="6" s="1"/>
  <c r="J246" i="6" s="1"/>
  <c r="E247" i="6" s="1"/>
  <c r="J247" i="6" s="1"/>
  <c r="E248" i="6" s="1"/>
  <c r="J248" i="6" s="1"/>
  <c r="E249" i="6" s="1"/>
  <c r="J249" i="6" s="1"/>
  <c r="E250" i="6" s="1"/>
  <c r="J250" i="6" s="1"/>
  <c r="E251" i="6" s="1"/>
  <c r="J251" i="6" s="1"/>
  <c r="E252" i="6" s="1"/>
  <c r="J252" i="6" s="1"/>
  <c r="E253" i="6" s="1"/>
  <c r="J253" i="6" s="1"/>
  <c r="E254" i="6" s="1"/>
  <c r="J254" i="6" s="1"/>
  <c r="E255" i="6" s="1"/>
  <c r="J255" i="6" s="1"/>
  <c r="E256" i="6" s="1"/>
  <c r="J256" i="6" s="1"/>
  <c r="E257" i="6" s="1"/>
  <c r="J257" i="6" s="1"/>
  <c r="E258" i="6" s="1"/>
  <c r="J258" i="6" s="1"/>
  <c r="E259" i="6" s="1"/>
  <c r="J259" i="6" s="1"/>
  <c r="E260" i="6" s="1"/>
  <c r="J260" i="6" s="1"/>
  <c r="E261" i="6" s="1"/>
  <c r="J261" i="6" s="1"/>
  <c r="E262" i="6" s="1"/>
  <c r="J262" i="6" s="1"/>
  <c r="E263" i="6" s="1"/>
  <c r="J263" i="6" s="1"/>
  <c r="E264" i="6" s="1"/>
  <c r="J264" i="6" s="1"/>
  <c r="E265" i="6" s="1"/>
  <c r="J265" i="6" s="1"/>
  <c r="E266" i="6" s="1"/>
  <c r="J266" i="6" s="1"/>
  <c r="E267" i="6" s="1"/>
  <c r="J267" i="6" s="1"/>
  <c r="E268" i="6" s="1"/>
  <c r="J268" i="6" s="1"/>
  <c r="E269" i="6" s="1"/>
  <c r="J269" i="6" s="1"/>
  <c r="E270" i="6" s="1"/>
  <c r="J270" i="6" s="1"/>
  <c r="E271" i="6" s="1"/>
  <c r="J271" i="6" s="1"/>
  <c r="E272" i="6" s="1"/>
  <c r="J272" i="6" s="1"/>
  <c r="E273" i="6" s="1"/>
  <c r="J273" i="6" s="1"/>
  <c r="E274" i="6" s="1"/>
  <c r="J274" i="6" s="1"/>
  <c r="E275" i="6" s="1"/>
  <c r="J275" i="6" s="1"/>
  <c r="E276" i="6" s="1"/>
  <c r="J276" i="6" s="1"/>
  <c r="E277" i="6" s="1"/>
  <c r="J277" i="6" s="1"/>
  <c r="E278" i="6" s="1"/>
  <c r="J278" i="6" s="1"/>
  <c r="E279" i="6" s="1"/>
  <c r="J279" i="6" s="1"/>
  <c r="E280" i="6" s="1"/>
  <c r="J280" i="6" s="1"/>
  <c r="E281" i="6" s="1"/>
  <c r="J281" i="6" s="1"/>
  <c r="E282" i="6" s="1"/>
  <c r="J282" i="6" s="1"/>
  <c r="E283" i="6" s="1"/>
  <c r="J283" i="6" s="1"/>
  <c r="E284" i="6" s="1"/>
  <c r="J284" i="6" s="1"/>
  <c r="E285" i="6" s="1"/>
  <c r="J285" i="6" s="1"/>
  <c r="E286" i="6" s="1"/>
  <c r="J286" i="6" s="1"/>
  <c r="E287" i="6" s="1"/>
  <c r="J287" i="6" s="1"/>
  <c r="E288" i="6" s="1"/>
  <c r="J288" i="6" s="1"/>
  <c r="E289" i="6" s="1"/>
  <c r="J289" i="6" s="1"/>
  <c r="E290" i="6" s="1"/>
  <c r="J290" i="6" s="1"/>
  <c r="E291" i="6" s="1"/>
  <c r="J291" i="6" s="1"/>
  <c r="E292" i="6" s="1"/>
  <c r="J292" i="6" s="1"/>
  <c r="E293" i="6" s="1"/>
  <c r="J293" i="6" s="1"/>
  <c r="E294" i="6" s="1"/>
  <c r="J294" i="6" s="1"/>
  <c r="E295" i="6" s="1"/>
  <c r="J295" i="6" s="1"/>
  <c r="E296" i="6" s="1"/>
  <c r="J296" i="6" s="1"/>
  <c r="E297" i="6" s="1"/>
  <c r="J297" i="6" s="1"/>
  <c r="E298" i="6" s="1"/>
  <c r="J298" i="6" s="1"/>
  <c r="E299" i="6" s="1"/>
  <c r="J299" i="6" s="1"/>
  <c r="E300" i="6" s="1"/>
  <c r="J300" i="6" s="1"/>
  <c r="E301" i="6" s="1"/>
  <c r="J301" i="6" s="1"/>
  <c r="E302" i="6" s="1"/>
  <c r="J302" i="6" s="1"/>
  <c r="E303" i="6" s="1"/>
  <c r="J303" i="6" s="1"/>
  <c r="E304" i="6" s="1"/>
  <c r="J304" i="6" s="1"/>
  <c r="E305" i="6" s="1"/>
  <c r="J305" i="6" s="1"/>
  <c r="E306" i="6" s="1"/>
  <c r="J306" i="6" s="1"/>
  <c r="E307" i="6" s="1"/>
  <c r="J307" i="6" s="1"/>
  <c r="E308" i="6" s="1"/>
  <c r="J308" i="6" s="1"/>
  <c r="E309" i="6" s="1"/>
  <c r="J309" i="6" s="1"/>
  <c r="E310" i="6" s="1"/>
  <c r="J310" i="6" s="1"/>
  <c r="E311" i="6" s="1"/>
  <c r="J311" i="6" s="1"/>
  <c r="E312" i="6" s="1"/>
  <c r="J312" i="6" s="1"/>
  <c r="E313" i="6" s="1"/>
  <c r="J313" i="6" s="1"/>
  <c r="E314" i="6" s="1"/>
  <c r="J314" i="6" s="1"/>
  <c r="E315" i="6" s="1"/>
  <c r="J315" i="6" s="1"/>
  <c r="E316" i="6" s="1"/>
  <c r="J316" i="6" s="1"/>
  <c r="E317" i="6" s="1"/>
  <c r="J317" i="6" s="1"/>
  <c r="E318" i="6" s="1"/>
  <c r="J318" i="6" s="1"/>
  <c r="E319" i="6" s="1"/>
  <c r="J319" i="6" s="1"/>
  <c r="E320" i="6" s="1"/>
  <c r="J320" i="6" s="1"/>
  <c r="E321" i="6" s="1"/>
  <c r="J321" i="6" s="1"/>
  <c r="E322" i="6" s="1"/>
  <c r="J322" i="6" s="1"/>
  <c r="E323" i="6" s="1"/>
  <c r="J323" i="6" s="1"/>
  <c r="E324" i="6" s="1"/>
  <c r="J324" i="6" s="1"/>
  <c r="E325" i="6" s="1"/>
  <c r="J325" i="6" s="1"/>
  <c r="E326" i="6" s="1"/>
  <c r="J326" i="6" s="1"/>
  <c r="E327" i="6" s="1"/>
  <c r="J327" i="6" s="1"/>
  <c r="E328" i="6" s="1"/>
  <c r="J328" i="6" s="1"/>
  <c r="E329" i="6" s="1"/>
  <c r="J329" i="6" s="1"/>
  <c r="E330" i="6" s="1"/>
  <c r="J330" i="6" s="1"/>
  <c r="E331" i="6" s="1"/>
  <c r="J331" i="6" s="1"/>
  <c r="E332" i="6" s="1"/>
  <c r="J332" i="6" s="1"/>
  <c r="E333" i="6" s="1"/>
  <c r="J333" i="6" s="1"/>
  <c r="E334" i="6" s="1"/>
  <c r="J334" i="6" s="1"/>
  <c r="E335" i="6" s="1"/>
  <c r="J335" i="6" s="1"/>
  <c r="E336" i="6" s="1"/>
  <c r="J336" i="6" s="1"/>
  <c r="E337" i="6" s="1"/>
  <c r="J337" i="6" s="1"/>
  <c r="E338" i="6" s="1"/>
  <c r="J338" i="6" s="1"/>
  <c r="E339" i="6" s="1"/>
  <c r="J339" i="6" s="1"/>
  <c r="E340" i="6" s="1"/>
  <c r="J340" i="6" s="1"/>
  <c r="E341" i="6" s="1"/>
  <c r="J341" i="6" s="1"/>
  <c r="E342" i="6" s="1"/>
  <c r="J342" i="6" s="1"/>
  <c r="E343" i="6" s="1"/>
  <c r="J343" i="6" s="1"/>
  <c r="E344" i="6" s="1"/>
  <c r="J344" i="6" s="1"/>
  <c r="E345" i="6" s="1"/>
  <c r="J345" i="6" s="1"/>
  <c r="E346" i="6" s="1"/>
  <c r="J346" i="6" s="1"/>
  <c r="E347" i="6" s="1"/>
  <c r="J347" i="6" s="1"/>
  <c r="E348" i="6" s="1"/>
  <c r="J348" i="6" s="1"/>
  <c r="E349" i="6" s="1"/>
  <c r="J349" i="6" s="1"/>
  <c r="E350" i="6" s="1"/>
  <c r="J350" i="6" s="1"/>
  <c r="E351" i="6" s="1"/>
  <c r="J351" i="6" s="1"/>
  <c r="E352" i="6" s="1"/>
  <c r="J352" i="6" s="1"/>
  <c r="E353" i="6" s="1"/>
  <c r="J353" i="6" s="1"/>
  <c r="E354" i="6" s="1"/>
  <c r="J354" i="6" s="1"/>
  <c r="E355" i="6" s="1"/>
  <c r="J355" i="6" s="1"/>
  <c r="E356" i="6" s="1"/>
  <c r="J356" i="6" s="1"/>
  <c r="E357" i="6" s="1"/>
  <c r="J357" i="6" s="1"/>
  <c r="E358" i="6" s="1"/>
  <c r="J358" i="6" s="1"/>
  <c r="E359" i="6" s="1"/>
  <c r="J359" i="6" s="1"/>
  <c r="E360" i="6" s="1"/>
  <c r="J360" i="6" s="1"/>
  <c r="E361" i="6" s="1"/>
  <c r="J361" i="6" s="1"/>
  <c r="E362" i="6" s="1"/>
  <c r="J362" i="6" s="1"/>
  <c r="E363" i="6" s="1"/>
  <c r="J363" i="6" s="1"/>
  <c r="E364" i="6" s="1"/>
  <c r="J364" i="6" s="1"/>
  <c r="E365" i="6" s="1"/>
  <c r="J365" i="6" s="1"/>
  <c r="E366" i="6" s="1"/>
  <c r="J366" i="6" s="1"/>
  <c r="E367" i="6" s="1"/>
  <c r="J367" i="6" s="1"/>
  <c r="E368" i="6" s="1"/>
  <c r="J368" i="6" s="1"/>
  <c r="E369" i="6" s="1"/>
  <c r="J369" i="6" s="1"/>
  <c r="E370" i="6" s="1"/>
  <c r="J370" i="6" s="1"/>
  <c r="E371" i="6" s="1"/>
  <c r="J371" i="6" s="1"/>
  <c r="E372" i="6" s="1"/>
  <c r="J372" i="6" s="1"/>
  <c r="E373" i="6" s="1"/>
  <c r="J373" i="6" s="1"/>
  <c r="E374" i="6" s="1"/>
  <c r="J374" i="6" s="1"/>
  <c r="E375" i="6" s="1"/>
  <c r="J375" i="6" s="1"/>
  <c r="E376" i="6" s="1"/>
  <c r="J376" i="6" s="1"/>
  <c r="E377" i="6" s="1"/>
  <c r="J377" i="6" s="1"/>
  <c r="E378" i="6" s="1"/>
  <c r="J378" i="6" s="1"/>
  <c r="E379" i="6" s="1"/>
  <c r="J379" i="6" s="1"/>
  <c r="E380" i="6" s="1"/>
  <c r="J380" i="6" s="1"/>
  <c r="E381" i="6" s="1"/>
  <c r="J381" i="6" s="1"/>
  <c r="E382" i="6" s="1"/>
  <c r="J382" i="6" s="1"/>
  <c r="E383" i="6" s="1"/>
  <c r="J383" i="6" s="1"/>
  <c r="E384" i="6" s="1"/>
  <c r="J384" i="6" s="1"/>
  <c r="E385" i="6" s="1"/>
  <c r="J385" i="6" s="1"/>
  <c r="E386" i="6" s="1"/>
  <c r="J386" i="6" s="1"/>
  <c r="E387" i="6" s="1"/>
  <c r="J387" i="6" s="1"/>
  <c r="E388" i="6" s="1"/>
  <c r="J388" i="6" s="1"/>
  <c r="E389" i="6" s="1"/>
  <c r="J389" i="6" s="1"/>
  <c r="E390" i="6" s="1"/>
  <c r="J390" i="6" s="1"/>
  <c r="E391" i="6" s="1"/>
  <c r="J391" i="6" s="1"/>
  <c r="E392" i="6" s="1"/>
  <c r="J392" i="6" s="1"/>
  <c r="E393" i="6" s="1"/>
  <c r="J393" i="6" s="1"/>
  <c r="E394" i="6" s="1"/>
  <c r="J394" i="6" s="1"/>
  <c r="E395" i="6" s="1"/>
  <c r="J395" i="6" s="1"/>
  <c r="E396" i="6" s="1"/>
  <c r="J396" i="6" s="1"/>
  <c r="E397" i="6" s="1"/>
  <c r="J397" i="6" s="1"/>
  <c r="E398" i="6" s="1"/>
  <c r="J398" i="6" s="1"/>
  <c r="E399" i="6" s="1"/>
  <c r="J399" i="6" s="1"/>
  <c r="E400" i="6" s="1"/>
  <c r="J400" i="6" s="1"/>
  <c r="E401" i="6" s="1"/>
  <c r="J401" i="6" s="1"/>
  <c r="E402" i="6" s="1"/>
  <c r="J402" i="6" s="1"/>
  <c r="E403" i="6" s="1"/>
  <c r="J403" i="6" s="1"/>
  <c r="E404" i="6" s="1"/>
  <c r="J404" i="6" s="1"/>
  <c r="E405" i="6" s="1"/>
  <c r="J405" i="6" s="1"/>
  <c r="E406" i="6" s="1"/>
  <c r="J406" i="6" s="1"/>
  <c r="E407" i="6" s="1"/>
  <c r="J407" i="6" s="1"/>
  <c r="E408" i="6" s="1"/>
  <c r="J408" i="6" s="1"/>
  <c r="E409" i="6" s="1"/>
  <c r="J409" i="6" s="1"/>
  <c r="E410" i="6" s="1"/>
  <c r="J410" i="6" s="1"/>
  <c r="E411" i="6" s="1"/>
  <c r="J411" i="6" s="1"/>
  <c r="E412" i="6" s="1"/>
  <c r="J412" i="6" s="1"/>
  <c r="E413" i="6" s="1"/>
  <c r="J413" i="6" s="1"/>
  <c r="E414" i="6" s="1"/>
  <c r="J414" i="6" s="1"/>
  <c r="E415" i="6" s="1"/>
  <c r="J415" i="6" s="1"/>
  <c r="E416" i="6" s="1"/>
  <c r="J416" i="6" s="1"/>
  <c r="E417" i="6" s="1"/>
  <c r="J417" i="6" s="1"/>
  <c r="E418" i="6" s="1"/>
  <c r="J418" i="6" s="1"/>
  <c r="E419" i="6" s="1"/>
  <c r="J419" i="6" s="1"/>
  <c r="E420" i="6" s="1"/>
  <c r="J420" i="6" s="1"/>
  <c r="E421" i="6" s="1"/>
  <c r="J421" i="6" s="1"/>
  <c r="E422" i="6" s="1"/>
  <c r="J422" i="6" s="1"/>
  <c r="E423" i="6" s="1"/>
  <c r="J423" i="6" s="1"/>
  <c r="E424" i="6" s="1"/>
  <c r="J424" i="6" s="1"/>
  <c r="E425" i="6" s="1"/>
  <c r="J425" i="6" s="1"/>
  <c r="E426" i="6" s="1"/>
  <c r="J426" i="6" s="1"/>
  <c r="E427" i="6" s="1"/>
  <c r="J427" i="6" s="1"/>
  <c r="E428" i="6" s="1"/>
  <c r="J428" i="6" s="1"/>
  <c r="E429" i="6" s="1"/>
  <c r="J429" i="6" s="1"/>
  <c r="E430" i="6" s="1"/>
  <c r="J430" i="6" s="1"/>
  <c r="E431" i="6" s="1"/>
  <c r="J431" i="6" s="1"/>
  <c r="E432" i="6" s="1"/>
  <c r="J432" i="6" s="1"/>
  <c r="E433" i="6" s="1"/>
  <c r="J433" i="6" s="1"/>
  <c r="E434" i="6" s="1"/>
  <c r="J434" i="6" s="1"/>
  <c r="E435" i="6" s="1"/>
  <c r="J435" i="6" s="1"/>
  <c r="E436" i="6" s="1"/>
  <c r="J436" i="6" s="1"/>
  <c r="E437" i="6" s="1"/>
  <c r="J437" i="6" s="1"/>
  <c r="E438" i="6" s="1"/>
  <c r="J438" i="6" s="1"/>
  <c r="E439" i="6" s="1"/>
  <c r="J439" i="6" s="1"/>
  <c r="E440" i="6" s="1"/>
  <c r="J440" i="6" s="1"/>
  <c r="E441" i="6" s="1"/>
  <c r="J441" i="6" s="1"/>
  <c r="E442" i="6" s="1"/>
  <c r="J442" i="6" s="1"/>
  <c r="E443" i="6" s="1"/>
  <c r="J443" i="6" s="1"/>
  <c r="E444" i="6" s="1"/>
  <c r="J444" i="6" s="1"/>
  <c r="E445" i="6" s="1"/>
  <c r="J445" i="6" s="1"/>
  <c r="E446" i="6" s="1"/>
  <c r="J446" i="6" s="1"/>
  <c r="E447" i="6" s="1"/>
  <c r="J447" i="6" s="1"/>
  <c r="E448" i="6" s="1"/>
  <c r="J448" i="6" s="1"/>
  <c r="E449" i="6" s="1"/>
  <c r="J449" i="6" s="1"/>
  <c r="E450" i="6" s="1"/>
  <c r="J450" i="6" s="1"/>
  <c r="E451" i="6" s="1"/>
  <c r="J451" i="6" s="1"/>
  <c r="E452" i="6" s="1"/>
  <c r="J452" i="6" s="1"/>
  <c r="E453" i="6" s="1"/>
  <c r="J453" i="6" s="1"/>
  <c r="E454" i="6" s="1"/>
  <c r="J454" i="6" s="1"/>
  <c r="E455" i="6" s="1"/>
  <c r="J455" i="6" s="1"/>
  <c r="E456" i="6" s="1"/>
  <c r="J456" i="6" s="1"/>
  <c r="E457" i="6" s="1"/>
  <c r="J457" i="6" s="1"/>
  <c r="E458" i="6" s="1"/>
  <c r="J458" i="6" s="1"/>
  <c r="E459" i="6" s="1"/>
  <c r="J459" i="6" s="1"/>
  <c r="E460" i="6" s="1"/>
  <c r="J460" i="6" s="1"/>
  <c r="E461" i="6" s="1"/>
  <c r="J461" i="6" s="1"/>
  <c r="E462" i="6" s="1"/>
  <c r="J462" i="6" s="1"/>
  <c r="E463" i="6" s="1"/>
  <c r="J463" i="6" s="1"/>
  <c r="E464" i="6" s="1"/>
  <c r="J464" i="6" s="1"/>
  <c r="E465" i="6" s="1"/>
  <c r="J465" i="6" s="1"/>
  <c r="E466" i="6" s="1"/>
  <c r="J466" i="6" s="1"/>
  <c r="E467" i="6" s="1"/>
  <c r="J467" i="6" s="1"/>
  <c r="E468" i="6" s="1"/>
  <c r="J468" i="6" s="1"/>
  <c r="E469" i="6" s="1"/>
  <c r="J469" i="6" s="1"/>
  <c r="E470" i="6" s="1"/>
  <c r="J470" i="6" s="1"/>
  <c r="E471" i="6" s="1"/>
  <c r="J471" i="6" s="1"/>
  <c r="E472" i="6" s="1"/>
  <c r="J472" i="6" s="1"/>
  <c r="E473" i="6" s="1"/>
  <c r="J473" i="6" s="1"/>
  <c r="E474" i="6" s="1"/>
  <c r="J474" i="6" s="1"/>
  <c r="E475" i="6" s="1"/>
  <c r="J475" i="6" s="1"/>
  <c r="E476" i="6" s="1"/>
  <c r="J476" i="6" s="1"/>
  <c r="E477" i="6" s="1"/>
  <c r="J477" i="6" s="1"/>
  <c r="E478" i="6" s="1"/>
  <c r="J478" i="6" s="1"/>
  <c r="E479" i="6" s="1"/>
  <c r="J479" i="6" s="1"/>
  <c r="E480" i="6" s="1"/>
  <c r="J480" i="6" s="1"/>
  <c r="E481" i="6" s="1"/>
  <c r="J481" i="6" s="1"/>
  <c r="E482" i="6" s="1"/>
  <c r="J482" i="6" s="1"/>
  <c r="E483" i="6" s="1"/>
  <c r="J483" i="6" s="1"/>
  <c r="E484" i="6" s="1"/>
  <c r="J484" i="6" s="1"/>
  <c r="E485" i="6" s="1"/>
  <c r="J485" i="6" s="1"/>
  <c r="E486" i="6" s="1"/>
  <c r="J486" i="6" s="1"/>
  <c r="E487" i="6" s="1"/>
  <c r="J487" i="6" s="1"/>
  <c r="E488" i="6" s="1"/>
  <c r="J488" i="6" s="1"/>
  <c r="E489" i="6" s="1"/>
  <c r="J489" i="6" s="1"/>
  <c r="E490" i="6" s="1"/>
  <c r="J490" i="6" s="1"/>
  <c r="E491" i="6" s="1"/>
  <c r="J491" i="6" s="1"/>
  <c r="E492" i="6" s="1"/>
  <c r="J492" i="6" s="1"/>
  <c r="E493" i="6" s="1"/>
  <c r="J493" i="6" s="1"/>
  <c r="E494" i="6" s="1"/>
  <c r="J494" i="6" s="1"/>
  <c r="E495" i="6" s="1"/>
  <c r="J495" i="6" s="1"/>
  <c r="E496" i="6" s="1"/>
  <c r="J496" i="6" s="1"/>
  <c r="E497" i="6" s="1"/>
  <c r="J497" i="6" s="1"/>
  <c r="E498" i="6" s="1"/>
  <c r="J498" i="6" s="1"/>
  <c r="E499" i="6" s="1"/>
  <c r="J499" i="6" s="1"/>
  <c r="E500" i="6" s="1"/>
  <c r="J500" i="6" s="1"/>
  <c r="R194" i="3"/>
  <c r="E195" i="3"/>
  <c r="J195" i="3" s="1"/>
  <c r="E198" i="2"/>
  <c r="J198" i="2" s="1"/>
  <c r="R197" i="2"/>
  <c r="E199" i="2" l="1"/>
  <c r="J199" i="2" s="1"/>
  <c r="R198" i="2"/>
  <c r="E196" i="3"/>
  <c r="J196" i="3" s="1"/>
  <c r="R195" i="3"/>
  <c r="E197" i="3" l="1"/>
  <c r="J197" i="3" s="1"/>
  <c r="R196" i="3"/>
  <c r="E200" i="2"/>
  <c r="J200" i="2" s="1"/>
  <c r="R199" i="2"/>
  <c r="R200" i="2" l="1"/>
  <c r="E201" i="2"/>
  <c r="J201" i="2" s="1"/>
  <c r="E202" i="2" s="1"/>
  <c r="J202" i="2" s="1"/>
  <c r="E203" i="2" s="1"/>
  <c r="J203" i="2" s="1"/>
  <c r="E204" i="2" s="1"/>
  <c r="J204" i="2" s="1"/>
  <c r="E205" i="2" s="1"/>
  <c r="J205" i="2" s="1"/>
  <c r="E206" i="2" s="1"/>
  <c r="J206" i="2" s="1"/>
  <c r="E207" i="2" s="1"/>
  <c r="J207" i="2" s="1"/>
  <c r="E208" i="2" s="1"/>
  <c r="J208" i="2" s="1"/>
  <c r="E209" i="2" s="1"/>
  <c r="J209" i="2" s="1"/>
  <c r="E210" i="2" s="1"/>
  <c r="J210" i="2" s="1"/>
  <c r="E211" i="2" s="1"/>
  <c r="J211" i="2" s="1"/>
  <c r="E212" i="2" s="1"/>
  <c r="J212" i="2" s="1"/>
  <c r="E213" i="2" s="1"/>
  <c r="J213" i="2" s="1"/>
  <c r="E214" i="2" s="1"/>
  <c r="J214" i="2" s="1"/>
  <c r="E215" i="2" s="1"/>
  <c r="J215" i="2" s="1"/>
  <c r="E216" i="2" s="1"/>
  <c r="J216" i="2" s="1"/>
  <c r="E217" i="2" s="1"/>
  <c r="J217" i="2" s="1"/>
  <c r="E218" i="2" s="1"/>
  <c r="J218" i="2" s="1"/>
  <c r="E219" i="2" s="1"/>
  <c r="J219" i="2" s="1"/>
  <c r="E220" i="2" s="1"/>
  <c r="J220" i="2" s="1"/>
  <c r="E221" i="2" s="1"/>
  <c r="J221" i="2" s="1"/>
  <c r="E222" i="2" s="1"/>
  <c r="J222" i="2" s="1"/>
  <c r="E223" i="2" s="1"/>
  <c r="J223" i="2" s="1"/>
  <c r="E224" i="2" s="1"/>
  <c r="J224" i="2" s="1"/>
  <c r="E225" i="2" s="1"/>
  <c r="J225" i="2" s="1"/>
  <c r="E226" i="2" s="1"/>
  <c r="J226" i="2" s="1"/>
  <c r="E227" i="2" s="1"/>
  <c r="J227" i="2" s="1"/>
  <c r="E228" i="2" s="1"/>
  <c r="J228" i="2" s="1"/>
  <c r="E229" i="2" s="1"/>
  <c r="J229" i="2" s="1"/>
  <c r="E230" i="2" s="1"/>
  <c r="J230" i="2" s="1"/>
  <c r="E231" i="2" s="1"/>
  <c r="J231" i="2" s="1"/>
  <c r="E232" i="2" s="1"/>
  <c r="J232" i="2" s="1"/>
  <c r="E233" i="2" s="1"/>
  <c r="J233" i="2" s="1"/>
  <c r="E234" i="2" s="1"/>
  <c r="J234" i="2" s="1"/>
  <c r="E235" i="2" s="1"/>
  <c r="J235" i="2" s="1"/>
  <c r="E236" i="2" s="1"/>
  <c r="J236" i="2" s="1"/>
  <c r="E237" i="2" s="1"/>
  <c r="J237" i="2" s="1"/>
  <c r="E238" i="2" s="1"/>
  <c r="J238" i="2" s="1"/>
  <c r="E239" i="2" s="1"/>
  <c r="J239" i="2" s="1"/>
  <c r="E240" i="2" s="1"/>
  <c r="J240" i="2" s="1"/>
  <c r="E241" i="2" s="1"/>
  <c r="J241" i="2" s="1"/>
  <c r="E242" i="2" s="1"/>
  <c r="J242" i="2" s="1"/>
  <c r="E243" i="2" s="1"/>
  <c r="J243" i="2" s="1"/>
  <c r="E244" i="2" s="1"/>
  <c r="J244" i="2" s="1"/>
  <c r="E245" i="2" s="1"/>
  <c r="J245" i="2" s="1"/>
  <c r="E246" i="2" s="1"/>
  <c r="J246" i="2" s="1"/>
  <c r="E247" i="2" s="1"/>
  <c r="J247" i="2" s="1"/>
  <c r="E248" i="2" s="1"/>
  <c r="J248" i="2" s="1"/>
  <c r="E249" i="2" s="1"/>
  <c r="J249" i="2" s="1"/>
  <c r="E250" i="2" s="1"/>
  <c r="J250" i="2" s="1"/>
  <c r="E251" i="2" s="1"/>
  <c r="J251" i="2" s="1"/>
  <c r="E252" i="2" s="1"/>
  <c r="J252" i="2" s="1"/>
  <c r="E253" i="2" s="1"/>
  <c r="J253" i="2" s="1"/>
  <c r="E254" i="2" s="1"/>
  <c r="J254" i="2" s="1"/>
  <c r="E255" i="2" s="1"/>
  <c r="J255" i="2" s="1"/>
  <c r="E256" i="2" s="1"/>
  <c r="J256" i="2" s="1"/>
  <c r="E257" i="2" s="1"/>
  <c r="J257" i="2" s="1"/>
  <c r="E258" i="2" s="1"/>
  <c r="J258" i="2" s="1"/>
  <c r="E259" i="2" s="1"/>
  <c r="J259" i="2" s="1"/>
  <c r="E260" i="2" s="1"/>
  <c r="J260" i="2" s="1"/>
  <c r="E261" i="2" s="1"/>
  <c r="J261" i="2" s="1"/>
  <c r="E262" i="2" s="1"/>
  <c r="J262" i="2" s="1"/>
  <c r="E263" i="2" s="1"/>
  <c r="J263" i="2" s="1"/>
  <c r="E264" i="2" s="1"/>
  <c r="J264" i="2" s="1"/>
  <c r="E265" i="2" s="1"/>
  <c r="J265" i="2" s="1"/>
  <c r="E266" i="2" s="1"/>
  <c r="J266" i="2" s="1"/>
  <c r="E267" i="2" s="1"/>
  <c r="J267" i="2" s="1"/>
  <c r="E268" i="2" s="1"/>
  <c r="J268" i="2" s="1"/>
  <c r="E269" i="2" s="1"/>
  <c r="J269" i="2" s="1"/>
  <c r="E270" i="2" s="1"/>
  <c r="J270" i="2" s="1"/>
  <c r="E271" i="2" s="1"/>
  <c r="J271" i="2" s="1"/>
  <c r="E272" i="2" s="1"/>
  <c r="J272" i="2" s="1"/>
  <c r="E273" i="2" s="1"/>
  <c r="J273" i="2" s="1"/>
  <c r="E274" i="2" s="1"/>
  <c r="J274" i="2" s="1"/>
  <c r="E275" i="2" s="1"/>
  <c r="J275" i="2" s="1"/>
  <c r="E276" i="2" s="1"/>
  <c r="J276" i="2" s="1"/>
  <c r="E277" i="2" s="1"/>
  <c r="J277" i="2" s="1"/>
  <c r="E278" i="2" s="1"/>
  <c r="J278" i="2" s="1"/>
  <c r="E279" i="2" s="1"/>
  <c r="J279" i="2" s="1"/>
  <c r="E280" i="2" s="1"/>
  <c r="J280" i="2" s="1"/>
  <c r="E281" i="2" s="1"/>
  <c r="J281" i="2" s="1"/>
  <c r="E282" i="2" s="1"/>
  <c r="J282" i="2" s="1"/>
  <c r="E283" i="2" s="1"/>
  <c r="J283" i="2" s="1"/>
  <c r="E284" i="2" s="1"/>
  <c r="J284" i="2" s="1"/>
  <c r="E285" i="2" s="1"/>
  <c r="J285" i="2" s="1"/>
  <c r="E286" i="2" s="1"/>
  <c r="J286" i="2" s="1"/>
  <c r="E287" i="2" s="1"/>
  <c r="J287" i="2" s="1"/>
  <c r="E288" i="2" s="1"/>
  <c r="J288" i="2" s="1"/>
  <c r="E289" i="2" s="1"/>
  <c r="J289" i="2" s="1"/>
  <c r="E290" i="2" s="1"/>
  <c r="J290" i="2" s="1"/>
  <c r="E291" i="2" s="1"/>
  <c r="J291" i="2" s="1"/>
  <c r="E292" i="2" s="1"/>
  <c r="J292" i="2" s="1"/>
  <c r="E293" i="2" s="1"/>
  <c r="J293" i="2" s="1"/>
  <c r="E294" i="2" s="1"/>
  <c r="J294" i="2" s="1"/>
  <c r="E295" i="2" s="1"/>
  <c r="J295" i="2" s="1"/>
  <c r="E296" i="2" s="1"/>
  <c r="J296" i="2" s="1"/>
  <c r="E297" i="2" s="1"/>
  <c r="J297" i="2" s="1"/>
  <c r="E298" i="2" s="1"/>
  <c r="J298" i="2" s="1"/>
  <c r="E299" i="2" s="1"/>
  <c r="J299" i="2" s="1"/>
  <c r="E300" i="2" s="1"/>
  <c r="J300" i="2" s="1"/>
  <c r="E301" i="2" s="1"/>
  <c r="J301" i="2" s="1"/>
  <c r="E302" i="2" s="1"/>
  <c r="J302" i="2" s="1"/>
  <c r="E303" i="2" s="1"/>
  <c r="J303" i="2" s="1"/>
  <c r="E304" i="2" s="1"/>
  <c r="J304" i="2" s="1"/>
  <c r="E305" i="2" s="1"/>
  <c r="J305" i="2" s="1"/>
  <c r="E306" i="2" s="1"/>
  <c r="J306" i="2" s="1"/>
  <c r="E307" i="2" s="1"/>
  <c r="J307" i="2" s="1"/>
  <c r="E308" i="2" s="1"/>
  <c r="J308" i="2" s="1"/>
  <c r="E309" i="2" s="1"/>
  <c r="J309" i="2" s="1"/>
  <c r="E310" i="2" s="1"/>
  <c r="J310" i="2" s="1"/>
  <c r="E311" i="2" s="1"/>
  <c r="J311" i="2" s="1"/>
  <c r="E312" i="2" s="1"/>
  <c r="J312" i="2" s="1"/>
  <c r="E313" i="2" s="1"/>
  <c r="J313" i="2" s="1"/>
  <c r="E314" i="2" s="1"/>
  <c r="J314" i="2" s="1"/>
  <c r="E315" i="2" s="1"/>
  <c r="J315" i="2" s="1"/>
  <c r="E316" i="2" s="1"/>
  <c r="J316" i="2" s="1"/>
  <c r="E317" i="2" s="1"/>
  <c r="J317" i="2" s="1"/>
  <c r="E318" i="2" s="1"/>
  <c r="J318" i="2" s="1"/>
  <c r="E319" i="2" s="1"/>
  <c r="J319" i="2" s="1"/>
  <c r="E320" i="2" s="1"/>
  <c r="J320" i="2" s="1"/>
  <c r="E321" i="2" s="1"/>
  <c r="J321" i="2" s="1"/>
  <c r="E322" i="2" s="1"/>
  <c r="J322" i="2" s="1"/>
  <c r="E323" i="2" s="1"/>
  <c r="J323" i="2" s="1"/>
  <c r="E324" i="2" s="1"/>
  <c r="J324" i="2" s="1"/>
  <c r="E325" i="2" s="1"/>
  <c r="J325" i="2" s="1"/>
  <c r="E326" i="2" s="1"/>
  <c r="J326" i="2" s="1"/>
  <c r="E327" i="2" s="1"/>
  <c r="J327" i="2" s="1"/>
  <c r="E328" i="2" s="1"/>
  <c r="J328" i="2" s="1"/>
  <c r="E329" i="2" s="1"/>
  <c r="J329" i="2" s="1"/>
  <c r="E330" i="2" s="1"/>
  <c r="J330" i="2" s="1"/>
  <c r="E331" i="2" s="1"/>
  <c r="J331" i="2" s="1"/>
  <c r="E332" i="2" s="1"/>
  <c r="J332" i="2" s="1"/>
  <c r="E333" i="2" s="1"/>
  <c r="J333" i="2" s="1"/>
  <c r="E334" i="2" s="1"/>
  <c r="J334" i="2" s="1"/>
  <c r="E335" i="2" s="1"/>
  <c r="J335" i="2" s="1"/>
  <c r="E336" i="2" s="1"/>
  <c r="J336" i="2" s="1"/>
  <c r="E337" i="2" s="1"/>
  <c r="J337" i="2" s="1"/>
  <c r="E338" i="2" s="1"/>
  <c r="J338" i="2" s="1"/>
  <c r="E339" i="2" s="1"/>
  <c r="J339" i="2" s="1"/>
  <c r="E340" i="2" s="1"/>
  <c r="J340" i="2" s="1"/>
  <c r="E341" i="2" s="1"/>
  <c r="J341" i="2" s="1"/>
  <c r="E342" i="2" s="1"/>
  <c r="J342" i="2" s="1"/>
  <c r="E343" i="2" s="1"/>
  <c r="J343" i="2" s="1"/>
  <c r="E344" i="2" s="1"/>
  <c r="J344" i="2" s="1"/>
  <c r="E345" i="2" s="1"/>
  <c r="J345" i="2" s="1"/>
  <c r="E346" i="2" s="1"/>
  <c r="J346" i="2" s="1"/>
  <c r="E347" i="2" s="1"/>
  <c r="J347" i="2" s="1"/>
  <c r="E348" i="2" s="1"/>
  <c r="J348" i="2" s="1"/>
  <c r="E349" i="2" s="1"/>
  <c r="J349" i="2" s="1"/>
  <c r="E350" i="2" s="1"/>
  <c r="J350" i="2" s="1"/>
  <c r="E351" i="2" s="1"/>
  <c r="J351" i="2" s="1"/>
  <c r="E352" i="2" s="1"/>
  <c r="J352" i="2" s="1"/>
  <c r="E353" i="2" s="1"/>
  <c r="J353" i="2" s="1"/>
  <c r="E354" i="2" s="1"/>
  <c r="J354" i="2" s="1"/>
  <c r="E355" i="2" s="1"/>
  <c r="J355" i="2" s="1"/>
  <c r="E356" i="2" s="1"/>
  <c r="J356" i="2" s="1"/>
  <c r="E357" i="2" s="1"/>
  <c r="J357" i="2" s="1"/>
  <c r="E358" i="2" s="1"/>
  <c r="J358" i="2" s="1"/>
  <c r="E359" i="2" s="1"/>
  <c r="J359" i="2" s="1"/>
  <c r="E360" i="2" s="1"/>
  <c r="J360" i="2" s="1"/>
  <c r="E361" i="2" s="1"/>
  <c r="J361" i="2" s="1"/>
  <c r="E362" i="2" s="1"/>
  <c r="J362" i="2" s="1"/>
  <c r="E363" i="2" s="1"/>
  <c r="J363" i="2" s="1"/>
  <c r="E364" i="2" s="1"/>
  <c r="J364" i="2" s="1"/>
  <c r="E365" i="2" s="1"/>
  <c r="J365" i="2" s="1"/>
  <c r="E366" i="2" s="1"/>
  <c r="J366" i="2" s="1"/>
  <c r="E367" i="2" s="1"/>
  <c r="J367" i="2" s="1"/>
  <c r="E368" i="2" s="1"/>
  <c r="J368" i="2" s="1"/>
  <c r="E369" i="2" s="1"/>
  <c r="J369" i="2" s="1"/>
  <c r="E370" i="2" s="1"/>
  <c r="J370" i="2" s="1"/>
  <c r="E371" i="2" s="1"/>
  <c r="J371" i="2" s="1"/>
  <c r="E372" i="2" s="1"/>
  <c r="J372" i="2" s="1"/>
  <c r="E373" i="2" s="1"/>
  <c r="J373" i="2" s="1"/>
  <c r="E374" i="2" s="1"/>
  <c r="J374" i="2" s="1"/>
  <c r="E375" i="2" s="1"/>
  <c r="J375" i="2" s="1"/>
  <c r="E376" i="2" s="1"/>
  <c r="J376" i="2" s="1"/>
  <c r="E377" i="2" s="1"/>
  <c r="J377" i="2" s="1"/>
  <c r="E378" i="2" s="1"/>
  <c r="J378" i="2" s="1"/>
  <c r="E379" i="2" s="1"/>
  <c r="J379" i="2" s="1"/>
  <c r="E380" i="2" s="1"/>
  <c r="J380" i="2" s="1"/>
  <c r="E381" i="2" s="1"/>
  <c r="J381" i="2" s="1"/>
  <c r="E382" i="2" s="1"/>
  <c r="J382" i="2" s="1"/>
  <c r="E383" i="2" s="1"/>
  <c r="J383" i="2" s="1"/>
  <c r="E384" i="2" s="1"/>
  <c r="J384" i="2" s="1"/>
  <c r="E385" i="2" s="1"/>
  <c r="J385" i="2" s="1"/>
  <c r="E386" i="2" s="1"/>
  <c r="J386" i="2" s="1"/>
  <c r="E387" i="2" s="1"/>
  <c r="J387" i="2" s="1"/>
  <c r="E388" i="2" s="1"/>
  <c r="J388" i="2" s="1"/>
  <c r="E389" i="2" s="1"/>
  <c r="J389" i="2" s="1"/>
  <c r="E390" i="2" s="1"/>
  <c r="J390" i="2" s="1"/>
  <c r="E391" i="2" s="1"/>
  <c r="J391" i="2" s="1"/>
  <c r="E392" i="2" s="1"/>
  <c r="J392" i="2" s="1"/>
  <c r="E393" i="2" s="1"/>
  <c r="J393" i="2" s="1"/>
  <c r="E394" i="2" s="1"/>
  <c r="J394" i="2" s="1"/>
  <c r="E395" i="2" s="1"/>
  <c r="J395" i="2" s="1"/>
  <c r="E396" i="2" s="1"/>
  <c r="J396" i="2" s="1"/>
  <c r="E397" i="2" s="1"/>
  <c r="J397" i="2" s="1"/>
  <c r="E398" i="2" s="1"/>
  <c r="J398" i="2" s="1"/>
  <c r="E399" i="2" s="1"/>
  <c r="J399" i="2" s="1"/>
  <c r="E400" i="2" s="1"/>
  <c r="J400" i="2" s="1"/>
  <c r="E401" i="2" s="1"/>
  <c r="J401" i="2" s="1"/>
  <c r="E402" i="2" s="1"/>
  <c r="J402" i="2" s="1"/>
  <c r="E403" i="2" s="1"/>
  <c r="J403" i="2" s="1"/>
  <c r="E404" i="2" s="1"/>
  <c r="J404" i="2" s="1"/>
  <c r="E405" i="2" s="1"/>
  <c r="J405" i="2" s="1"/>
  <c r="E406" i="2" s="1"/>
  <c r="J406" i="2" s="1"/>
  <c r="E407" i="2" s="1"/>
  <c r="J407" i="2" s="1"/>
  <c r="E408" i="2" s="1"/>
  <c r="J408" i="2" s="1"/>
  <c r="E409" i="2" s="1"/>
  <c r="J409" i="2" s="1"/>
  <c r="E410" i="2" s="1"/>
  <c r="J410" i="2" s="1"/>
  <c r="E411" i="2" s="1"/>
  <c r="J411" i="2" s="1"/>
  <c r="E412" i="2" s="1"/>
  <c r="J412" i="2" s="1"/>
  <c r="E413" i="2" s="1"/>
  <c r="J413" i="2" s="1"/>
  <c r="E414" i="2" s="1"/>
  <c r="J414" i="2" s="1"/>
  <c r="E415" i="2" s="1"/>
  <c r="J415" i="2" s="1"/>
  <c r="E416" i="2" s="1"/>
  <c r="J416" i="2" s="1"/>
  <c r="E417" i="2" s="1"/>
  <c r="J417" i="2" s="1"/>
  <c r="E418" i="2" s="1"/>
  <c r="J418" i="2" s="1"/>
  <c r="E419" i="2" s="1"/>
  <c r="J419" i="2" s="1"/>
  <c r="E420" i="2" s="1"/>
  <c r="J420" i="2" s="1"/>
  <c r="E421" i="2" s="1"/>
  <c r="J421" i="2" s="1"/>
  <c r="E422" i="2" s="1"/>
  <c r="J422" i="2" s="1"/>
  <c r="E423" i="2" s="1"/>
  <c r="J423" i="2" s="1"/>
  <c r="E424" i="2" s="1"/>
  <c r="J424" i="2" s="1"/>
  <c r="E425" i="2" s="1"/>
  <c r="J425" i="2" s="1"/>
  <c r="E426" i="2" s="1"/>
  <c r="J426" i="2" s="1"/>
  <c r="E427" i="2" s="1"/>
  <c r="J427" i="2" s="1"/>
  <c r="E428" i="2" s="1"/>
  <c r="J428" i="2" s="1"/>
  <c r="E429" i="2" s="1"/>
  <c r="J429" i="2" s="1"/>
  <c r="E430" i="2" s="1"/>
  <c r="J430" i="2" s="1"/>
  <c r="E431" i="2" s="1"/>
  <c r="J431" i="2" s="1"/>
  <c r="E432" i="2" s="1"/>
  <c r="J432" i="2" s="1"/>
  <c r="E433" i="2" s="1"/>
  <c r="J433" i="2" s="1"/>
  <c r="E434" i="2" s="1"/>
  <c r="J434" i="2" s="1"/>
  <c r="E435" i="2" s="1"/>
  <c r="J435" i="2" s="1"/>
  <c r="E436" i="2" s="1"/>
  <c r="J436" i="2" s="1"/>
  <c r="E437" i="2" s="1"/>
  <c r="J437" i="2" s="1"/>
  <c r="E438" i="2" s="1"/>
  <c r="J438" i="2" s="1"/>
  <c r="E439" i="2" s="1"/>
  <c r="J439" i="2" s="1"/>
  <c r="E440" i="2" s="1"/>
  <c r="J440" i="2" s="1"/>
  <c r="E441" i="2" s="1"/>
  <c r="J441" i="2" s="1"/>
  <c r="E442" i="2" s="1"/>
  <c r="J442" i="2" s="1"/>
  <c r="E443" i="2" s="1"/>
  <c r="J443" i="2" s="1"/>
  <c r="E444" i="2" s="1"/>
  <c r="J444" i="2" s="1"/>
  <c r="E445" i="2" s="1"/>
  <c r="J445" i="2" s="1"/>
  <c r="E446" i="2" s="1"/>
  <c r="J446" i="2" s="1"/>
  <c r="E447" i="2" s="1"/>
  <c r="J447" i="2" s="1"/>
  <c r="E448" i="2" s="1"/>
  <c r="J448" i="2" s="1"/>
  <c r="E449" i="2" s="1"/>
  <c r="J449" i="2" s="1"/>
  <c r="E450" i="2" s="1"/>
  <c r="J450" i="2" s="1"/>
  <c r="E451" i="2" s="1"/>
  <c r="J451" i="2" s="1"/>
  <c r="E452" i="2" s="1"/>
  <c r="J452" i="2" s="1"/>
  <c r="E453" i="2" s="1"/>
  <c r="J453" i="2" s="1"/>
  <c r="E454" i="2" s="1"/>
  <c r="J454" i="2" s="1"/>
  <c r="E455" i="2" s="1"/>
  <c r="J455" i="2" s="1"/>
  <c r="E456" i="2" s="1"/>
  <c r="J456" i="2" s="1"/>
  <c r="E457" i="2" s="1"/>
  <c r="J457" i="2" s="1"/>
  <c r="E458" i="2" s="1"/>
  <c r="J458" i="2" s="1"/>
  <c r="E459" i="2" s="1"/>
  <c r="J459" i="2" s="1"/>
  <c r="E460" i="2" s="1"/>
  <c r="J460" i="2" s="1"/>
  <c r="E461" i="2" s="1"/>
  <c r="J461" i="2" s="1"/>
  <c r="E462" i="2" s="1"/>
  <c r="J462" i="2" s="1"/>
  <c r="E463" i="2" s="1"/>
  <c r="J463" i="2" s="1"/>
  <c r="E464" i="2" s="1"/>
  <c r="J464" i="2" s="1"/>
  <c r="E465" i="2" s="1"/>
  <c r="J465" i="2" s="1"/>
  <c r="E466" i="2" s="1"/>
  <c r="J466" i="2" s="1"/>
  <c r="E467" i="2" s="1"/>
  <c r="J467" i="2" s="1"/>
  <c r="E468" i="2" s="1"/>
  <c r="J468" i="2" s="1"/>
  <c r="E469" i="2" s="1"/>
  <c r="J469" i="2" s="1"/>
  <c r="E470" i="2" s="1"/>
  <c r="J470" i="2" s="1"/>
  <c r="E471" i="2" s="1"/>
  <c r="J471" i="2" s="1"/>
  <c r="E472" i="2" s="1"/>
  <c r="J472" i="2" s="1"/>
  <c r="E473" i="2" s="1"/>
  <c r="J473" i="2" s="1"/>
  <c r="E474" i="2" s="1"/>
  <c r="J474" i="2" s="1"/>
  <c r="E475" i="2" s="1"/>
  <c r="J475" i="2" s="1"/>
  <c r="E476" i="2" s="1"/>
  <c r="J476" i="2" s="1"/>
  <c r="E477" i="2" s="1"/>
  <c r="J477" i="2" s="1"/>
  <c r="E478" i="2" s="1"/>
  <c r="J478" i="2" s="1"/>
  <c r="E479" i="2" s="1"/>
  <c r="J479" i="2" s="1"/>
  <c r="E480" i="2" s="1"/>
  <c r="J480" i="2" s="1"/>
  <c r="E481" i="2" s="1"/>
  <c r="J481" i="2" s="1"/>
  <c r="E482" i="2" s="1"/>
  <c r="J482" i="2" s="1"/>
  <c r="E483" i="2" s="1"/>
  <c r="J483" i="2" s="1"/>
  <c r="E484" i="2" s="1"/>
  <c r="J484" i="2" s="1"/>
  <c r="E485" i="2" s="1"/>
  <c r="J485" i="2" s="1"/>
  <c r="E486" i="2" s="1"/>
  <c r="J486" i="2" s="1"/>
  <c r="E487" i="2" s="1"/>
  <c r="J487" i="2" s="1"/>
  <c r="E488" i="2" s="1"/>
  <c r="J488" i="2" s="1"/>
  <c r="E489" i="2" s="1"/>
  <c r="J489" i="2" s="1"/>
  <c r="E490" i="2" s="1"/>
  <c r="J490" i="2" s="1"/>
  <c r="E491" i="2" s="1"/>
  <c r="J491" i="2" s="1"/>
  <c r="E492" i="2" s="1"/>
  <c r="J492" i="2" s="1"/>
  <c r="E493" i="2" s="1"/>
  <c r="J493" i="2" s="1"/>
  <c r="E494" i="2" s="1"/>
  <c r="J494" i="2" s="1"/>
  <c r="E495" i="2" s="1"/>
  <c r="J495" i="2" s="1"/>
  <c r="E496" i="2" s="1"/>
  <c r="J496" i="2" s="1"/>
  <c r="E497" i="2" s="1"/>
  <c r="J497" i="2" s="1"/>
  <c r="E498" i="2" s="1"/>
  <c r="J498" i="2" s="1"/>
  <c r="E499" i="2" s="1"/>
  <c r="J499" i="2" s="1"/>
  <c r="E500" i="2" s="1"/>
  <c r="J500" i="2" s="1"/>
  <c r="E198" i="3"/>
  <c r="J198" i="3" s="1"/>
  <c r="R197" i="3"/>
  <c r="E199" i="3" l="1"/>
  <c r="J199" i="3" s="1"/>
  <c r="R198" i="3"/>
  <c r="E200" i="3" l="1"/>
  <c r="J200" i="3" s="1"/>
  <c r="R199" i="3"/>
  <c r="R200" i="3" l="1"/>
  <c r="E201" i="3"/>
  <c r="J201" i="3" s="1"/>
  <c r="E202" i="3" s="1"/>
  <c r="J202" i="3" s="1"/>
  <c r="E203" i="3" s="1"/>
  <c r="J203" i="3" s="1"/>
  <c r="E204" i="3" s="1"/>
  <c r="J204" i="3" s="1"/>
  <c r="E205" i="3" s="1"/>
  <c r="J205" i="3" s="1"/>
  <c r="E206" i="3" s="1"/>
  <c r="J206" i="3" s="1"/>
  <c r="E207" i="3" s="1"/>
  <c r="J207" i="3" s="1"/>
  <c r="E208" i="3" s="1"/>
  <c r="J208" i="3" s="1"/>
  <c r="E209" i="3" s="1"/>
  <c r="J209" i="3" s="1"/>
  <c r="E210" i="3" s="1"/>
  <c r="J210" i="3" s="1"/>
  <c r="E211" i="3" s="1"/>
  <c r="J211" i="3" s="1"/>
  <c r="E212" i="3" s="1"/>
  <c r="J212" i="3" s="1"/>
  <c r="E213" i="3" s="1"/>
  <c r="J213" i="3" s="1"/>
  <c r="E214" i="3" s="1"/>
  <c r="J214" i="3" s="1"/>
  <c r="E215" i="3" s="1"/>
  <c r="J215" i="3" s="1"/>
  <c r="E216" i="3" s="1"/>
  <c r="J216" i="3" s="1"/>
  <c r="E217" i="3" s="1"/>
  <c r="J217" i="3" s="1"/>
  <c r="E218" i="3" s="1"/>
  <c r="J218" i="3" s="1"/>
  <c r="E219" i="3" s="1"/>
  <c r="J219" i="3" s="1"/>
  <c r="E220" i="3" s="1"/>
  <c r="J220" i="3" s="1"/>
  <c r="E221" i="3" s="1"/>
  <c r="J221" i="3" s="1"/>
  <c r="E222" i="3" s="1"/>
  <c r="J222" i="3" s="1"/>
  <c r="E223" i="3" s="1"/>
  <c r="J223" i="3" s="1"/>
  <c r="E224" i="3" s="1"/>
  <c r="J224" i="3" s="1"/>
  <c r="E225" i="3" s="1"/>
  <c r="J225" i="3" s="1"/>
  <c r="E226" i="3" s="1"/>
  <c r="J226" i="3" s="1"/>
  <c r="E227" i="3" s="1"/>
  <c r="J227" i="3" s="1"/>
  <c r="E228" i="3" s="1"/>
  <c r="J228" i="3" s="1"/>
  <c r="E229" i="3" s="1"/>
  <c r="J229" i="3" s="1"/>
  <c r="E230" i="3" s="1"/>
  <c r="J230" i="3" s="1"/>
  <c r="E231" i="3" s="1"/>
  <c r="J231" i="3" s="1"/>
  <c r="E232" i="3" s="1"/>
  <c r="J232" i="3" s="1"/>
  <c r="E233" i="3" s="1"/>
  <c r="J233" i="3" s="1"/>
  <c r="E234" i="3" s="1"/>
  <c r="J234" i="3" s="1"/>
  <c r="E235" i="3" s="1"/>
  <c r="J235" i="3" s="1"/>
  <c r="E236" i="3" s="1"/>
  <c r="J236" i="3" s="1"/>
  <c r="E237" i="3" s="1"/>
  <c r="J237" i="3" s="1"/>
  <c r="E238" i="3" s="1"/>
  <c r="J238" i="3" s="1"/>
  <c r="E239" i="3" s="1"/>
  <c r="J239" i="3" s="1"/>
  <c r="E240" i="3" s="1"/>
  <c r="J240" i="3" s="1"/>
  <c r="E241" i="3" s="1"/>
  <c r="J241" i="3" s="1"/>
  <c r="E242" i="3" s="1"/>
  <c r="J242" i="3" s="1"/>
  <c r="E243" i="3" s="1"/>
  <c r="J243" i="3" s="1"/>
  <c r="E244" i="3" s="1"/>
  <c r="J244" i="3" s="1"/>
  <c r="E245" i="3" s="1"/>
  <c r="J245" i="3" s="1"/>
  <c r="E246" i="3" s="1"/>
  <c r="J246" i="3" s="1"/>
  <c r="E247" i="3" s="1"/>
  <c r="J247" i="3" s="1"/>
  <c r="E248" i="3" s="1"/>
  <c r="J248" i="3" s="1"/>
  <c r="E249" i="3" s="1"/>
  <c r="J249" i="3" s="1"/>
  <c r="E250" i="3" s="1"/>
  <c r="J250" i="3" s="1"/>
  <c r="E251" i="3" s="1"/>
  <c r="J251" i="3" s="1"/>
  <c r="E252" i="3" s="1"/>
  <c r="J252" i="3" s="1"/>
  <c r="E253" i="3" s="1"/>
  <c r="J253" i="3" s="1"/>
  <c r="E254" i="3" s="1"/>
  <c r="J254" i="3" s="1"/>
  <c r="E255" i="3" s="1"/>
  <c r="J255" i="3" s="1"/>
  <c r="E256" i="3" s="1"/>
  <c r="J256" i="3" s="1"/>
  <c r="E257" i="3" s="1"/>
  <c r="J257" i="3" s="1"/>
  <c r="E258" i="3" s="1"/>
  <c r="J258" i="3" s="1"/>
  <c r="E259" i="3" s="1"/>
  <c r="J259" i="3" s="1"/>
  <c r="E260" i="3" s="1"/>
  <c r="J260" i="3" s="1"/>
  <c r="E261" i="3" s="1"/>
  <c r="J261" i="3" s="1"/>
  <c r="E262" i="3" s="1"/>
  <c r="J262" i="3" s="1"/>
  <c r="E263" i="3" s="1"/>
  <c r="J263" i="3" s="1"/>
  <c r="E264" i="3" s="1"/>
  <c r="J264" i="3" s="1"/>
  <c r="E265" i="3" s="1"/>
  <c r="J265" i="3" s="1"/>
  <c r="E266" i="3" s="1"/>
  <c r="J266" i="3" s="1"/>
  <c r="E267" i="3" s="1"/>
  <c r="J267" i="3" s="1"/>
  <c r="E268" i="3" s="1"/>
  <c r="J268" i="3" s="1"/>
  <c r="E269" i="3" s="1"/>
  <c r="J269" i="3" s="1"/>
  <c r="E270" i="3" s="1"/>
  <c r="J270" i="3" s="1"/>
  <c r="E271" i="3" s="1"/>
  <c r="J271" i="3" s="1"/>
  <c r="E272" i="3" s="1"/>
  <c r="J272" i="3" s="1"/>
  <c r="E273" i="3" s="1"/>
  <c r="J273" i="3" s="1"/>
  <c r="E274" i="3" s="1"/>
  <c r="J274" i="3" s="1"/>
  <c r="E275" i="3" s="1"/>
  <c r="J275" i="3" s="1"/>
  <c r="E276" i="3" s="1"/>
  <c r="J276" i="3" s="1"/>
  <c r="E277" i="3" s="1"/>
  <c r="J277" i="3" s="1"/>
  <c r="E278" i="3" s="1"/>
  <c r="J278" i="3" s="1"/>
  <c r="E279" i="3" s="1"/>
  <c r="J279" i="3" s="1"/>
  <c r="E280" i="3" s="1"/>
  <c r="J280" i="3" s="1"/>
  <c r="E281" i="3" s="1"/>
  <c r="J281" i="3" s="1"/>
  <c r="E282" i="3" s="1"/>
  <c r="J282" i="3" s="1"/>
  <c r="E283" i="3" s="1"/>
  <c r="J283" i="3" s="1"/>
  <c r="E284" i="3" s="1"/>
  <c r="J284" i="3" s="1"/>
  <c r="E285" i="3" s="1"/>
  <c r="J285" i="3" s="1"/>
  <c r="E286" i="3" s="1"/>
  <c r="J286" i="3" s="1"/>
  <c r="E287" i="3" s="1"/>
  <c r="J287" i="3" s="1"/>
  <c r="E288" i="3" s="1"/>
  <c r="J288" i="3" s="1"/>
  <c r="E289" i="3" s="1"/>
  <c r="J289" i="3" s="1"/>
  <c r="E290" i="3" s="1"/>
  <c r="J290" i="3" s="1"/>
  <c r="E291" i="3" s="1"/>
  <c r="J291" i="3" s="1"/>
  <c r="E292" i="3" s="1"/>
  <c r="J292" i="3" s="1"/>
  <c r="E293" i="3" s="1"/>
  <c r="J293" i="3" s="1"/>
  <c r="E294" i="3" s="1"/>
  <c r="J294" i="3" s="1"/>
  <c r="E295" i="3" s="1"/>
  <c r="J295" i="3" s="1"/>
  <c r="E296" i="3" s="1"/>
  <c r="J296" i="3" s="1"/>
  <c r="E297" i="3" s="1"/>
  <c r="J297" i="3" s="1"/>
  <c r="E298" i="3" s="1"/>
  <c r="J298" i="3" s="1"/>
  <c r="E299" i="3" s="1"/>
  <c r="J299" i="3" s="1"/>
  <c r="E300" i="3" s="1"/>
  <c r="J300" i="3" s="1"/>
  <c r="E301" i="3" s="1"/>
  <c r="J301" i="3" s="1"/>
  <c r="E302" i="3" s="1"/>
  <c r="J302" i="3" s="1"/>
  <c r="E303" i="3" s="1"/>
  <c r="J303" i="3" s="1"/>
  <c r="E304" i="3" s="1"/>
  <c r="J304" i="3" s="1"/>
  <c r="E305" i="3" s="1"/>
  <c r="J305" i="3" s="1"/>
  <c r="E306" i="3" s="1"/>
  <c r="J306" i="3" s="1"/>
  <c r="E307" i="3" s="1"/>
  <c r="J307" i="3" s="1"/>
  <c r="E308" i="3" s="1"/>
  <c r="J308" i="3" s="1"/>
  <c r="E309" i="3" s="1"/>
  <c r="J309" i="3" s="1"/>
  <c r="E310" i="3" s="1"/>
  <c r="J310" i="3" s="1"/>
  <c r="E311" i="3" s="1"/>
  <c r="J311" i="3" s="1"/>
  <c r="E312" i="3" s="1"/>
  <c r="J312" i="3" s="1"/>
  <c r="E313" i="3" s="1"/>
  <c r="J313" i="3" s="1"/>
  <c r="E314" i="3" s="1"/>
  <c r="J314" i="3" s="1"/>
  <c r="E315" i="3" s="1"/>
  <c r="J315" i="3" s="1"/>
  <c r="E316" i="3" s="1"/>
  <c r="J316" i="3" s="1"/>
  <c r="E317" i="3" s="1"/>
  <c r="J317" i="3" s="1"/>
  <c r="E318" i="3" s="1"/>
  <c r="J318" i="3" s="1"/>
  <c r="E319" i="3" s="1"/>
  <c r="J319" i="3" s="1"/>
  <c r="E320" i="3" s="1"/>
  <c r="J320" i="3" s="1"/>
  <c r="E321" i="3" s="1"/>
  <c r="J321" i="3" s="1"/>
  <c r="E322" i="3" s="1"/>
  <c r="J322" i="3" s="1"/>
  <c r="E323" i="3" s="1"/>
  <c r="J323" i="3" s="1"/>
  <c r="E324" i="3" s="1"/>
  <c r="J324" i="3" s="1"/>
  <c r="E325" i="3" s="1"/>
  <c r="J325" i="3" s="1"/>
  <c r="E326" i="3" s="1"/>
  <c r="J326" i="3" s="1"/>
  <c r="E327" i="3" s="1"/>
  <c r="J327" i="3" s="1"/>
  <c r="E328" i="3" s="1"/>
  <c r="J328" i="3" s="1"/>
  <c r="E329" i="3" s="1"/>
  <c r="J329" i="3" s="1"/>
  <c r="E330" i="3" s="1"/>
  <c r="J330" i="3" s="1"/>
  <c r="E331" i="3" s="1"/>
  <c r="J331" i="3" s="1"/>
  <c r="E332" i="3" s="1"/>
  <c r="J332" i="3" s="1"/>
  <c r="E333" i="3" s="1"/>
  <c r="J333" i="3" s="1"/>
  <c r="E334" i="3" s="1"/>
  <c r="J334" i="3" s="1"/>
  <c r="E335" i="3" s="1"/>
  <c r="J335" i="3" s="1"/>
  <c r="E336" i="3" s="1"/>
  <c r="J336" i="3" s="1"/>
  <c r="E337" i="3" s="1"/>
  <c r="J337" i="3" s="1"/>
  <c r="E338" i="3" s="1"/>
  <c r="J338" i="3" s="1"/>
  <c r="E339" i="3" s="1"/>
  <c r="J339" i="3" s="1"/>
  <c r="E340" i="3" s="1"/>
  <c r="J340" i="3" s="1"/>
  <c r="E341" i="3" s="1"/>
  <c r="J341" i="3" s="1"/>
  <c r="E342" i="3" s="1"/>
  <c r="J342" i="3" s="1"/>
  <c r="E343" i="3" s="1"/>
  <c r="J343" i="3" s="1"/>
  <c r="E344" i="3" s="1"/>
  <c r="J344" i="3" s="1"/>
  <c r="E345" i="3" s="1"/>
  <c r="J345" i="3" s="1"/>
  <c r="E346" i="3" s="1"/>
  <c r="J346" i="3" s="1"/>
  <c r="E347" i="3" s="1"/>
  <c r="J347" i="3" s="1"/>
  <c r="E348" i="3" s="1"/>
  <c r="J348" i="3" s="1"/>
  <c r="E349" i="3" s="1"/>
  <c r="J349" i="3" s="1"/>
  <c r="E350" i="3" s="1"/>
  <c r="J350" i="3" s="1"/>
  <c r="E351" i="3" s="1"/>
  <c r="J351" i="3" s="1"/>
  <c r="E352" i="3" s="1"/>
  <c r="J352" i="3" s="1"/>
  <c r="E353" i="3" s="1"/>
  <c r="J353" i="3" s="1"/>
  <c r="E354" i="3" s="1"/>
  <c r="J354" i="3" s="1"/>
  <c r="E355" i="3" s="1"/>
  <c r="J355" i="3" s="1"/>
  <c r="E356" i="3" s="1"/>
  <c r="J356" i="3" s="1"/>
  <c r="E357" i="3" s="1"/>
  <c r="J357" i="3" s="1"/>
  <c r="E358" i="3" s="1"/>
  <c r="J358" i="3" s="1"/>
  <c r="E359" i="3" s="1"/>
  <c r="J359" i="3" s="1"/>
  <c r="E360" i="3" s="1"/>
  <c r="J360" i="3" s="1"/>
  <c r="E361" i="3" s="1"/>
  <c r="J361" i="3" s="1"/>
  <c r="E362" i="3" s="1"/>
  <c r="J362" i="3" s="1"/>
  <c r="E363" i="3" s="1"/>
  <c r="J363" i="3" s="1"/>
  <c r="E364" i="3" s="1"/>
  <c r="J364" i="3" s="1"/>
  <c r="E365" i="3" s="1"/>
  <c r="J365" i="3" s="1"/>
  <c r="E366" i="3" s="1"/>
  <c r="J366" i="3" s="1"/>
  <c r="E367" i="3" s="1"/>
  <c r="J367" i="3" s="1"/>
  <c r="E368" i="3" s="1"/>
  <c r="J368" i="3" s="1"/>
  <c r="E369" i="3" s="1"/>
  <c r="J369" i="3" s="1"/>
  <c r="E370" i="3" s="1"/>
  <c r="J370" i="3" s="1"/>
  <c r="E371" i="3" s="1"/>
  <c r="J371" i="3" s="1"/>
  <c r="E372" i="3" s="1"/>
  <c r="J372" i="3" s="1"/>
  <c r="E373" i="3" s="1"/>
  <c r="J373" i="3" s="1"/>
  <c r="E374" i="3" s="1"/>
  <c r="J374" i="3" s="1"/>
  <c r="E375" i="3" s="1"/>
  <c r="J375" i="3" s="1"/>
  <c r="E376" i="3" s="1"/>
  <c r="J376" i="3" s="1"/>
  <c r="E377" i="3" s="1"/>
  <c r="J377" i="3" s="1"/>
  <c r="E378" i="3" s="1"/>
  <c r="J378" i="3" s="1"/>
  <c r="E379" i="3" s="1"/>
  <c r="J379" i="3" s="1"/>
  <c r="E380" i="3" s="1"/>
  <c r="J380" i="3" s="1"/>
  <c r="E381" i="3" s="1"/>
  <c r="J381" i="3" s="1"/>
  <c r="E382" i="3" s="1"/>
  <c r="J382" i="3" s="1"/>
  <c r="E383" i="3" s="1"/>
  <c r="J383" i="3" s="1"/>
  <c r="E384" i="3" s="1"/>
  <c r="J384" i="3" s="1"/>
  <c r="E385" i="3" s="1"/>
  <c r="J385" i="3" s="1"/>
  <c r="E386" i="3" s="1"/>
  <c r="J386" i="3" s="1"/>
  <c r="E387" i="3" s="1"/>
  <c r="J387" i="3" s="1"/>
  <c r="E388" i="3" s="1"/>
  <c r="J388" i="3" s="1"/>
  <c r="E389" i="3" s="1"/>
  <c r="J389" i="3" s="1"/>
  <c r="E390" i="3" s="1"/>
  <c r="J390" i="3" s="1"/>
  <c r="E391" i="3" s="1"/>
  <c r="J391" i="3" s="1"/>
  <c r="E392" i="3" s="1"/>
  <c r="J392" i="3" s="1"/>
  <c r="E393" i="3" s="1"/>
  <c r="J393" i="3" s="1"/>
  <c r="E394" i="3" s="1"/>
  <c r="J394" i="3" s="1"/>
  <c r="E395" i="3" s="1"/>
  <c r="J395" i="3" s="1"/>
  <c r="E396" i="3" s="1"/>
  <c r="J396" i="3" s="1"/>
  <c r="E397" i="3" s="1"/>
  <c r="J397" i="3" s="1"/>
  <c r="E398" i="3" s="1"/>
  <c r="J398" i="3" s="1"/>
  <c r="E399" i="3" s="1"/>
  <c r="J399" i="3" s="1"/>
  <c r="E400" i="3" s="1"/>
  <c r="J400" i="3" s="1"/>
  <c r="E401" i="3" s="1"/>
  <c r="J401" i="3" s="1"/>
  <c r="E402" i="3" s="1"/>
  <c r="J402" i="3" s="1"/>
  <c r="E403" i="3" s="1"/>
  <c r="J403" i="3" s="1"/>
  <c r="E404" i="3" s="1"/>
  <c r="J404" i="3" s="1"/>
  <c r="E405" i="3" s="1"/>
  <c r="J405" i="3" s="1"/>
  <c r="E406" i="3" s="1"/>
  <c r="J406" i="3" s="1"/>
  <c r="E407" i="3" s="1"/>
  <c r="J407" i="3" s="1"/>
  <c r="E408" i="3" s="1"/>
  <c r="J408" i="3" s="1"/>
  <c r="E409" i="3" s="1"/>
  <c r="J409" i="3" s="1"/>
  <c r="E410" i="3" s="1"/>
  <c r="J410" i="3" s="1"/>
  <c r="E411" i="3" s="1"/>
  <c r="J411" i="3" s="1"/>
  <c r="E412" i="3" s="1"/>
  <c r="J412" i="3" s="1"/>
  <c r="E413" i="3" s="1"/>
  <c r="J413" i="3" s="1"/>
  <c r="E414" i="3" s="1"/>
  <c r="J414" i="3" s="1"/>
  <c r="E415" i="3" s="1"/>
  <c r="J415" i="3" s="1"/>
  <c r="E416" i="3" s="1"/>
  <c r="J416" i="3" s="1"/>
  <c r="E417" i="3" s="1"/>
  <c r="J417" i="3" s="1"/>
  <c r="E418" i="3" s="1"/>
  <c r="J418" i="3" s="1"/>
  <c r="E419" i="3" s="1"/>
  <c r="J419" i="3" s="1"/>
  <c r="E420" i="3" s="1"/>
  <c r="J420" i="3" s="1"/>
  <c r="E421" i="3" s="1"/>
  <c r="J421" i="3" s="1"/>
  <c r="E422" i="3" s="1"/>
  <c r="J422" i="3" s="1"/>
  <c r="E423" i="3" s="1"/>
  <c r="J423" i="3" s="1"/>
  <c r="E424" i="3" s="1"/>
  <c r="J424" i="3" s="1"/>
  <c r="E425" i="3" s="1"/>
  <c r="J425" i="3" s="1"/>
  <c r="E426" i="3" s="1"/>
  <c r="J426" i="3" s="1"/>
  <c r="E427" i="3" s="1"/>
  <c r="J427" i="3" s="1"/>
  <c r="E428" i="3" s="1"/>
  <c r="J428" i="3" s="1"/>
  <c r="E429" i="3" s="1"/>
  <c r="J429" i="3" s="1"/>
  <c r="E430" i="3" s="1"/>
  <c r="J430" i="3" s="1"/>
  <c r="E431" i="3" s="1"/>
  <c r="J431" i="3" s="1"/>
  <c r="E432" i="3" s="1"/>
  <c r="J432" i="3" s="1"/>
  <c r="E433" i="3" s="1"/>
  <c r="J433" i="3" s="1"/>
  <c r="E434" i="3" s="1"/>
  <c r="J434" i="3" s="1"/>
  <c r="E435" i="3" s="1"/>
  <c r="J435" i="3" s="1"/>
  <c r="E436" i="3" s="1"/>
  <c r="J436" i="3" s="1"/>
  <c r="E437" i="3" s="1"/>
  <c r="J437" i="3" s="1"/>
  <c r="E438" i="3" s="1"/>
  <c r="J438" i="3" s="1"/>
  <c r="E439" i="3" s="1"/>
  <c r="J439" i="3" s="1"/>
  <c r="E440" i="3" s="1"/>
  <c r="J440" i="3" s="1"/>
  <c r="E441" i="3" s="1"/>
  <c r="J441" i="3" s="1"/>
  <c r="E442" i="3" s="1"/>
  <c r="J442" i="3" s="1"/>
  <c r="E443" i="3" s="1"/>
  <c r="J443" i="3" s="1"/>
  <c r="E444" i="3" s="1"/>
  <c r="J444" i="3" s="1"/>
  <c r="E445" i="3" s="1"/>
  <c r="J445" i="3" s="1"/>
  <c r="E446" i="3" s="1"/>
  <c r="J446" i="3" s="1"/>
  <c r="E447" i="3" s="1"/>
  <c r="J447" i="3" s="1"/>
  <c r="E448" i="3" s="1"/>
  <c r="J448" i="3" s="1"/>
  <c r="E449" i="3" s="1"/>
  <c r="J449" i="3" s="1"/>
  <c r="E450" i="3" s="1"/>
  <c r="J450" i="3" s="1"/>
  <c r="E451" i="3" s="1"/>
  <c r="J451" i="3" s="1"/>
  <c r="E452" i="3" s="1"/>
  <c r="J452" i="3" s="1"/>
  <c r="E453" i="3" s="1"/>
  <c r="J453" i="3" s="1"/>
  <c r="E454" i="3" s="1"/>
  <c r="J454" i="3" s="1"/>
  <c r="E455" i="3" s="1"/>
  <c r="J455" i="3" s="1"/>
  <c r="E456" i="3" s="1"/>
  <c r="J456" i="3" s="1"/>
  <c r="E457" i="3" s="1"/>
  <c r="J457" i="3" s="1"/>
  <c r="E458" i="3" s="1"/>
  <c r="J458" i="3" s="1"/>
  <c r="E459" i="3" s="1"/>
  <c r="J459" i="3" s="1"/>
  <c r="E460" i="3" s="1"/>
  <c r="J460" i="3" s="1"/>
  <c r="E461" i="3" s="1"/>
  <c r="J461" i="3" s="1"/>
  <c r="E462" i="3" s="1"/>
  <c r="J462" i="3" s="1"/>
  <c r="E463" i="3" s="1"/>
  <c r="J463" i="3" s="1"/>
  <c r="E464" i="3" s="1"/>
  <c r="J464" i="3" s="1"/>
  <c r="E465" i="3" s="1"/>
  <c r="J465" i="3" s="1"/>
  <c r="E466" i="3" s="1"/>
  <c r="J466" i="3" s="1"/>
  <c r="E467" i="3" s="1"/>
  <c r="J467" i="3" s="1"/>
  <c r="E468" i="3" s="1"/>
  <c r="J468" i="3" s="1"/>
  <c r="E469" i="3" s="1"/>
  <c r="J469" i="3" s="1"/>
  <c r="E470" i="3" s="1"/>
  <c r="J470" i="3" s="1"/>
  <c r="E471" i="3" s="1"/>
  <c r="J471" i="3" s="1"/>
  <c r="E472" i="3" s="1"/>
  <c r="J472" i="3" s="1"/>
  <c r="E473" i="3" s="1"/>
  <c r="J473" i="3" s="1"/>
  <c r="E474" i="3" s="1"/>
  <c r="J474" i="3" s="1"/>
  <c r="E475" i="3" s="1"/>
  <c r="J475" i="3" s="1"/>
  <c r="E476" i="3" s="1"/>
  <c r="J476" i="3" s="1"/>
  <c r="E477" i="3" s="1"/>
  <c r="J477" i="3" s="1"/>
  <c r="E478" i="3" s="1"/>
  <c r="J478" i="3" s="1"/>
  <c r="E479" i="3" s="1"/>
  <c r="J479" i="3" s="1"/>
  <c r="E480" i="3" s="1"/>
  <c r="J480" i="3" s="1"/>
  <c r="E481" i="3" s="1"/>
  <c r="J481" i="3" s="1"/>
  <c r="E482" i="3" s="1"/>
  <c r="J482" i="3" s="1"/>
  <c r="E483" i="3" s="1"/>
  <c r="J483" i="3" s="1"/>
  <c r="E484" i="3" s="1"/>
  <c r="J484" i="3" s="1"/>
  <c r="E485" i="3" s="1"/>
  <c r="J485" i="3" s="1"/>
  <c r="E486" i="3" s="1"/>
  <c r="J486" i="3" s="1"/>
  <c r="E487" i="3" s="1"/>
  <c r="J487" i="3" s="1"/>
  <c r="E488" i="3" s="1"/>
  <c r="J488" i="3" s="1"/>
  <c r="E489" i="3" s="1"/>
  <c r="J489" i="3" s="1"/>
  <c r="E490" i="3" s="1"/>
  <c r="J490" i="3" s="1"/>
  <c r="E491" i="3" s="1"/>
  <c r="J491" i="3" s="1"/>
  <c r="E492" i="3" s="1"/>
  <c r="J492" i="3" s="1"/>
  <c r="E493" i="3" s="1"/>
  <c r="J493" i="3" s="1"/>
  <c r="E494" i="3" s="1"/>
  <c r="J494" i="3" s="1"/>
  <c r="E495" i="3" s="1"/>
  <c r="J495" i="3" s="1"/>
  <c r="E496" i="3" s="1"/>
  <c r="J496" i="3" s="1"/>
  <c r="E497" i="3" s="1"/>
  <c r="J497" i="3" s="1"/>
  <c r="E498" i="3" s="1"/>
  <c r="J498" i="3" s="1"/>
  <c r="E499" i="3" s="1"/>
  <c r="J499" i="3" s="1"/>
  <c r="E500" i="3" s="1"/>
  <c r="J500" i="3" s="1"/>
</calcChain>
</file>

<file path=xl/sharedStrings.xml><?xml version="1.0" encoding="utf-8"?>
<sst xmlns="http://schemas.openxmlformats.org/spreadsheetml/2006/main" count="613" uniqueCount="30">
  <si>
    <t xml:space="preserve">     D.O.J. </t>
  </si>
  <si>
    <t xml:space="preserve">D.O.R.     </t>
  </si>
  <si>
    <t>Duty</t>
  </si>
  <si>
    <t>Leaves Earned</t>
  </si>
  <si>
    <t>Leaves Credited</t>
  </si>
  <si>
    <t xml:space="preserve">Leave/ Non Qualifying Period </t>
  </si>
  <si>
    <t>Earned Leaves Utilised</t>
  </si>
  <si>
    <t>Leaves Balance</t>
  </si>
  <si>
    <t>Remarks</t>
  </si>
  <si>
    <t>From</t>
  </si>
  <si>
    <t>To</t>
  </si>
  <si>
    <t>Total Days</t>
  </si>
  <si>
    <t>Leave</t>
  </si>
  <si>
    <t>EARNED LEAVE</t>
  </si>
  <si>
    <t>ABSENT</t>
  </si>
  <si>
    <t>COMMUTED LEAVE</t>
  </si>
  <si>
    <t>HPL</t>
  </si>
  <si>
    <t>U/S</t>
  </si>
  <si>
    <t>EOL</t>
  </si>
  <si>
    <t>TOTAL E/L BALANCE</t>
  </si>
  <si>
    <t>1st 10 Year</t>
  </si>
  <si>
    <t>After 20 Years</t>
  </si>
  <si>
    <t>Name</t>
  </si>
  <si>
    <t>Post</t>
  </si>
  <si>
    <t>DOJ</t>
  </si>
  <si>
    <t>DOR</t>
  </si>
  <si>
    <t>10 to 20 Year</t>
  </si>
  <si>
    <t>10 YEAR COMPLETED</t>
  </si>
  <si>
    <t>20 YEAR COMPLETED</t>
  </si>
  <si>
    <t>D.O.R.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</si>
</sst>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\+??/22"/>
    <numFmt numFmtId="165" formatCode="#\ \+??/11"/>
    <numFmt numFmtId="166" formatCode="#\ \+??/22"/>
    <numFmt numFmtId="167" formatCode="#\ \+??/12"/>
    <numFmt numFmtId="168" formatCode="[$-F800]dddd\,\ mmmm\ dd\,\ yyyy"/>
    <numFmt numFmtId="169" formatCode="[$-14009]dd/mm/yyyy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E3D7D7"/>
      <name val="Calibri"/>
      <family val="2"/>
      <scheme val="minor"/>
    </font>
    <font>
      <sz val="11"/>
      <color rgb="FFE3D7D7"/>
      <name val="Calibri"/>
      <family val="2"/>
      <scheme val="minor"/>
    </font>
    <font>
      <b/>
      <sz val="11"/>
      <color rgb="FFAAD26E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3D7D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AD26E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4" fontId="0" fillId="2" borderId="0" xfId="0" applyNumberFormat="1" applyFill="1"/>
    <xf numFmtId="0" fontId="0" fillId="2" borderId="0" xfId="0" applyFill="1"/>
    <xf numFmtId="0" fontId="0" fillId="2" borderId="0" xfId="0" applyFill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0" fillId="2" borderId="0" xfId="0" applyNumberFormat="1" applyFill="1" applyBorder="1" applyAlignment="1">
      <alignment horizontal="center" vertical="center"/>
    </xf>
    <xf numFmtId="14" fontId="3" fillId="2" borderId="0" xfId="0" applyNumberFormat="1" applyFont="1" applyFill="1" applyBorder="1" applyAlignment="1">
      <alignment horizontal="center" vertical="center"/>
    </xf>
    <xf numFmtId="166" fontId="0" fillId="0" borderId="0" xfId="0" applyNumberFormat="1"/>
    <xf numFmtId="14" fontId="1" fillId="4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8" fontId="0" fillId="0" borderId="0" xfId="0" applyNumberFormat="1"/>
    <xf numFmtId="0" fontId="2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4" fontId="2" fillId="3" borderId="4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indent="4"/>
    </xf>
    <xf numFmtId="0" fontId="3" fillId="2" borderId="0" xfId="0" applyFont="1" applyFill="1" applyBorder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9" fontId="1" fillId="4" borderId="1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169" fontId="1" fillId="4" borderId="1" xfId="0" applyNumberFormat="1" applyFont="1" applyFill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165" fontId="1" fillId="4" borderId="1" xfId="0" applyNumberFormat="1" applyFont="1" applyFill="1" applyBorder="1" applyAlignment="1">
      <alignment horizontal="center" vertical="center" wrapText="1"/>
    </xf>
    <xf numFmtId="166" fontId="1" fillId="4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</cellXfs>
  <cellStyles count="1">
    <cellStyle name="Normal" xfId="0" builtinId="0"/>
  </cellStyles>
  <dxfs count="25">
    <dxf>
      <fill>
        <patternFill>
          <bgColor rgb="FFE3D7D7"/>
        </patternFill>
      </fill>
    </dxf>
    <dxf>
      <fill>
        <patternFill>
          <bgColor rgb="FFE3D7D7"/>
        </patternFill>
      </fill>
    </dxf>
    <dxf>
      <fill>
        <patternFill>
          <bgColor rgb="FFE3D7D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3D7D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3D7D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AD26E"/>
      <color rgb="FFD7D7D7"/>
      <color rgb="FFE3D7D7"/>
      <color rgb="FFDECA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5</xdr:col>
          <xdr:colOff>19050</xdr:colOff>
          <xdr:row>4</xdr:row>
          <xdr:rowOff>19050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</sheetPr>
  <dimension ref="A1:M500"/>
  <sheetViews>
    <sheetView zoomScaleNormal="100" workbookViewId="0">
      <pane ySplit="4" topLeftCell="A5" activePane="bottomLeft" state="frozen"/>
      <selection pane="bottomLeft" activeCell="A5" sqref="A5"/>
    </sheetView>
  </sheetViews>
  <sheetFormatPr defaultColWidth="0" defaultRowHeight="15" x14ac:dyDescent="0.25"/>
  <cols>
    <col min="1" max="2" width="10.7109375" style="1" customWidth="1"/>
    <col min="3" max="3" width="8.7109375" style="1" customWidth="1"/>
    <col min="4" max="5" width="12.7109375" style="1" customWidth="1"/>
    <col min="6" max="7" width="10.7109375" style="1" customWidth="1"/>
    <col min="8" max="8" width="8.7109375" style="1" customWidth="1"/>
    <col min="9" max="9" width="9.140625" style="1" customWidth="1"/>
    <col min="10" max="10" width="12.7109375" style="1" customWidth="1"/>
    <col min="11" max="11" width="20.7109375" style="1" customWidth="1"/>
    <col min="12" max="12" width="4.7109375" customWidth="1"/>
    <col min="13" max="13" width="0" hidden="1" customWidth="1"/>
    <col min="14" max="16384" width="9.140625" hidden="1"/>
  </cols>
  <sheetData>
    <row r="1" spans="1:11" ht="15.75" x14ac:dyDescent="0.25">
      <c r="A1" s="12" t="s">
        <v>0</v>
      </c>
      <c r="B1" s="48">
        <f>'Leave Entry'!B3</f>
        <v>0</v>
      </c>
      <c r="C1" s="48"/>
      <c r="D1" s="47" t="str">
        <f>"EARNED LEAVE"&amp;" - "&amp;'Leave Entry'!B1&amp;" - "&amp;'Leave Entry'!B2</f>
        <v xml:space="preserve">EARNED LEAVE -  - </v>
      </c>
      <c r="E1" s="47"/>
      <c r="F1" s="47"/>
      <c r="G1" s="47"/>
      <c r="H1" s="47"/>
      <c r="I1" s="12"/>
      <c r="J1" s="37" t="s">
        <v>29</v>
      </c>
      <c r="K1" s="39">
        <f>'Leave Entry'!B4</f>
        <v>0</v>
      </c>
    </row>
    <row r="2" spans="1:11" ht="15.75" x14ac:dyDescent="0.25">
      <c r="A2" s="47" t="s">
        <v>2</v>
      </c>
      <c r="B2" s="47"/>
      <c r="C2" s="47"/>
      <c r="D2" s="46" t="s">
        <v>3</v>
      </c>
      <c r="E2" s="46" t="s">
        <v>4</v>
      </c>
      <c r="F2" s="47" t="s">
        <v>5</v>
      </c>
      <c r="G2" s="47"/>
      <c r="H2" s="47"/>
      <c r="I2" s="45" t="s">
        <v>6</v>
      </c>
      <c r="J2" s="46" t="s">
        <v>7</v>
      </c>
      <c r="K2" s="47" t="s">
        <v>8</v>
      </c>
    </row>
    <row r="3" spans="1:11" x14ac:dyDescent="0.25">
      <c r="A3" s="47" t="s">
        <v>9</v>
      </c>
      <c r="B3" s="47" t="s">
        <v>10</v>
      </c>
      <c r="C3" s="45" t="s">
        <v>11</v>
      </c>
      <c r="D3" s="46"/>
      <c r="E3" s="46"/>
      <c r="F3" s="47" t="s">
        <v>9</v>
      </c>
      <c r="G3" s="47" t="s">
        <v>10</v>
      </c>
      <c r="H3" s="45" t="s">
        <v>11</v>
      </c>
      <c r="I3" s="45"/>
      <c r="J3" s="46"/>
      <c r="K3" s="47"/>
    </row>
    <row r="4" spans="1:11" x14ac:dyDescent="0.25">
      <c r="A4" s="47"/>
      <c r="B4" s="47"/>
      <c r="C4" s="45"/>
      <c r="D4" s="46"/>
      <c r="E4" s="46"/>
      <c r="F4" s="47"/>
      <c r="G4" s="47"/>
      <c r="H4" s="45"/>
      <c r="I4" s="45"/>
      <c r="J4" s="46"/>
      <c r="K4" s="47"/>
    </row>
    <row r="5" spans="1:11" x14ac:dyDescent="0.25">
      <c r="A5"/>
      <c r="B5"/>
      <c r="C5"/>
      <c r="D5"/>
      <c r="E5"/>
      <c r="F5"/>
      <c r="G5"/>
      <c r="H5"/>
      <c r="I5"/>
      <c r="J5"/>
      <c r="K5"/>
    </row>
    <row r="6" spans="1:11" x14ac:dyDescent="0.25">
      <c r="A6"/>
      <c r="B6"/>
      <c r="C6"/>
      <c r="D6"/>
      <c r="E6"/>
      <c r="F6"/>
      <c r="G6"/>
      <c r="H6"/>
      <c r="I6"/>
      <c r="J6"/>
      <c r="K6"/>
    </row>
    <row r="7" spans="1:11" x14ac:dyDescent="0.25">
      <c r="A7"/>
      <c r="B7"/>
      <c r="C7"/>
      <c r="D7"/>
      <c r="E7"/>
      <c r="F7"/>
      <c r="G7"/>
      <c r="H7"/>
      <c r="I7"/>
      <c r="J7"/>
      <c r="K7"/>
    </row>
    <row r="8" spans="1:11" x14ac:dyDescent="0.25">
      <c r="A8"/>
      <c r="B8"/>
      <c r="C8"/>
      <c r="D8"/>
      <c r="E8"/>
      <c r="F8"/>
      <c r="G8"/>
      <c r="H8"/>
      <c r="I8"/>
      <c r="J8"/>
      <c r="K8"/>
    </row>
    <row r="9" spans="1:11" x14ac:dyDescent="0.25">
      <c r="A9"/>
      <c r="B9"/>
      <c r="C9"/>
      <c r="D9"/>
      <c r="E9"/>
      <c r="F9"/>
      <c r="G9"/>
      <c r="H9"/>
      <c r="I9"/>
      <c r="J9"/>
      <c r="K9"/>
    </row>
    <row r="10" spans="1:11" x14ac:dyDescent="0.25">
      <c r="A10"/>
      <c r="B10"/>
      <c r="C10"/>
      <c r="D10"/>
      <c r="E10"/>
      <c r="F10"/>
      <c r="G10"/>
      <c r="H10"/>
      <c r="I10"/>
      <c r="J10"/>
      <c r="K10"/>
    </row>
    <row r="11" spans="1:11" x14ac:dyDescent="0.25">
      <c r="A11"/>
      <c r="B11"/>
      <c r="C11"/>
      <c r="D11"/>
      <c r="E11"/>
      <c r="F11"/>
      <c r="G11"/>
      <c r="H11"/>
      <c r="I11"/>
      <c r="J11"/>
      <c r="K11"/>
    </row>
    <row r="12" spans="1:11" x14ac:dyDescent="0.25">
      <c r="A12"/>
      <c r="B12"/>
      <c r="C12"/>
      <c r="D12"/>
      <c r="E12"/>
      <c r="F12"/>
      <c r="G12"/>
      <c r="H12"/>
      <c r="I12"/>
      <c r="J12"/>
      <c r="K12"/>
    </row>
    <row r="13" spans="1:11" x14ac:dyDescent="0.25">
      <c r="A13"/>
      <c r="B13"/>
      <c r="C13"/>
      <c r="D13"/>
      <c r="E13"/>
      <c r="F13"/>
      <c r="G13"/>
      <c r="H13"/>
      <c r="I13"/>
      <c r="J13"/>
      <c r="K13"/>
    </row>
    <row r="14" spans="1:11" x14ac:dyDescent="0.25">
      <c r="A14"/>
      <c r="B14"/>
      <c r="C14"/>
      <c r="D14"/>
      <c r="E14"/>
      <c r="F14"/>
      <c r="G14"/>
      <c r="H14"/>
      <c r="I14"/>
      <c r="J14"/>
      <c r="K14"/>
    </row>
    <row r="15" spans="1:11" x14ac:dyDescent="0.25">
      <c r="A15"/>
      <c r="B15"/>
      <c r="C15"/>
      <c r="D15"/>
      <c r="E15"/>
      <c r="F15"/>
      <c r="G15"/>
      <c r="H15"/>
      <c r="I15"/>
      <c r="J15"/>
      <c r="K15"/>
    </row>
    <row r="16" spans="1:11" x14ac:dyDescent="0.25">
      <c r="A16"/>
      <c r="B16"/>
      <c r="C16"/>
      <c r="D16"/>
      <c r="E16"/>
      <c r="F16"/>
      <c r="G16"/>
      <c r="H16"/>
      <c r="I16"/>
      <c r="J16"/>
      <c r="K16"/>
    </row>
    <row r="17" spans="1:11" x14ac:dyDescent="0.25">
      <c r="A17"/>
      <c r="B17"/>
      <c r="C17"/>
      <c r="D17"/>
      <c r="E17"/>
      <c r="F17"/>
      <c r="G17"/>
      <c r="H17"/>
      <c r="I17"/>
      <c r="J17"/>
      <c r="K17"/>
    </row>
    <row r="18" spans="1:11" x14ac:dyDescent="0.25">
      <c r="A18"/>
      <c r="B18"/>
      <c r="C18"/>
      <c r="D18"/>
      <c r="E18"/>
      <c r="F18"/>
      <c r="G18"/>
      <c r="H18"/>
      <c r="I18"/>
      <c r="J18"/>
      <c r="K18"/>
    </row>
    <row r="19" spans="1:11" x14ac:dyDescent="0.25">
      <c r="A19"/>
      <c r="B19"/>
      <c r="C19"/>
      <c r="D19"/>
      <c r="E19"/>
      <c r="F19"/>
      <c r="G19"/>
      <c r="H19"/>
      <c r="I19"/>
      <c r="J19"/>
      <c r="K19"/>
    </row>
    <row r="20" spans="1:11" x14ac:dyDescent="0.25">
      <c r="A20"/>
      <c r="B20"/>
      <c r="C20"/>
      <c r="D20"/>
      <c r="E20"/>
      <c r="F20"/>
      <c r="G20"/>
      <c r="H20"/>
      <c r="I20"/>
      <c r="J20"/>
      <c r="K20"/>
    </row>
    <row r="21" spans="1:11" x14ac:dyDescent="0.25">
      <c r="A21"/>
      <c r="B21"/>
      <c r="C21"/>
      <c r="D21"/>
      <c r="E21"/>
      <c r="F21"/>
      <c r="G21"/>
      <c r="H21"/>
      <c r="I21"/>
      <c r="J21"/>
      <c r="K21"/>
    </row>
    <row r="22" spans="1:11" x14ac:dyDescent="0.25">
      <c r="A22"/>
      <c r="B22"/>
      <c r="C22"/>
      <c r="D22"/>
      <c r="E22"/>
      <c r="F22"/>
      <c r="G22"/>
      <c r="H22"/>
      <c r="I22"/>
      <c r="J22"/>
      <c r="K22"/>
    </row>
    <row r="23" spans="1:11" x14ac:dyDescent="0.25">
      <c r="A23"/>
      <c r="B23"/>
      <c r="C23"/>
      <c r="D23"/>
      <c r="E23"/>
      <c r="F23"/>
      <c r="G23"/>
      <c r="H23"/>
      <c r="I23"/>
      <c r="J23"/>
      <c r="K23"/>
    </row>
    <row r="24" spans="1:11" x14ac:dyDescent="0.25">
      <c r="A24"/>
      <c r="B24"/>
      <c r="C24"/>
      <c r="D24"/>
      <c r="E24"/>
      <c r="F24"/>
      <c r="G24"/>
      <c r="H24"/>
      <c r="I24"/>
      <c r="J24"/>
      <c r="K24"/>
    </row>
    <row r="25" spans="1:11" x14ac:dyDescent="0.25">
      <c r="A25"/>
      <c r="B25"/>
      <c r="C25"/>
      <c r="D25"/>
      <c r="E25"/>
      <c r="F25"/>
      <c r="G25"/>
      <c r="H25"/>
      <c r="I25"/>
      <c r="J25"/>
      <c r="K25"/>
    </row>
    <row r="26" spans="1:11" x14ac:dyDescent="0.25">
      <c r="A26"/>
      <c r="B26"/>
      <c r="C26"/>
      <c r="D26"/>
      <c r="E26"/>
      <c r="F26"/>
      <c r="G26"/>
      <c r="H26"/>
      <c r="I26"/>
      <c r="J26"/>
      <c r="K26"/>
    </row>
    <row r="27" spans="1:11" x14ac:dyDescent="0.25">
      <c r="A27"/>
      <c r="B27"/>
      <c r="C27"/>
      <c r="D27"/>
      <c r="E27"/>
      <c r="F27"/>
      <c r="G27"/>
      <c r="H27"/>
      <c r="I27"/>
      <c r="J27"/>
      <c r="K27"/>
    </row>
    <row r="28" spans="1:11" x14ac:dyDescent="0.25">
      <c r="A28"/>
      <c r="B28"/>
      <c r="C28"/>
      <c r="D28"/>
      <c r="E28"/>
      <c r="F28"/>
      <c r="G28"/>
      <c r="H28"/>
      <c r="I28"/>
      <c r="J28"/>
      <c r="K28"/>
    </row>
    <row r="29" spans="1:11" x14ac:dyDescent="0.25">
      <c r="A29"/>
      <c r="B29"/>
      <c r="C29"/>
      <c r="D29"/>
      <c r="E29"/>
      <c r="F29"/>
      <c r="G29"/>
      <c r="H29"/>
      <c r="I29"/>
      <c r="J29"/>
      <c r="K29"/>
    </row>
    <row r="30" spans="1:11" x14ac:dyDescent="0.25">
      <c r="A30"/>
      <c r="B30"/>
      <c r="C30"/>
      <c r="D30"/>
      <c r="E30"/>
      <c r="F30"/>
      <c r="G30"/>
      <c r="H30"/>
      <c r="I30"/>
      <c r="J30"/>
      <c r="K30"/>
    </row>
    <row r="31" spans="1:11" x14ac:dyDescent="0.25">
      <c r="A31"/>
      <c r="B31"/>
      <c r="C31"/>
      <c r="D31"/>
      <c r="E31"/>
      <c r="F31"/>
      <c r="G31"/>
      <c r="H31"/>
      <c r="I31"/>
      <c r="J31"/>
      <c r="K31"/>
    </row>
    <row r="32" spans="1:11" x14ac:dyDescent="0.25">
      <c r="A32"/>
      <c r="B32"/>
      <c r="C32"/>
      <c r="D32"/>
      <c r="E32"/>
      <c r="F32"/>
      <c r="G32"/>
      <c r="H32"/>
      <c r="I32"/>
      <c r="J32"/>
      <c r="K32"/>
    </row>
    <row r="33" spans="1:11" x14ac:dyDescent="0.25">
      <c r="A33"/>
      <c r="B33"/>
      <c r="C33"/>
      <c r="D33"/>
      <c r="E33"/>
      <c r="F33"/>
      <c r="G33"/>
      <c r="H33"/>
      <c r="I33"/>
      <c r="J33"/>
      <c r="K33"/>
    </row>
    <row r="34" spans="1:11" x14ac:dyDescent="0.25">
      <c r="A34"/>
      <c r="B34"/>
      <c r="C34"/>
      <c r="D34"/>
      <c r="E34"/>
      <c r="F34"/>
      <c r="G34"/>
      <c r="H34"/>
      <c r="I34"/>
      <c r="J34"/>
      <c r="K34"/>
    </row>
    <row r="35" spans="1:11" x14ac:dyDescent="0.25">
      <c r="A35"/>
      <c r="B35"/>
      <c r="C35"/>
      <c r="D35"/>
      <c r="E35"/>
      <c r="F35"/>
      <c r="G35"/>
      <c r="H35"/>
      <c r="I35"/>
      <c r="J35"/>
      <c r="K35"/>
    </row>
    <row r="36" spans="1:11" x14ac:dyDescent="0.25">
      <c r="A36"/>
      <c r="B36"/>
      <c r="C36"/>
      <c r="D36"/>
      <c r="E36"/>
      <c r="F36"/>
      <c r="G36"/>
      <c r="H36"/>
      <c r="I36"/>
      <c r="J36"/>
      <c r="K36"/>
    </row>
    <row r="37" spans="1:11" x14ac:dyDescent="0.25">
      <c r="A37"/>
      <c r="B37"/>
      <c r="C37"/>
      <c r="D37"/>
      <c r="E37"/>
      <c r="F37"/>
      <c r="G37"/>
      <c r="H37"/>
      <c r="I37"/>
      <c r="J37"/>
      <c r="K37"/>
    </row>
    <row r="38" spans="1:11" x14ac:dyDescent="0.25">
      <c r="A38"/>
      <c r="B38"/>
      <c r="C38"/>
      <c r="D38"/>
      <c r="E38"/>
      <c r="F38"/>
      <c r="G38"/>
      <c r="H38"/>
      <c r="I38"/>
      <c r="J38"/>
      <c r="K38"/>
    </row>
    <row r="39" spans="1:11" x14ac:dyDescent="0.25">
      <c r="A39"/>
      <c r="B39"/>
      <c r="C39"/>
      <c r="D39"/>
      <c r="E39"/>
      <c r="F39"/>
      <c r="G39"/>
      <c r="H39"/>
      <c r="I39"/>
      <c r="J39"/>
      <c r="K39"/>
    </row>
    <row r="40" spans="1:11" x14ac:dyDescent="0.25">
      <c r="A40"/>
      <c r="B40"/>
      <c r="C40"/>
      <c r="D40"/>
      <c r="E40"/>
      <c r="F40"/>
      <c r="G40"/>
      <c r="H40"/>
      <c r="I40"/>
      <c r="J40"/>
      <c r="K40"/>
    </row>
    <row r="41" spans="1:11" x14ac:dyDescent="0.25">
      <c r="A41"/>
      <c r="B41"/>
      <c r="C41"/>
      <c r="D41"/>
      <c r="E41"/>
      <c r="F41"/>
      <c r="G41"/>
      <c r="H41"/>
      <c r="I41"/>
      <c r="J41"/>
      <c r="K41"/>
    </row>
    <row r="42" spans="1:11" x14ac:dyDescent="0.25">
      <c r="A42"/>
      <c r="B42"/>
      <c r="C42"/>
      <c r="D42"/>
      <c r="E42"/>
      <c r="F42"/>
      <c r="G42"/>
      <c r="H42"/>
      <c r="I42"/>
      <c r="J42"/>
      <c r="K42"/>
    </row>
    <row r="43" spans="1:11" x14ac:dyDescent="0.25">
      <c r="A43"/>
      <c r="B43"/>
      <c r="C43"/>
      <c r="D43"/>
      <c r="E43"/>
      <c r="F43"/>
      <c r="G43"/>
      <c r="H43"/>
      <c r="I43"/>
      <c r="J43"/>
      <c r="K43"/>
    </row>
    <row r="44" spans="1:11" x14ac:dyDescent="0.25">
      <c r="A44"/>
      <c r="B44"/>
      <c r="C44"/>
      <c r="D44"/>
      <c r="E44"/>
      <c r="F44"/>
      <c r="G44"/>
      <c r="H44"/>
      <c r="I44"/>
      <c r="J44"/>
      <c r="K44"/>
    </row>
    <row r="45" spans="1:11" x14ac:dyDescent="0.25">
      <c r="A45"/>
      <c r="B45"/>
      <c r="C45"/>
      <c r="D45"/>
      <c r="E45"/>
      <c r="F45"/>
      <c r="G45"/>
      <c r="H45"/>
      <c r="I45"/>
      <c r="J45"/>
      <c r="K45"/>
    </row>
    <row r="46" spans="1:11" x14ac:dyDescent="0.25">
      <c r="A46"/>
      <c r="B46"/>
      <c r="C46"/>
      <c r="D46"/>
      <c r="E46"/>
      <c r="F46"/>
      <c r="G46"/>
      <c r="H46"/>
      <c r="I46"/>
      <c r="J46"/>
      <c r="K46"/>
    </row>
    <row r="47" spans="1:11" x14ac:dyDescent="0.25">
      <c r="A47"/>
      <c r="B47"/>
      <c r="C47"/>
      <c r="D47"/>
      <c r="E47"/>
      <c r="F47"/>
      <c r="G47"/>
      <c r="H47"/>
      <c r="I47"/>
      <c r="J47"/>
      <c r="K47"/>
    </row>
    <row r="48" spans="1:11" x14ac:dyDescent="0.25">
      <c r="A48"/>
      <c r="B48"/>
      <c r="C48"/>
      <c r="D48"/>
      <c r="E48"/>
      <c r="F48"/>
      <c r="G48"/>
      <c r="H48"/>
      <c r="I48"/>
      <c r="J48"/>
      <c r="K48"/>
    </row>
    <row r="49" spans="1:11" x14ac:dyDescent="0.25">
      <c r="A49"/>
      <c r="B49"/>
      <c r="C49"/>
      <c r="D49"/>
      <c r="E49"/>
      <c r="F49"/>
      <c r="G49"/>
      <c r="H49"/>
      <c r="I49"/>
      <c r="J49"/>
      <c r="K49"/>
    </row>
    <row r="50" spans="1:11" x14ac:dyDescent="0.25">
      <c r="A50"/>
      <c r="B50"/>
      <c r="C50"/>
      <c r="D50"/>
      <c r="E50"/>
      <c r="F50"/>
      <c r="G50"/>
      <c r="H50"/>
      <c r="I50"/>
      <c r="J50"/>
      <c r="K50"/>
    </row>
    <row r="51" spans="1:11" x14ac:dyDescent="0.25">
      <c r="A51"/>
      <c r="B51"/>
      <c r="C51"/>
      <c r="D51"/>
      <c r="E51"/>
      <c r="F51"/>
      <c r="G51"/>
      <c r="H51"/>
      <c r="I51"/>
      <c r="J51"/>
      <c r="K51"/>
    </row>
    <row r="52" spans="1:11" x14ac:dyDescent="0.25">
      <c r="A52"/>
      <c r="B52"/>
      <c r="C52"/>
      <c r="D52"/>
      <c r="E52"/>
      <c r="F52"/>
      <c r="G52"/>
      <c r="H52"/>
      <c r="I52"/>
      <c r="J52"/>
      <c r="K52"/>
    </row>
    <row r="53" spans="1:11" x14ac:dyDescent="0.25">
      <c r="A53"/>
      <c r="B53"/>
      <c r="C53"/>
      <c r="D53"/>
      <c r="E53"/>
      <c r="F53"/>
      <c r="G53"/>
      <c r="H53"/>
      <c r="I53"/>
      <c r="J53"/>
      <c r="K53"/>
    </row>
    <row r="54" spans="1:11" x14ac:dyDescent="0.25">
      <c r="A54"/>
      <c r="B54"/>
      <c r="C54"/>
      <c r="D54"/>
      <c r="E54"/>
      <c r="F54"/>
      <c r="G54"/>
      <c r="H54"/>
      <c r="I54"/>
      <c r="J54"/>
      <c r="K54"/>
    </row>
    <row r="55" spans="1:11" x14ac:dyDescent="0.25">
      <c r="A55"/>
      <c r="B55"/>
      <c r="C55"/>
      <c r="D55"/>
      <c r="E55"/>
      <c r="F55"/>
      <c r="G55"/>
      <c r="H55"/>
      <c r="I55"/>
      <c r="J55"/>
      <c r="K55"/>
    </row>
    <row r="56" spans="1:11" x14ac:dyDescent="0.25">
      <c r="A56"/>
      <c r="B56"/>
      <c r="C56"/>
      <c r="D56"/>
      <c r="E56"/>
      <c r="F56"/>
      <c r="G56"/>
      <c r="H56"/>
      <c r="I56"/>
      <c r="J56"/>
      <c r="K56"/>
    </row>
    <row r="57" spans="1:11" x14ac:dyDescent="0.25">
      <c r="A57"/>
      <c r="B57"/>
      <c r="C57"/>
      <c r="D57"/>
      <c r="E57"/>
      <c r="F57"/>
      <c r="G57"/>
      <c r="H57"/>
      <c r="I57"/>
      <c r="J57"/>
      <c r="K57"/>
    </row>
    <row r="58" spans="1:11" x14ac:dyDescent="0.25">
      <c r="A58"/>
      <c r="B58"/>
      <c r="C58"/>
      <c r="D58"/>
      <c r="E58"/>
      <c r="F58"/>
      <c r="G58"/>
      <c r="H58"/>
      <c r="I58"/>
      <c r="J58"/>
      <c r="K58"/>
    </row>
    <row r="59" spans="1:11" x14ac:dyDescent="0.25">
      <c r="A59"/>
      <c r="B59"/>
      <c r="C59"/>
      <c r="D59"/>
      <c r="E59"/>
      <c r="F59"/>
      <c r="G59"/>
      <c r="H59"/>
      <c r="I59"/>
      <c r="J59"/>
      <c r="K59"/>
    </row>
    <row r="60" spans="1:11" x14ac:dyDescent="0.25">
      <c r="A60"/>
      <c r="B60"/>
      <c r="C60"/>
      <c r="D60"/>
      <c r="E60"/>
      <c r="F60"/>
      <c r="G60"/>
      <c r="H60"/>
      <c r="I60"/>
      <c r="J60"/>
      <c r="K60"/>
    </row>
    <row r="61" spans="1:11" x14ac:dyDescent="0.25">
      <c r="A61"/>
      <c r="B61"/>
      <c r="C61"/>
      <c r="D61"/>
      <c r="E61"/>
      <c r="F61"/>
      <c r="G61"/>
      <c r="H61"/>
      <c r="I61"/>
      <c r="J61"/>
      <c r="K61"/>
    </row>
    <row r="62" spans="1:11" x14ac:dyDescent="0.25">
      <c r="A62"/>
      <c r="B62"/>
      <c r="C62"/>
      <c r="D62"/>
      <c r="E62"/>
      <c r="F62"/>
      <c r="G62"/>
      <c r="H62"/>
      <c r="I62"/>
      <c r="J62"/>
      <c r="K62"/>
    </row>
    <row r="63" spans="1:11" x14ac:dyDescent="0.25">
      <c r="A63"/>
      <c r="B63"/>
      <c r="C63"/>
      <c r="D63"/>
      <c r="E63"/>
      <c r="F63"/>
      <c r="G63"/>
      <c r="H63"/>
      <c r="I63"/>
      <c r="J63"/>
      <c r="K63"/>
    </row>
    <row r="64" spans="1:11" x14ac:dyDescent="0.25">
      <c r="A64"/>
      <c r="B64"/>
      <c r="C64"/>
      <c r="D64"/>
      <c r="E64"/>
      <c r="F64"/>
      <c r="G64"/>
      <c r="H64"/>
      <c r="I64"/>
      <c r="J64"/>
      <c r="K64"/>
    </row>
    <row r="65" spans="1:11" x14ac:dyDescent="0.25">
      <c r="A65"/>
      <c r="B65"/>
      <c r="C65"/>
      <c r="D65"/>
      <c r="E65"/>
      <c r="F65"/>
      <c r="G65"/>
      <c r="H65"/>
      <c r="I65"/>
      <c r="J65"/>
      <c r="K65"/>
    </row>
    <row r="66" spans="1:11" x14ac:dyDescent="0.25">
      <c r="A66"/>
      <c r="B66"/>
      <c r="C66"/>
      <c r="D66"/>
      <c r="E66"/>
      <c r="F66"/>
      <c r="G66"/>
      <c r="H66"/>
      <c r="I66"/>
      <c r="J66"/>
      <c r="K66"/>
    </row>
    <row r="67" spans="1:11" x14ac:dyDescent="0.25">
      <c r="A67"/>
      <c r="B67"/>
      <c r="C67"/>
      <c r="D67"/>
      <c r="E67"/>
      <c r="F67"/>
      <c r="G67"/>
      <c r="H67"/>
      <c r="I67"/>
      <c r="J67"/>
      <c r="K67"/>
    </row>
    <row r="68" spans="1:11" x14ac:dyDescent="0.25">
      <c r="A68"/>
      <c r="B68"/>
      <c r="C68"/>
      <c r="D68"/>
      <c r="E68"/>
      <c r="F68"/>
      <c r="G68"/>
      <c r="H68"/>
      <c r="I68"/>
      <c r="J68"/>
      <c r="K68"/>
    </row>
    <row r="69" spans="1:11" x14ac:dyDescent="0.25">
      <c r="A69"/>
      <c r="B69"/>
      <c r="C69"/>
      <c r="D69"/>
      <c r="E69"/>
      <c r="F69"/>
      <c r="G69"/>
      <c r="H69"/>
      <c r="I69"/>
      <c r="J69"/>
      <c r="K69"/>
    </row>
    <row r="70" spans="1:11" x14ac:dyDescent="0.25">
      <c r="A70"/>
      <c r="B70"/>
      <c r="C70"/>
      <c r="D70"/>
      <c r="E70"/>
      <c r="F70"/>
      <c r="G70"/>
      <c r="H70"/>
      <c r="I70"/>
      <c r="J70"/>
      <c r="K70"/>
    </row>
    <row r="71" spans="1:11" x14ac:dyDescent="0.25">
      <c r="A71"/>
      <c r="B71"/>
      <c r="C71"/>
      <c r="D71"/>
      <c r="E71"/>
      <c r="F71"/>
      <c r="G71"/>
      <c r="H71"/>
      <c r="I71"/>
      <c r="J71"/>
      <c r="K71"/>
    </row>
    <row r="72" spans="1:11" x14ac:dyDescent="0.25">
      <c r="A72"/>
      <c r="B72"/>
      <c r="C72"/>
      <c r="D72"/>
      <c r="E72"/>
      <c r="F72"/>
      <c r="G72"/>
      <c r="H72"/>
      <c r="I72"/>
      <c r="J72"/>
      <c r="K72"/>
    </row>
    <row r="73" spans="1:11" x14ac:dyDescent="0.25">
      <c r="A73"/>
      <c r="B73"/>
      <c r="C73"/>
      <c r="D73"/>
      <c r="E73"/>
      <c r="F73"/>
      <c r="G73"/>
      <c r="H73"/>
      <c r="I73"/>
      <c r="J73"/>
      <c r="K73"/>
    </row>
    <row r="74" spans="1:11" x14ac:dyDescent="0.25">
      <c r="A74"/>
      <c r="B74"/>
      <c r="C74"/>
      <c r="D74"/>
      <c r="E74"/>
      <c r="F74"/>
      <c r="G74"/>
      <c r="H74"/>
      <c r="I74"/>
      <c r="J74"/>
      <c r="K74"/>
    </row>
    <row r="75" spans="1:11" x14ac:dyDescent="0.25">
      <c r="A75"/>
      <c r="B75"/>
      <c r="C75"/>
      <c r="D75"/>
      <c r="E75"/>
      <c r="F75"/>
      <c r="G75"/>
      <c r="H75"/>
      <c r="I75"/>
      <c r="J75"/>
      <c r="K75"/>
    </row>
    <row r="76" spans="1:11" x14ac:dyDescent="0.25">
      <c r="A76"/>
      <c r="B76"/>
      <c r="C76"/>
      <c r="D76"/>
      <c r="E76"/>
      <c r="F76"/>
      <c r="G76"/>
      <c r="H76"/>
      <c r="I76"/>
      <c r="J76"/>
      <c r="K76"/>
    </row>
    <row r="77" spans="1:11" x14ac:dyDescent="0.25">
      <c r="A77"/>
      <c r="B77"/>
      <c r="C77"/>
      <c r="D77"/>
      <c r="E77"/>
      <c r="F77"/>
      <c r="G77"/>
      <c r="H77"/>
      <c r="I77"/>
      <c r="J77"/>
      <c r="K77"/>
    </row>
    <row r="78" spans="1:11" x14ac:dyDescent="0.25">
      <c r="A78"/>
      <c r="B78"/>
      <c r="C78"/>
      <c r="D78"/>
      <c r="E78"/>
      <c r="F78"/>
      <c r="G78"/>
      <c r="H78"/>
      <c r="I78"/>
      <c r="J78"/>
      <c r="K78"/>
    </row>
    <row r="79" spans="1:11" x14ac:dyDescent="0.25">
      <c r="A79"/>
      <c r="B79"/>
      <c r="C79"/>
      <c r="D79"/>
      <c r="E79"/>
      <c r="F79"/>
      <c r="G79"/>
      <c r="H79"/>
      <c r="I79"/>
      <c r="J79"/>
      <c r="K79"/>
    </row>
    <row r="80" spans="1:11" x14ac:dyDescent="0.25">
      <c r="A80"/>
      <c r="B80"/>
      <c r="C80"/>
      <c r="D80"/>
      <c r="E80"/>
      <c r="F80"/>
      <c r="G80"/>
      <c r="H80"/>
      <c r="I80"/>
      <c r="J80"/>
      <c r="K80"/>
    </row>
    <row r="81" spans="1:11" x14ac:dyDescent="0.25">
      <c r="A81"/>
      <c r="B81"/>
      <c r="C81"/>
      <c r="D81"/>
      <c r="E81"/>
      <c r="F81"/>
      <c r="G81"/>
      <c r="H81"/>
      <c r="I81"/>
      <c r="J81"/>
      <c r="K81"/>
    </row>
    <row r="82" spans="1:11" x14ac:dyDescent="0.25">
      <c r="A82"/>
      <c r="B82"/>
      <c r="C82"/>
      <c r="D82"/>
      <c r="E82"/>
      <c r="F82"/>
      <c r="G82"/>
      <c r="H82"/>
      <c r="I82"/>
      <c r="J82"/>
      <c r="K82"/>
    </row>
    <row r="83" spans="1:11" x14ac:dyDescent="0.25">
      <c r="A83"/>
      <c r="B83"/>
      <c r="C83"/>
      <c r="D83"/>
      <c r="E83"/>
      <c r="F83"/>
      <c r="G83"/>
      <c r="H83"/>
      <c r="I83"/>
      <c r="J83"/>
      <c r="K83"/>
    </row>
    <row r="84" spans="1:11" x14ac:dyDescent="0.25">
      <c r="A84"/>
      <c r="B84"/>
      <c r="C84"/>
      <c r="D84"/>
      <c r="E84"/>
      <c r="F84"/>
      <c r="G84"/>
      <c r="H84"/>
      <c r="I84"/>
      <c r="J84"/>
      <c r="K84"/>
    </row>
    <row r="85" spans="1:11" x14ac:dyDescent="0.25">
      <c r="A85"/>
      <c r="B85"/>
      <c r="C85"/>
      <c r="D85"/>
      <c r="E85"/>
      <c r="F85"/>
      <c r="G85"/>
      <c r="H85"/>
      <c r="I85"/>
      <c r="J85"/>
      <c r="K85"/>
    </row>
    <row r="86" spans="1:11" x14ac:dyDescent="0.25">
      <c r="A86"/>
      <c r="B86"/>
      <c r="C86"/>
      <c r="D86"/>
      <c r="E86"/>
      <c r="F86"/>
      <c r="G86"/>
      <c r="H86"/>
      <c r="I86"/>
      <c r="J86"/>
      <c r="K86"/>
    </row>
    <row r="87" spans="1:11" x14ac:dyDescent="0.25">
      <c r="A87"/>
      <c r="B87"/>
      <c r="C87"/>
      <c r="D87"/>
      <c r="E87"/>
      <c r="F87"/>
      <c r="G87"/>
      <c r="H87"/>
      <c r="I87"/>
      <c r="J87"/>
      <c r="K87"/>
    </row>
    <row r="88" spans="1:11" x14ac:dyDescent="0.25">
      <c r="A88"/>
      <c r="B88"/>
      <c r="C88"/>
      <c r="D88"/>
      <c r="E88"/>
      <c r="F88"/>
      <c r="G88"/>
      <c r="H88"/>
      <c r="I88"/>
      <c r="J88"/>
      <c r="K88"/>
    </row>
    <row r="89" spans="1:11" x14ac:dyDescent="0.25">
      <c r="A89"/>
      <c r="B89"/>
      <c r="C89"/>
      <c r="D89"/>
      <c r="E89"/>
      <c r="F89"/>
      <c r="G89"/>
      <c r="H89"/>
      <c r="I89"/>
      <c r="J89"/>
      <c r="K89"/>
    </row>
    <row r="90" spans="1:11" x14ac:dyDescent="0.25">
      <c r="A90"/>
      <c r="B90"/>
      <c r="C90"/>
      <c r="D90"/>
      <c r="E90"/>
      <c r="F90"/>
      <c r="G90"/>
      <c r="H90"/>
      <c r="I90"/>
      <c r="J90"/>
      <c r="K90"/>
    </row>
    <row r="91" spans="1:11" x14ac:dyDescent="0.25">
      <c r="A91"/>
      <c r="B91"/>
      <c r="C91"/>
      <c r="D91"/>
      <c r="E91"/>
      <c r="F91"/>
      <c r="G91"/>
      <c r="H91"/>
      <c r="I91"/>
      <c r="J91"/>
      <c r="K91"/>
    </row>
    <row r="92" spans="1:11" x14ac:dyDescent="0.25">
      <c r="A92"/>
      <c r="B92"/>
      <c r="C92"/>
      <c r="D92"/>
      <c r="E92"/>
      <c r="F92"/>
      <c r="G92"/>
      <c r="H92"/>
      <c r="I92"/>
      <c r="J92"/>
      <c r="K92"/>
    </row>
    <row r="93" spans="1:11" x14ac:dyDescent="0.25">
      <c r="A93"/>
      <c r="B93"/>
      <c r="C93"/>
      <c r="D93"/>
      <c r="E93"/>
      <c r="F93"/>
      <c r="G93"/>
      <c r="H93"/>
      <c r="I93"/>
      <c r="J93"/>
      <c r="K93"/>
    </row>
    <row r="94" spans="1:11" x14ac:dyDescent="0.25">
      <c r="A94"/>
      <c r="B94"/>
      <c r="C94"/>
      <c r="D94"/>
      <c r="E94"/>
      <c r="F94"/>
      <c r="G94"/>
      <c r="H94"/>
      <c r="I94"/>
      <c r="J94"/>
      <c r="K94"/>
    </row>
    <row r="95" spans="1:11" x14ac:dyDescent="0.25">
      <c r="A95"/>
      <c r="B95"/>
      <c r="C95"/>
      <c r="D95"/>
      <c r="E95"/>
      <c r="F95"/>
      <c r="G95"/>
      <c r="H95"/>
      <c r="I95"/>
      <c r="J95"/>
      <c r="K95"/>
    </row>
    <row r="96" spans="1:11" x14ac:dyDescent="0.25">
      <c r="A96"/>
      <c r="B96"/>
      <c r="C96"/>
      <c r="D96"/>
      <c r="E96"/>
      <c r="F96"/>
      <c r="G96"/>
      <c r="H96"/>
      <c r="I96"/>
      <c r="J96"/>
      <c r="K96"/>
    </row>
    <row r="97" spans="1:11" x14ac:dyDescent="0.25">
      <c r="A97"/>
      <c r="B97"/>
      <c r="C97"/>
      <c r="D97"/>
      <c r="E97"/>
      <c r="F97"/>
      <c r="G97"/>
      <c r="H97"/>
      <c r="I97"/>
      <c r="J97"/>
      <c r="K97"/>
    </row>
    <row r="98" spans="1:11" x14ac:dyDescent="0.25">
      <c r="A98"/>
      <c r="B98"/>
      <c r="C98"/>
      <c r="D98"/>
      <c r="E98"/>
      <c r="F98"/>
      <c r="G98"/>
      <c r="H98"/>
      <c r="I98"/>
      <c r="J98"/>
      <c r="K98"/>
    </row>
    <row r="99" spans="1:11" x14ac:dyDescent="0.25">
      <c r="A99"/>
      <c r="B99"/>
      <c r="C99"/>
      <c r="D99"/>
      <c r="E99"/>
      <c r="F99"/>
      <c r="G99"/>
      <c r="H99"/>
      <c r="I99"/>
      <c r="J99"/>
      <c r="K99"/>
    </row>
    <row r="100" spans="1:11" x14ac:dyDescent="0.25">
      <c r="A100"/>
      <c r="B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B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B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B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B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B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B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B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B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B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B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B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B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B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B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B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B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B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B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B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B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B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B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B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B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B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B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B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B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B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B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B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B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B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B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B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B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B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B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B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B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B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B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B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B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B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B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B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B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B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B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B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B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B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B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B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B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B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B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B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B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B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x14ac:dyDescent="0.25">
      <c r="A500"/>
      <c r="B500"/>
      <c r="C500"/>
      <c r="D500"/>
      <c r="E500"/>
      <c r="F500"/>
      <c r="G500"/>
      <c r="H500"/>
      <c r="I500"/>
      <c r="J500"/>
      <c r="K500"/>
    </row>
  </sheetData>
  <mergeCells count="15">
    <mergeCell ref="B1:C1"/>
    <mergeCell ref="D1:H1"/>
    <mergeCell ref="A2:C2"/>
    <mergeCell ref="D2:D4"/>
    <mergeCell ref="E2:E4"/>
    <mergeCell ref="F2:H2"/>
    <mergeCell ref="I2:I4"/>
    <mergeCell ref="J2:J4"/>
    <mergeCell ref="K2:K4"/>
    <mergeCell ref="A3:A4"/>
    <mergeCell ref="B3:B4"/>
    <mergeCell ref="C3:C4"/>
    <mergeCell ref="F3:F4"/>
    <mergeCell ref="G3:G4"/>
    <mergeCell ref="H3:H4"/>
  </mergeCells>
  <conditionalFormatting sqref="C1">
    <cfRule type="cellIs" dxfId="24" priority="220" operator="between">
      <formula>-20000</formula>
      <formula>-1.1</formula>
    </cfRule>
  </conditionalFormatting>
  <conditionalFormatting sqref="H1">
    <cfRule type="cellIs" dxfId="23" priority="219" operator="between">
      <formula>-20000</formula>
      <formula>-0.5</formula>
    </cfRule>
  </conditionalFormatting>
  <conditionalFormatting sqref="C2:C4">
    <cfRule type="cellIs" dxfId="22" priority="218" operator="between">
      <formula>-20000</formula>
      <formula>-1.1</formula>
    </cfRule>
  </conditionalFormatting>
  <conditionalFormatting sqref="H2:H4">
    <cfRule type="cellIs" dxfId="21" priority="217" operator="between">
      <formula>-20000</formula>
      <formula>-0.5</formula>
    </cfRule>
  </conditionalFormatting>
  <conditionalFormatting sqref="K2:K4">
    <cfRule type="cellIs" dxfId="20" priority="216" operator="equal">
      <formula>"1 YEAR COMPLETED"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Footer>&amp;CPage &amp;P of &amp;N&amp;R&amp;Z&amp;F</oddFooter>
  </headerFooter>
  <ignoredErrors>
    <ignoredError xmlns:x16r3="http://schemas.microsoft.com/office/spreadsheetml/2018/08/main" sqref="B1 K1" x16r3:misleadingForma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8" tint="-0.249977111117893"/>
  </sheetPr>
  <dimension ref="A1:R500"/>
  <sheetViews>
    <sheetView workbookViewId="0">
      <pane ySplit="4" topLeftCell="A5" activePane="bottomLeft" state="frozen"/>
      <selection pane="bottomLeft" activeCell="A5" sqref="A5"/>
    </sheetView>
  </sheetViews>
  <sheetFormatPr defaultColWidth="0" defaultRowHeight="15" x14ac:dyDescent="0.25"/>
  <cols>
    <col min="1" max="2" width="10.7109375" style="2" customWidth="1"/>
    <col min="3" max="3" width="8.7109375" style="1" customWidth="1"/>
    <col min="4" max="5" width="12.7109375" style="3" customWidth="1"/>
    <col min="6" max="7" width="10.7109375" style="2" customWidth="1"/>
    <col min="8" max="8" width="8.7109375" style="1" customWidth="1"/>
    <col min="9" max="9" width="9.140625" style="1" customWidth="1"/>
    <col min="10" max="10" width="12.7109375" style="3" customWidth="1"/>
    <col min="11" max="11" width="20.7109375" style="1" customWidth="1"/>
    <col min="12" max="12" width="9.7109375" style="6" hidden="1" customWidth="1"/>
    <col min="13" max="13" width="13.7109375" style="6" hidden="1" customWidth="1"/>
    <col min="14" max="15" width="9.140625" hidden="1" customWidth="1"/>
    <col min="16" max="16" width="21" hidden="1" customWidth="1"/>
    <col min="17" max="17" width="19.42578125" hidden="1" customWidth="1"/>
    <col min="18" max="18" width="11.140625" hidden="1" customWidth="1"/>
    <col min="19" max="16384" width="9.140625" hidden="1"/>
  </cols>
  <sheetData>
    <row r="1" spans="1:18" ht="15.75" x14ac:dyDescent="0.25">
      <c r="A1" s="11" t="s">
        <v>0</v>
      </c>
      <c r="B1" s="49">
        <f>'Leave Entry'!B3</f>
        <v>0</v>
      </c>
      <c r="C1" s="49"/>
      <c r="D1" s="47">
        <f>'Leave Record'!A1:H1</f>
        <v>0</v>
      </c>
      <c r="E1" s="47"/>
      <c r="F1" s="47"/>
      <c r="G1" s="47"/>
      <c r="H1" s="47"/>
      <c r="I1" s="12" t="s">
        <v>1</v>
      </c>
      <c r="J1" s="49">
        <f>'Leave Entry'!B4</f>
        <v>0</v>
      </c>
      <c r="K1" s="47"/>
      <c r="Q1" s="24"/>
    </row>
    <row r="2" spans="1:18" ht="15.75" x14ac:dyDescent="0.25">
      <c r="A2" s="47" t="s">
        <v>2</v>
      </c>
      <c r="B2" s="47"/>
      <c r="C2" s="47"/>
      <c r="D2" s="50" t="s">
        <v>3</v>
      </c>
      <c r="E2" s="50" t="s">
        <v>4</v>
      </c>
      <c r="F2" s="47" t="s">
        <v>5</v>
      </c>
      <c r="G2" s="47"/>
      <c r="H2" s="47"/>
      <c r="I2" s="45" t="s">
        <v>6</v>
      </c>
      <c r="J2" s="50" t="s">
        <v>7</v>
      </c>
      <c r="K2" s="47" t="s">
        <v>8</v>
      </c>
    </row>
    <row r="3" spans="1:18" x14ac:dyDescent="0.25">
      <c r="A3" s="49" t="s">
        <v>9</v>
      </c>
      <c r="B3" s="49" t="s">
        <v>10</v>
      </c>
      <c r="C3" s="45" t="s">
        <v>11</v>
      </c>
      <c r="D3" s="50"/>
      <c r="E3" s="50"/>
      <c r="F3" s="49" t="s">
        <v>9</v>
      </c>
      <c r="G3" s="49" t="s">
        <v>10</v>
      </c>
      <c r="H3" s="45" t="s">
        <v>11</v>
      </c>
      <c r="I3" s="45"/>
      <c r="J3" s="50"/>
      <c r="K3" s="47"/>
    </row>
    <row r="4" spans="1:18" x14ac:dyDescent="0.25">
      <c r="A4" s="49"/>
      <c r="B4" s="49"/>
      <c r="C4" s="45"/>
      <c r="D4" s="50"/>
      <c r="E4" s="50"/>
      <c r="F4" s="49"/>
      <c r="G4" s="49"/>
      <c r="H4" s="45"/>
      <c r="I4" s="45"/>
      <c r="J4" s="50"/>
      <c r="K4" s="47"/>
      <c r="M4" s="10">
        <f>J1</f>
        <v>0</v>
      </c>
    </row>
    <row r="5" spans="1:18" x14ac:dyDescent="0.25">
      <c r="A5" s="8">
        <f>'Leave Record'!G4</f>
        <v>7305</v>
      </c>
      <c r="B5" s="8">
        <f>IF(K5=$P$13,'Rule 12'!$M$4,F5-1)</f>
        <v>-1</v>
      </c>
      <c r="C5" s="23">
        <f>_xlfn.DAYS(B5+1,A5)</f>
        <v>-7305</v>
      </c>
      <c r="D5" s="21">
        <f>C5/12</f>
        <v>-608.75</v>
      </c>
      <c r="E5" s="21" t="e">
        <f>D5+'Rule 11'!P17</f>
        <v>#N/A</v>
      </c>
      <c r="F5" s="8">
        <f>'Leave Record'!G7</f>
        <v>0</v>
      </c>
      <c r="G5" s="8">
        <f>'Leave Record'!H7</f>
        <v>0</v>
      </c>
      <c r="H5" s="23">
        <f>_xlfn.DAYS(G5+1,F5)</f>
        <v>1</v>
      </c>
      <c r="I5" s="23">
        <f>IF(K5=$P$14,H5,0)</f>
        <v>0</v>
      </c>
      <c r="J5" s="21" t="e">
        <f>E5-I5</f>
        <v>#N/A</v>
      </c>
      <c r="K5" s="23">
        <f>'Leave Record'!I7</f>
        <v>0</v>
      </c>
      <c r="Q5">
        <f>K5</f>
        <v>0</v>
      </c>
      <c r="R5" s="15" t="e">
        <f>J5</f>
        <v>#N/A</v>
      </c>
    </row>
    <row r="6" spans="1:18" x14ac:dyDescent="0.25">
      <c r="A6" s="8">
        <f>G5+1</f>
        <v>1</v>
      </c>
      <c r="B6" s="8">
        <f>IF(K6=$P$13,'Rule 12'!$M$4,F6-1)</f>
        <v>-1</v>
      </c>
      <c r="C6" s="23">
        <f t="shared" ref="C6:C69" si="0">_xlfn.DAYS(B6+1,A6)</f>
        <v>-1</v>
      </c>
      <c r="D6" s="21">
        <f t="shared" ref="D6:D69" si="1">C6/12</f>
        <v>-8.3333333333333329E-2</v>
      </c>
      <c r="E6" s="21" t="e">
        <f>J5+D6</f>
        <v>#N/A</v>
      </c>
      <c r="F6" s="8">
        <f>'Leave Record'!G8</f>
        <v>0</v>
      </c>
      <c r="G6" s="8">
        <f>'Leave Record'!H8</f>
        <v>0</v>
      </c>
      <c r="H6" s="23">
        <f t="shared" ref="H6:H69" si="2">_xlfn.DAYS(G6+1,F6)</f>
        <v>1</v>
      </c>
      <c r="I6" s="23">
        <f t="shared" ref="I6:I69" si="3">IF(K6=$P$14,H6,0)</f>
        <v>0</v>
      </c>
      <c r="J6" s="21" t="e">
        <f>E6-I6</f>
        <v>#N/A</v>
      </c>
      <c r="K6" s="23">
        <f>'Leave Record'!I8</f>
        <v>0</v>
      </c>
      <c r="Q6">
        <f t="shared" ref="Q6:Q69" si="4">K6</f>
        <v>0</v>
      </c>
      <c r="R6" s="15" t="e">
        <f t="shared" ref="R6:R69" si="5">J6</f>
        <v>#N/A</v>
      </c>
    </row>
    <row r="7" spans="1:18" x14ac:dyDescent="0.25">
      <c r="A7" s="8">
        <f t="shared" ref="A7:A70" si="6">G6+1</f>
        <v>1</v>
      </c>
      <c r="B7" s="8">
        <f>IF(K7=$P$13,'Rule 12'!$M$4,F7-1)</f>
        <v>-1</v>
      </c>
      <c r="C7" s="23">
        <f t="shared" si="0"/>
        <v>-1</v>
      </c>
      <c r="D7" s="21">
        <f t="shared" si="1"/>
        <v>-8.3333333333333329E-2</v>
      </c>
      <c r="E7" s="21" t="e">
        <f t="shared" ref="E7:E70" si="7">J6+D7</f>
        <v>#N/A</v>
      </c>
      <c r="F7" s="8">
        <f>'Leave Record'!G9</f>
        <v>0</v>
      </c>
      <c r="G7" s="8">
        <f>'Leave Record'!H9</f>
        <v>0</v>
      </c>
      <c r="H7" s="23">
        <f t="shared" si="2"/>
        <v>1</v>
      </c>
      <c r="I7" s="23">
        <f t="shared" si="3"/>
        <v>0</v>
      </c>
      <c r="J7" s="21" t="e">
        <f t="shared" ref="J7:J70" si="8">E7-I7</f>
        <v>#N/A</v>
      </c>
      <c r="K7" s="23">
        <f>'Leave Record'!I9</f>
        <v>0</v>
      </c>
      <c r="Q7">
        <f t="shared" si="4"/>
        <v>0</v>
      </c>
      <c r="R7" s="15" t="e">
        <f t="shared" si="5"/>
        <v>#N/A</v>
      </c>
    </row>
    <row r="8" spans="1:18" x14ac:dyDescent="0.25">
      <c r="A8" s="8">
        <f t="shared" si="6"/>
        <v>1</v>
      </c>
      <c r="B8" s="8">
        <f>IF(K8=$P$13,'Rule 12'!$M$4,F8-1)</f>
        <v>-1</v>
      </c>
      <c r="C8" s="23">
        <f t="shared" si="0"/>
        <v>-1</v>
      </c>
      <c r="D8" s="21">
        <f t="shared" si="1"/>
        <v>-8.3333333333333329E-2</v>
      </c>
      <c r="E8" s="21" t="e">
        <f t="shared" si="7"/>
        <v>#N/A</v>
      </c>
      <c r="F8" s="8">
        <f>'Leave Record'!G10</f>
        <v>0</v>
      </c>
      <c r="G8" s="8">
        <f>'Leave Record'!H10</f>
        <v>0</v>
      </c>
      <c r="H8" s="23">
        <f t="shared" si="2"/>
        <v>1</v>
      </c>
      <c r="I8" s="23">
        <f t="shared" si="3"/>
        <v>0</v>
      </c>
      <c r="J8" s="21" t="e">
        <f t="shared" si="8"/>
        <v>#N/A</v>
      </c>
      <c r="K8" s="23">
        <f>'Leave Record'!I10</f>
        <v>0</v>
      </c>
      <c r="P8" t="s">
        <v>14</v>
      </c>
      <c r="Q8">
        <f t="shared" si="4"/>
        <v>0</v>
      </c>
      <c r="R8" s="15" t="e">
        <f t="shared" si="5"/>
        <v>#N/A</v>
      </c>
    </row>
    <row r="9" spans="1:18" x14ac:dyDescent="0.25">
      <c r="A9" s="8">
        <f t="shared" si="6"/>
        <v>1</v>
      </c>
      <c r="B9" s="8">
        <f>IF(K9=$P$13,'Rule 12'!$M$4,F9-1)</f>
        <v>-1</v>
      </c>
      <c r="C9" s="23">
        <f t="shared" si="0"/>
        <v>-1</v>
      </c>
      <c r="D9" s="21">
        <f t="shared" si="1"/>
        <v>-8.3333333333333329E-2</v>
      </c>
      <c r="E9" s="21" t="e">
        <f t="shared" si="7"/>
        <v>#N/A</v>
      </c>
      <c r="F9" s="8">
        <f>'Leave Record'!G11</f>
        <v>0</v>
      </c>
      <c r="G9" s="8">
        <f>'Leave Record'!H11</f>
        <v>0</v>
      </c>
      <c r="H9" s="23">
        <f t="shared" si="2"/>
        <v>1</v>
      </c>
      <c r="I9" s="23">
        <f t="shared" si="3"/>
        <v>0</v>
      </c>
      <c r="J9" s="21" t="e">
        <f t="shared" si="8"/>
        <v>#N/A</v>
      </c>
      <c r="K9" s="23">
        <f>'Leave Record'!I11</f>
        <v>0</v>
      </c>
      <c r="M9" s="13"/>
      <c r="P9" t="s">
        <v>15</v>
      </c>
      <c r="Q9">
        <f t="shared" si="4"/>
        <v>0</v>
      </c>
      <c r="R9" s="15" t="e">
        <f t="shared" si="5"/>
        <v>#N/A</v>
      </c>
    </row>
    <row r="10" spans="1:18" x14ac:dyDescent="0.25">
      <c r="A10" s="8">
        <f t="shared" si="6"/>
        <v>1</v>
      </c>
      <c r="B10" s="8">
        <f>IF(K10=$P$13,'Rule 12'!$M$4,F10-1)</f>
        <v>-1</v>
      </c>
      <c r="C10" s="23">
        <f t="shared" si="0"/>
        <v>-1</v>
      </c>
      <c r="D10" s="21">
        <f t="shared" si="1"/>
        <v>-8.3333333333333329E-2</v>
      </c>
      <c r="E10" s="21" t="e">
        <f t="shared" si="7"/>
        <v>#N/A</v>
      </c>
      <c r="F10" s="8">
        <f>'Leave Record'!G12</f>
        <v>0</v>
      </c>
      <c r="G10" s="8">
        <f>'Leave Record'!H12</f>
        <v>0</v>
      </c>
      <c r="H10" s="23">
        <f t="shared" si="2"/>
        <v>1</v>
      </c>
      <c r="I10" s="23">
        <f t="shared" si="3"/>
        <v>0</v>
      </c>
      <c r="J10" s="21" t="e">
        <f t="shared" si="8"/>
        <v>#N/A</v>
      </c>
      <c r="K10" s="23">
        <f>'Leave Record'!I12</f>
        <v>0</v>
      </c>
      <c r="P10" t="s">
        <v>16</v>
      </c>
      <c r="Q10">
        <f t="shared" si="4"/>
        <v>0</v>
      </c>
      <c r="R10" s="15" t="e">
        <f t="shared" si="5"/>
        <v>#N/A</v>
      </c>
    </row>
    <row r="11" spans="1:18" x14ac:dyDescent="0.25">
      <c r="A11" s="8">
        <f t="shared" si="6"/>
        <v>1</v>
      </c>
      <c r="B11" s="8">
        <f>IF(K11=$P$13,'Rule 12'!$M$4,F11-1)</f>
        <v>-1</v>
      </c>
      <c r="C11" s="23">
        <f t="shared" si="0"/>
        <v>-1</v>
      </c>
      <c r="D11" s="21">
        <f t="shared" si="1"/>
        <v>-8.3333333333333329E-2</v>
      </c>
      <c r="E11" s="21" t="e">
        <f t="shared" si="7"/>
        <v>#N/A</v>
      </c>
      <c r="F11" s="8">
        <f>'Leave Record'!G13</f>
        <v>0</v>
      </c>
      <c r="G11" s="8">
        <f>'Leave Record'!H13</f>
        <v>0</v>
      </c>
      <c r="H11" s="23">
        <f t="shared" si="2"/>
        <v>1</v>
      </c>
      <c r="I11" s="23">
        <f t="shared" si="3"/>
        <v>0</v>
      </c>
      <c r="J11" s="21" t="e">
        <f t="shared" si="8"/>
        <v>#N/A</v>
      </c>
      <c r="K11" s="23">
        <f>'Leave Record'!I13</f>
        <v>0</v>
      </c>
      <c r="P11" t="s">
        <v>17</v>
      </c>
      <c r="Q11">
        <f t="shared" si="4"/>
        <v>0</v>
      </c>
      <c r="R11" s="15" t="e">
        <f t="shared" si="5"/>
        <v>#N/A</v>
      </c>
    </row>
    <row r="12" spans="1:18" x14ac:dyDescent="0.25">
      <c r="A12" s="8">
        <f t="shared" si="6"/>
        <v>1</v>
      </c>
      <c r="B12" s="8">
        <f>IF(K12=$P$13,'Rule 12'!$M$4,F12-1)</f>
        <v>-1</v>
      </c>
      <c r="C12" s="23">
        <f t="shared" si="0"/>
        <v>-1</v>
      </c>
      <c r="D12" s="21">
        <f t="shared" si="1"/>
        <v>-8.3333333333333329E-2</v>
      </c>
      <c r="E12" s="21" t="e">
        <f t="shared" si="7"/>
        <v>#N/A</v>
      </c>
      <c r="F12" s="8">
        <f>'Leave Record'!G14</f>
        <v>0</v>
      </c>
      <c r="G12" s="8">
        <f>'Leave Record'!H14</f>
        <v>0</v>
      </c>
      <c r="H12" s="23">
        <f t="shared" si="2"/>
        <v>1</v>
      </c>
      <c r="I12" s="23">
        <f t="shared" si="3"/>
        <v>0</v>
      </c>
      <c r="J12" s="21" t="e">
        <f t="shared" si="8"/>
        <v>#N/A</v>
      </c>
      <c r="K12" s="23">
        <f>'Leave Record'!I14</f>
        <v>0</v>
      </c>
      <c r="P12" t="s">
        <v>18</v>
      </c>
      <c r="Q12">
        <f t="shared" si="4"/>
        <v>0</v>
      </c>
      <c r="R12" s="15" t="e">
        <f t="shared" si="5"/>
        <v>#N/A</v>
      </c>
    </row>
    <row r="13" spans="1:18" x14ac:dyDescent="0.25">
      <c r="A13" s="8">
        <f t="shared" si="6"/>
        <v>1</v>
      </c>
      <c r="B13" s="8">
        <f>IF(K13=$P$13,'Rule 12'!$M$4,F13-1)</f>
        <v>-1</v>
      </c>
      <c r="C13" s="23">
        <f t="shared" si="0"/>
        <v>-1</v>
      </c>
      <c r="D13" s="21">
        <f t="shared" si="1"/>
        <v>-8.3333333333333329E-2</v>
      </c>
      <c r="E13" s="21" t="e">
        <f t="shared" si="7"/>
        <v>#N/A</v>
      </c>
      <c r="F13" s="8">
        <f>'Leave Record'!G15</f>
        <v>0</v>
      </c>
      <c r="G13" s="8">
        <f>'Leave Record'!H15</f>
        <v>0</v>
      </c>
      <c r="H13" s="23">
        <f t="shared" si="2"/>
        <v>1</v>
      </c>
      <c r="I13" s="23">
        <f t="shared" si="3"/>
        <v>0</v>
      </c>
      <c r="J13" s="21" t="e">
        <f t="shared" si="8"/>
        <v>#N/A</v>
      </c>
      <c r="K13" s="23">
        <f>'Leave Record'!I15</f>
        <v>0</v>
      </c>
      <c r="P13" t="s">
        <v>19</v>
      </c>
      <c r="Q13">
        <f t="shared" si="4"/>
        <v>0</v>
      </c>
      <c r="R13" s="15" t="e">
        <f t="shared" si="5"/>
        <v>#N/A</v>
      </c>
    </row>
    <row r="14" spans="1:18" x14ac:dyDescent="0.25">
      <c r="A14" s="8">
        <f t="shared" si="6"/>
        <v>1</v>
      </c>
      <c r="B14" s="8">
        <f>IF(K14=$P$13,'Rule 12'!$M$4,F14-1)</f>
        <v>-1</v>
      </c>
      <c r="C14" s="23">
        <f t="shared" si="0"/>
        <v>-1</v>
      </c>
      <c r="D14" s="21">
        <f t="shared" si="1"/>
        <v>-8.3333333333333329E-2</v>
      </c>
      <c r="E14" s="21" t="e">
        <f t="shared" si="7"/>
        <v>#N/A</v>
      </c>
      <c r="F14" s="8">
        <f>'Leave Record'!G16</f>
        <v>0</v>
      </c>
      <c r="G14" s="8">
        <f>'Leave Record'!H16</f>
        <v>0</v>
      </c>
      <c r="H14" s="23">
        <f t="shared" si="2"/>
        <v>1</v>
      </c>
      <c r="I14" s="23">
        <f t="shared" si="3"/>
        <v>0</v>
      </c>
      <c r="J14" s="21" t="e">
        <f t="shared" si="8"/>
        <v>#N/A</v>
      </c>
      <c r="K14" s="23">
        <f>'Leave Record'!I16</f>
        <v>0</v>
      </c>
      <c r="P14" t="s">
        <v>13</v>
      </c>
      <c r="Q14">
        <f t="shared" si="4"/>
        <v>0</v>
      </c>
      <c r="R14" s="15" t="e">
        <f t="shared" si="5"/>
        <v>#N/A</v>
      </c>
    </row>
    <row r="15" spans="1:18" x14ac:dyDescent="0.25">
      <c r="A15" s="8">
        <f t="shared" si="6"/>
        <v>1</v>
      </c>
      <c r="B15" s="8">
        <f>IF(K15=$P$13,'Rule 12'!$M$4,F15-1)</f>
        <v>-1</v>
      </c>
      <c r="C15" s="23">
        <f t="shared" si="0"/>
        <v>-1</v>
      </c>
      <c r="D15" s="21">
        <f t="shared" si="1"/>
        <v>-8.3333333333333329E-2</v>
      </c>
      <c r="E15" s="21" t="e">
        <f t="shared" si="7"/>
        <v>#N/A</v>
      </c>
      <c r="F15" s="8">
        <f>'Leave Record'!G17</f>
        <v>0</v>
      </c>
      <c r="G15" s="8">
        <f>'Leave Record'!H17</f>
        <v>0</v>
      </c>
      <c r="H15" s="23">
        <f t="shared" si="2"/>
        <v>1</v>
      </c>
      <c r="I15" s="23">
        <f t="shared" si="3"/>
        <v>0</v>
      </c>
      <c r="J15" s="21" t="e">
        <f t="shared" si="8"/>
        <v>#N/A</v>
      </c>
      <c r="K15" s="23">
        <f>'Leave Record'!I17</f>
        <v>0</v>
      </c>
      <c r="P15" t="s">
        <v>28</v>
      </c>
      <c r="Q15">
        <f t="shared" si="4"/>
        <v>0</v>
      </c>
      <c r="R15" s="15" t="e">
        <f t="shared" si="5"/>
        <v>#N/A</v>
      </c>
    </row>
    <row r="16" spans="1:18" x14ac:dyDescent="0.25">
      <c r="A16" s="8">
        <f t="shared" si="6"/>
        <v>1</v>
      </c>
      <c r="B16" s="8">
        <f>IF(K16=$P$13,'Rule 12'!$M$4,F16-1)</f>
        <v>-1</v>
      </c>
      <c r="C16" s="23">
        <f t="shared" si="0"/>
        <v>-1</v>
      </c>
      <c r="D16" s="21">
        <f t="shared" si="1"/>
        <v>-8.3333333333333329E-2</v>
      </c>
      <c r="E16" s="21" t="e">
        <f t="shared" si="7"/>
        <v>#N/A</v>
      </c>
      <c r="F16" s="8">
        <f>'Leave Record'!G18</f>
        <v>0</v>
      </c>
      <c r="G16" s="8">
        <f>'Leave Record'!H18</f>
        <v>0</v>
      </c>
      <c r="H16" s="23">
        <f t="shared" si="2"/>
        <v>1</v>
      </c>
      <c r="I16" s="23">
        <f t="shared" si="3"/>
        <v>0</v>
      </c>
      <c r="J16" s="21" t="e">
        <f t="shared" si="8"/>
        <v>#N/A</v>
      </c>
      <c r="K16" s="23">
        <f>'Leave Record'!I18</f>
        <v>0</v>
      </c>
      <c r="Q16">
        <f t="shared" si="4"/>
        <v>0</v>
      </c>
      <c r="R16" s="15" t="e">
        <f t="shared" si="5"/>
        <v>#N/A</v>
      </c>
    </row>
    <row r="17" spans="1:18" x14ac:dyDescent="0.25">
      <c r="A17" s="8">
        <f t="shared" si="6"/>
        <v>1</v>
      </c>
      <c r="B17" s="8">
        <f>IF(K17=$P$13,'Rule 12'!$M$4,F17-1)</f>
        <v>-1</v>
      </c>
      <c r="C17" s="23">
        <f t="shared" si="0"/>
        <v>-1</v>
      </c>
      <c r="D17" s="21">
        <f t="shared" si="1"/>
        <v>-8.3333333333333329E-2</v>
      </c>
      <c r="E17" s="21" t="e">
        <f t="shared" si="7"/>
        <v>#N/A</v>
      </c>
      <c r="F17" s="8">
        <f>'Leave Record'!G19</f>
        <v>0</v>
      </c>
      <c r="G17" s="8">
        <f>'Leave Record'!H19</f>
        <v>0</v>
      </c>
      <c r="H17" s="23">
        <f t="shared" si="2"/>
        <v>1</v>
      </c>
      <c r="I17" s="23">
        <f t="shared" si="3"/>
        <v>0</v>
      </c>
      <c r="J17" s="21" t="e">
        <f t="shared" si="8"/>
        <v>#N/A</v>
      </c>
      <c r="K17" s="23">
        <f>'Leave Record'!I19</f>
        <v>0</v>
      </c>
      <c r="P17" t="e">
        <f>VLOOKUP(P15,Q5:R200,2,FALSE)</f>
        <v>#N/A</v>
      </c>
      <c r="Q17">
        <f t="shared" si="4"/>
        <v>0</v>
      </c>
      <c r="R17" s="15" t="e">
        <f t="shared" si="5"/>
        <v>#N/A</v>
      </c>
    </row>
    <row r="18" spans="1:18" x14ac:dyDescent="0.25">
      <c r="A18" s="8">
        <f t="shared" si="6"/>
        <v>1</v>
      </c>
      <c r="B18" s="8">
        <f>IF(K18=$P$13,'Rule 12'!$M$4,F18-1)</f>
        <v>-1</v>
      </c>
      <c r="C18" s="23">
        <f t="shared" si="0"/>
        <v>-1</v>
      </c>
      <c r="D18" s="21">
        <f t="shared" si="1"/>
        <v>-8.3333333333333329E-2</v>
      </c>
      <c r="E18" s="21" t="e">
        <f t="shared" si="7"/>
        <v>#N/A</v>
      </c>
      <c r="F18" s="8">
        <f>'Leave Record'!G20</f>
        <v>0</v>
      </c>
      <c r="G18" s="8">
        <f>'Leave Record'!H20</f>
        <v>0</v>
      </c>
      <c r="H18" s="23">
        <f t="shared" si="2"/>
        <v>1</v>
      </c>
      <c r="I18" s="23">
        <f t="shared" si="3"/>
        <v>0</v>
      </c>
      <c r="J18" s="21" t="e">
        <f t="shared" si="8"/>
        <v>#N/A</v>
      </c>
      <c r="K18" s="23">
        <f>'Leave Record'!I20</f>
        <v>0</v>
      </c>
      <c r="Q18">
        <f t="shared" si="4"/>
        <v>0</v>
      </c>
      <c r="R18" s="15" t="e">
        <f t="shared" si="5"/>
        <v>#N/A</v>
      </c>
    </row>
    <row r="19" spans="1:18" x14ac:dyDescent="0.25">
      <c r="A19" s="8">
        <f t="shared" si="6"/>
        <v>1</v>
      </c>
      <c r="B19" s="8">
        <f>IF(K19=$P$13,'Rule 12'!$M$4,F19-1)</f>
        <v>-1</v>
      </c>
      <c r="C19" s="23">
        <f t="shared" si="0"/>
        <v>-1</v>
      </c>
      <c r="D19" s="21">
        <f t="shared" si="1"/>
        <v>-8.3333333333333329E-2</v>
      </c>
      <c r="E19" s="21" t="e">
        <f t="shared" si="7"/>
        <v>#N/A</v>
      </c>
      <c r="F19" s="8">
        <f>'Leave Record'!G21</f>
        <v>0</v>
      </c>
      <c r="G19" s="8">
        <f>'Leave Record'!H21</f>
        <v>0</v>
      </c>
      <c r="H19" s="23">
        <f t="shared" si="2"/>
        <v>1</v>
      </c>
      <c r="I19" s="23">
        <f t="shared" si="3"/>
        <v>0</v>
      </c>
      <c r="J19" s="21" t="e">
        <f t="shared" si="8"/>
        <v>#N/A</v>
      </c>
      <c r="K19" s="23">
        <f>'Leave Record'!I21</f>
        <v>0</v>
      </c>
      <c r="Q19">
        <f t="shared" si="4"/>
        <v>0</v>
      </c>
      <c r="R19" s="15" t="e">
        <f t="shared" si="5"/>
        <v>#N/A</v>
      </c>
    </row>
    <row r="20" spans="1:18" x14ac:dyDescent="0.25">
      <c r="A20" s="8">
        <f t="shared" si="6"/>
        <v>1</v>
      </c>
      <c r="B20" s="8">
        <f>IF(K20=$P$13,'Rule 12'!$M$4,F20-1)</f>
        <v>-1</v>
      </c>
      <c r="C20" s="23">
        <f t="shared" si="0"/>
        <v>-1</v>
      </c>
      <c r="D20" s="21">
        <f t="shared" si="1"/>
        <v>-8.3333333333333329E-2</v>
      </c>
      <c r="E20" s="21" t="e">
        <f t="shared" si="7"/>
        <v>#N/A</v>
      </c>
      <c r="F20" s="8">
        <f>'Leave Record'!G22</f>
        <v>0</v>
      </c>
      <c r="G20" s="8">
        <f>'Leave Record'!H22</f>
        <v>0</v>
      </c>
      <c r="H20" s="23">
        <f t="shared" si="2"/>
        <v>1</v>
      </c>
      <c r="I20" s="23">
        <f t="shared" si="3"/>
        <v>0</v>
      </c>
      <c r="J20" s="21" t="e">
        <f t="shared" si="8"/>
        <v>#N/A</v>
      </c>
      <c r="K20" s="23">
        <f>'Leave Record'!I22</f>
        <v>0</v>
      </c>
      <c r="Q20">
        <f t="shared" si="4"/>
        <v>0</v>
      </c>
      <c r="R20" s="15" t="e">
        <f t="shared" si="5"/>
        <v>#N/A</v>
      </c>
    </row>
    <row r="21" spans="1:18" x14ac:dyDescent="0.25">
      <c r="A21" s="8">
        <f t="shared" si="6"/>
        <v>1</v>
      </c>
      <c r="B21" s="8">
        <f>IF(K21=$P$13,'Rule 12'!$M$4,F21-1)</f>
        <v>-1</v>
      </c>
      <c r="C21" s="23">
        <f t="shared" si="0"/>
        <v>-1</v>
      </c>
      <c r="D21" s="21">
        <f t="shared" si="1"/>
        <v>-8.3333333333333329E-2</v>
      </c>
      <c r="E21" s="21" t="e">
        <f t="shared" si="7"/>
        <v>#N/A</v>
      </c>
      <c r="F21" s="8">
        <f>'Leave Record'!G23</f>
        <v>0</v>
      </c>
      <c r="G21" s="8">
        <f>'Leave Record'!H23</f>
        <v>0</v>
      </c>
      <c r="H21" s="23">
        <f t="shared" si="2"/>
        <v>1</v>
      </c>
      <c r="I21" s="23">
        <f t="shared" si="3"/>
        <v>0</v>
      </c>
      <c r="J21" s="21" t="e">
        <f t="shared" si="8"/>
        <v>#N/A</v>
      </c>
      <c r="K21" s="23">
        <f>'Leave Record'!I23</f>
        <v>0</v>
      </c>
      <c r="Q21">
        <f t="shared" si="4"/>
        <v>0</v>
      </c>
      <c r="R21" s="15" t="e">
        <f t="shared" si="5"/>
        <v>#N/A</v>
      </c>
    </row>
    <row r="22" spans="1:18" x14ac:dyDescent="0.25">
      <c r="A22" s="8">
        <f t="shared" si="6"/>
        <v>1</v>
      </c>
      <c r="B22" s="8">
        <f>IF(K22=$P$13,'Rule 12'!$M$4,F22-1)</f>
        <v>-1</v>
      </c>
      <c r="C22" s="23">
        <f t="shared" si="0"/>
        <v>-1</v>
      </c>
      <c r="D22" s="21">
        <f t="shared" si="1"/>
        <v>-8.3333333333333329E-2</v>
      </c>
      <c r="E22" s="21" t="e">
        <f t="shared" si="7"/>
        <v>#N/A</v>
      </c>
      <c r="F22" s="8">
        <f>'Leave Record'!G24</f>
        <v>0</v>
      </c>
      <c r="G22" s="8">
        <f>'Leave Record'!H24</f>
        <v>0</v>
      </c>
      <c r="H22" s="23">
        <f t="shared" si="2"/>
        <v>1</v>
      </c>
      <c r="I22" s="23">
        <f t="shared" si="3"/>
        <v>0</v>
      </c>
      <c r="J22" s="21" t="e">
        <f t="shared" si="8"/>
        <v>#N/A</v>
      </c>
      <c r="K22" s="23">
        <f>'Leave Record'!I24</f>
        <v>0</v>
      </c>
      <c r="Q22">
        <f t="shared" si="4"/>
        <v>0</v>
      </c>
      <c r="R22" s="15" t="e">
        <f t="shared" si="5"/>
        <v>#N/A</v>
      </c>
    </row>
    <row r="23" spans="1:18" x14ac:dyDescent="0.25">
      <c r="A23" s="8">
        <f t="shared" si="6"/>
        <v>1</v>
      </c>
      <c r="B23" s="8">
        <f>IF(K23=$P$13,'Rule 12'!$M$4,F23-1)</f>
        <v>-1</v>
      </c>
      <c r="C23" s="23">
        <f t="shared" si="0"/>
        <v>-1</v>
      </c>
      <c r="D23" s="21">
        <f t="shared" si="1"/>
        <v>-8.3333333333333329E-2</v>
      </c>
      <c r="E23" s="21" t="e">
        <f t="shared" si="7"/>
        <v>#N/A</v>
      </c>
      <c r="F23" s="8">
        <f>'Leave Record'!G25</f>
        <v>0</v>
      </c>
      <c r="G23" s="8">
        <f>'Leave Record'!H25</f>
        <v>0</v>
      </c>
      <c r="H23" s="23">
        <f t="shared" si="2"/>
        <v>1</v>
      </c>
      <c r="I23" s="23">
        <f t="shared" si="3"/>
        <v>0</v>
      </c>
      <c r="J23" s="21" t="e">
        <f t="shared" si="8"/>
        <v>#N/A</v>
      </c>
      <c r="K23" s="23">
        <f>'Leave Record'!I25</f>
        <v>0</v>
      </c>
      <c r="Q23">
        <f t="shared" si="4"/>
        <v>0</v>
      </c>
      <c r="R23" s="15" t="e">
        <f t="shared" si="5"/>
        <v>#N/A</v>
      </c>
    </row>
    <row r="24" spans="1:18" x14ac:dyDescent="0.25">
      <c r="A24" s="8">
        <f t="shared" si="6"/>
        <v>1</v>
      </c>
      <c r="B24" s="8">
        <f>IF(K24=$P$13,'Rule 12'!$M$4,F24-1)</f>
        <v>-1</v>
      </c>
      <c r="C24" s="23">
        <f t="shared" si="0"/>
        <v>-1</v>
      </c>
      <c r="D24" s="21">
        <f t="shared" si="1"/>
        <v>-8.3333333333333329E-2</v>
      </c>
      <c r="E24" s="21" t="e">
        <f t="shared" si="7"/>
        <v>#N/A</v>
      </c>
      <c r="F24" s="8">
        <f>'Leave Record'!G26</f>
        <v>0</v>
      </c>
      <c r="G24" s="8">
        <f>'Leave Record'!H26</f>
        <v>0</v>
      </c>
      <c r="H24" s="23">
        <f t="shared" si="2"/>
        <v>1</v>
      </c>
      <c r="I24" s="23">
        <f t="shared" si="3"/>
        <v>0</v>
      </c>
      <c r="J24" s="21" t="e">
        <f t="shared" si="8"/>
        <v>#N/A</v>
      </c>
      <c r="K24" s="23">
        <f>'Leave Record'!I26</f>
        <v>0</v>
      </c>
      <c r="Q24">
        <f t="shared" si="4"/>
        <v>0</v>
      </c>
      <c r="R24" s="15" t="e">
        <f t="shared" si="5"/>
        <v>#N/A</v>
      </c>
    </row>
    <row r="25" spans="1:18" x14ac:dyDescent="0.25">
      <c r="A25" s="8">
        <f t="shared" si="6"/>
        <v>1</v>
      </c>
      <c r="B25" s="8">
        <f>IF(K25=$P$13,'Rule 12'!$M$4,F25-1)</f>
        <v>-1</v>
      </c>
      <c r="C25" s="23">
        <f t="shared" si="0"/>
        <v>-1</v>
      </c>
      <c r="D25" s="21">
        <f t="shared" si="1"/>
        <v>-8.3333333333333329E-2</v>
      </c>
      <c r="E25" s="21" t="e">
        <f t="shared" si="7"/>
        <v>#N/A</v>
      </c>
      <c r="F25" s="8">
        <f>'Leave Record'!G27</f>
        <v>0</v>
      </c>
      <c r="G25" s="8">
        <f>'Leave Record'!H27</f>
        <v>0</v>
      </c>
      <c r="H25" s="23">
        <f t="shared" si="2"/>
        <v>1</v>
      </c>
      <c r="I25" s="23">
        <f t="shared" si="3"/>
        <v>0</v>
      </c>
      <c r="J25" s="21" t="e">
        <f t="shared" si="8"/>
        <v>#N/A</v>
      </c>
      <c r="K25" s="23">
        <f>'Leave Record'!I27</f>
        <v>0</v>
      </c>
      <c r="Q25">
        <f t="shared" si="4"/>
        <v>0</v>
      </c>
      <c r="R25" s="15" t="e">
        <f t="shared" si="5"/>
        <v>#N/A</v>
      </c>
    </row>
    <row r="26" spans="1:18" x14ac:dyDescent="0.25">
      <c r="A26" s="8">
        <f t="shared" si="6"/>
        <v>1</v>
      </c>
      <c r="B26" s="8">
        <f>IF(K26=$P$13,'Rule 12'!$M$4,F26-1)</f>
        <v>-1</v>
      </c>
      <c r="C26" s="23">
        <f t="shared" si="0"/>
        <v>-1</v>
      </c>
      <c r="D26" s="21">
        <f t="shared" si="1"/>
        <v>-8.3333333333333329E-2</v>
      </c>
      <c r="E26" s="21" t="e">
        <f t="shared" si="7"/>
        <v>#N/A</v>
      </c>
      <c r="F26" s="8">
        <f>'Leave Record'!G28</f>
        <v>0</v>
      </c>
      <c r="G26" s="8">
        <f>'Leave Record'!H28</f>
        <v>0</v>
      </c>
      <c r="H26" s="23">
        <f t="shared" si="2"/>
        <v>1</v>
      </c>
      <c r="I26" s="23">
        <f t="shared" si="3"/>
        <v>0</v>
      </c>
      <c r="J26" s="21" t="e">
        <f t="shared" si="8"/>
        <v>#N/A</v>
      </c>
      <c r="K26" s="23">
        <f>'Leave Record'!I28</f>
        <v>0</v>
      </c>
      <c r="Q26">
        <f t="shared" si="4"/>
        <v>0</v>
      </c>
      <c r="R26" s="15" t="e">
        <f t="shared" si="5"/>
        <v>#N/A</v>
      </c>
    </row>
    <row r="27" spans="1:18" x14ac:dyDescent="0.25">
      <c r="A27" s="8">
        <f t="shared" si="6"/>
        <v>1</v>
      </c>
      <c r="B27" s="8">
        <f>IF(K27=$P$13,'Rule 12'!$M$4,F27-1)</f>
        <v>-1</v>
      </c>
      <c r="C27" s="23">
        <f t="shared" si="0"/>
        <v>-1</v>
      </c>
      <c r="D27" s="21">
        <f t="shared" si="1"/>
        <v>-8.3333333333333329E-2</v>
      </c>
      <c r="E27" s="21" t="e">
        <f t="shared" si="7"/>
        <v>#N/A</v>
      </c>
      <c r="F27" s="8">
        <f>'Leave Record'!G29</f>
        <v>0</v>
      </c>
      <c r="G27" s="8">
        <f>'Leave Record'!H29</f>
        <v>0</v>
      </c>
      <c r="H27" s="23">
        <f t="shared" si="2"/>
        <v>1</v>
      </c>
      <c r="I27" s="23">
        <f t="shared" si="3"/>
        <v>0</v>
      </c>
      <c r="J27" s="21" t="e">
        <f t="shared" si="8"/>
        <v>#N/A</v>
      </c>
      <c r="K27" s="23">
        <f>'Leave Record'!I29</f>
        <v>0</v>
      </c>
      <c r="Q27">
        <f t="shared" si="4"/>
        <v>0</v>
      </c>
      <c r="R27" s="15" t="e">
        <f t="shared" si="5"/>
        <v>#N/A</v>
      </c>
    </row>
    <row r="28" spans="1:18" x14ac:dyDescent="0.25">
      <c r="A28" s="8">
        <f t="shared" si="6"/>
        <v>1</v>
      </c>
      <c r="B28" s="8">
        <f>IF(K28=$P$13,'Rule 12'!$M$4,F28-1)</f>
        <v>-1</v>
      </c>
      <c r="C28" s="23">
        <f t="shared" si="0"/>
        <v>-1</v>
      </c>
      <c r="D28" s="21">
        <f t="shared" si="1"/>
        <v>-8.3333333333333329E-2</v>
      </c>
      <c r="E28" s="21" t="e">
        <f t="shared" si="7"/>
        <v>#N/A</v>
      </c>
      <c r="F28" s="8">
        <f>'Leave Record'!G30</f>
        <v>0</v>
      </c>
      <c r="G28" s="8">
        <f>'Leave Record'!H30</f>
        <v>0</v>
      </c>
      <c r="H28" s="23">
        <f t="shared" si="2"/>
        <v>1</v>
      </c>
      <c r="I28" s="23">
        <f t="shared" si="3"/>
        <v>0</v>
      </c>
      <c r="J28" s="21" t="e">
        <f t="shared" si="8"/>
        <v>#N/A</v>
      </c>
      <c r="K28" s="23">
        <f>'Leave Record'!I30</f>
        <v>0</v>
      </c>
      <c r="Q28">
        <f t="shared" si="4"/>
        <v>0</v>
      </c>
      <c r="R28" s="15" t="e">
        <f t="shared" si="5"/>
        <v>#N/A</v>
      </c>
    </row>
    <row r="29" spans="1:18" x14ac:dyDescent="0.25">
      <c r="A29" s="8">
        <f t="shared" si="6"/>
        <v>1</v>
      </c>
      <c r="B29" s="8">
        <f>IF(K29=$P$13,'Rule 12'!$M$4,F29-1)</f>
        <v>-1</v>
      </c>
      <c r="C29" s="23">
        <f t="shared" si="0"/>
        <v>-1</v>
      </c>
      <c r="D29" s="21">
        <f t="shared" si="1"/>
        <v>-8.3333333333333329E-2</v>
      </c>
      <c r="E29" s="21" t="e">
        <f t="shared" si="7"/>
        <v>#N/A</v>
      </c>
      <c r="F29" s="8">
        <f>'Leave Record'!G31</f>
        <v>0</v>
      </c>
      <c r="G29" s="8">
        <f>'Leave Record'!H31</f>
        <v>0</v>
      </c>
      <c r="H29" s="23">
        <f t="shared" si="2"/>
        <v>1</v>
      </c>
      <c r="I29" s="23">
        <f t="shared" si="3"/>
        <v>0</v>
      </c>
      <c r="J29" s="21" t="e">
        <f t="shared" si="8"/>
        <v>#N/A</v>
      </c>
      <c r="K29" s="23">
        <f>'Leave Record'!I31</f>
        <v>0</v>
      </c>
      <c r="Q29">
        <f t="shared" si="4"/>
        <v>0</v>
      </c>
      <c r="R29" s="15" t="e">
        <f t="shared" si="5"/>
        <v>#N/A</v>
      </c>
    </row>
    <row r="30" spans="1:18" x14ac:dyDescent="0.25">
      <c r="A30" s="8">
        <f t="shared" si="6"/>
        <v>1</v>
      </c>
      <c r="B30" s="8">
        <f>IF(K30=$P$13,'Rule 12'!$M$4,F30-1)</f>
        <v>-1</v>
      </c>
      <c r="C30" s="23">
        <f t="shared" si="0"/>
        <v>-1</v>
      </c>
      <c r="D30" s="21">
        <f t="shared" si="1"/>
        <v>-8.3333333333333329E-2</v>
      </c>
      <c r="E30" s="21" t="e">
        <f t="shared" si="7"/>
        <v>#N/A</v>
      </c>
      <c r="F30" s="8">
        <f>'Leave Record'!G32</f>
        <v>0</v>
      </c>
      <c r="G30" s="8">
        <f>'Leave Record'!H32</f>
        <v>0</v>
      </c>
      <c r="H30" s="23">
        <f t="shared" si="2"/>
        <v>1</v>
      </c>
      <c r="I30" s="23">
        <f t="shared" si="3"/>
        <v>0</v>
      </c>
      <c r="J30" s="21" t="e">
        <f t="shared" si="8"/>
        <v>#N/A</v>
      </c>
      <c r="K30" s="23">
        <f>'Leave Record'!I32</f>
        <v>0</v>
      </c>
      <c r="Q30">
        <f t="shared" si="4"/>
        <v>0</v>
      </c>
      <c r="R30" s="15" t="e">
        <f t="shared" si="5"/>
        <v>#N/A</v>
      </c>
    </row>
    <row r="31" spans="1:18" x14ac:dyDescent="0.25">
      <c r="A31" s="8">
        <f t="shared" si="6"/>
        <v>1</v>
      </c>
      <c r="B31" s="8">
        <f>IF(K31=$P$13,'Rule 12'!$M$4,F31-1)</f>
        <v>-1</v>
      </c>
      <c r="C31" s="23">
        <f t="shared" si="0"/>
        <v>-1</v>
      </c>
      <c r="D31" s="21">
        <f t="shared" si="1"/>
        <v>-8.3333333333333329E-2</v>
      </c>
      <c r="E31" s="21" t="e">
        <f t="shared" si="7"/>
        <v>#N/A</v>
      </c>
      <c r="F31" s="8">
        <f>'Leave Record'!G33</f>
        <v>0</v>
      </c>
      <c r="G31" s="8">
        <f>'Leave Record'!H33</f>
        <v>0</v>
      </c>
      <c r="H31" s="23">
        <f t="shared" si="2"/>
        <v>1</v>
      </c>
      <c r="I31" s="23">
        <f t="shared" si="3"/>
        <v>0</v>
      </c>
      <c r="J31" s="21" t="e">
        <f t="shared" si="8"/>
        <v>#N/A</v>
      </c>
      <c r="K31" s="23">
        <f>'Leave Record'!I33</f>
        <v>0</v>
      </c>
      <c r="Q31">
        <f t="shared" si="4"/>
        <v>0</v>
      </c>
      <c r="R31" s="15" t="e">
        <f t="shared" si="5"/>
        <v>#N/A</v>
      </c>
    </row>
    <row r="32" spans="1:18" x14ac:dyDescent="0.25">
      <c r="A32" s="8">
        <f t="shared" si="6"/>
        <v>1</v>
      </c>
      <c r="B32" s="8">
        <f>IF(K32=$P$13,'Rule 12'!$M$4,F32-1)</f>
        <v>-1</v>
      </c>
      <c r="C32" s="23">
        <f t="shared" si="0"/>
        <v>-1</v>
      </c>
      <c r="D32" s="21">
        <f t="shared" si="1"/>
        <v>-8.3333333333333329E-2</v>
      </c>
      <c r="E32" s="21" t="e">
        <f t="shared" si="7"/>
        <v>#N/A</v>
      </c>
      <c r="F32" s="8">
        <f>'Leave Record'!G34</f>
        <v>0</v>
      </c>
      <c r="G32" s="8">
        <f>'Leave Record'!H34</f>
        <v>0</v>
      </c>
      <c r="H32" s="23">
        <f t="shared" si="2"/>
        <v>1</v>
      </c>
      <c r="I32" s="23">
        <f t="shared" si="3"/>
        <v>0</v>
      </c>
      <c r="J32" s="21" t="e">
        <f t="shared" si="8"/>
        <v>#N/A</v>
      </c>
      <c r="K32" s="23">
        <f>'Leave Record'!I34</f>
        <v>0</v>
      </c>
      <c r="Q32">
        <f t="shared" si="4"/>
        <v>0</v>
      </c>
      <c r="R32" s="15" t="e">
        <f t="shared" si="5"/>
        <v>#N/A</v>
      </c>
    </row>
    <row r="33" spans="1:18" x14ac:dyDescent="0.25">
      <c r="A33" s="8">
        <f t="shared" si="6"/>
        <v>1</v>
      </c>
      <c r="B33" s="8">
        <f>IF(K33=$P$13,'Rule 12'!$M$4,F33-1)</f>
        <v>-1</v>
      </c>
      <c r="C33" s="23">
        <f t="shared" si="0"/>
        <v>-1</v>
      </c>
      <c r="D33" s="21">
        <f t="shared" si="1"/>
        <v>-8.3333333333333329E-2</v>
      </c>
      <c r="E33" s="21" t="e">
        <f t="shared" si="7"/>
        <v>#N/A</v>
      </c>
      <c r="F33" s="8">
        <f>'Leave Record'!G35</f>
        <v>0</v>
      </c>
      <c r="G33" s="8">
        <f>'Leave Record'!H35</f>
        <v>0</v>
      </c>
      <c r="H33" s="23">
        <f t="shared" si="2"/>
        <v>1</v>
      </c>
      <c r="I33" s="23">
        <f t="shared" si="3"/>
        <v>0</v>
      </c>
      <c r="J33" s="21" t="e">
        <f t="shared" si="8"/>
        <v>#N/A</v>
      </c>
      <c r="K33" s="23">
        <f>'Leave Record'!I35</f>
        <v>0</v>
      </c>
      <c r="Q33">
        <f t="shared" si="4"/>
        <v>0</v>
      </c>
      <c r="R33" s="15" t="e">
        <f t="shared" si="5"/>
        <v>#N/A</v>
      </c>
    </row>
    <row r="34" spans="1:18" x14ac:dyDescent="0.25">
      <c r="A34" s="8">
        <f t="shared" si="6"/>
        <v>1</v>
      </c>
      <c r="B34" s="8">
        <f>IF(K34=$P$13,'Rule 12'!$M$4,F34-1)</f>
        <v>-1</v>
      </c>
      <c r="C34" s="23">
        <f t="shared" si="0"/>
        <v>-1</v>
      </c>
      <c r="D34" s="21">
        <f t="shared" si="1"/>
        <v>-8.3333333333333329E-2</v>
      </c>
      <c r="E34" s="21" t="e">
        <f t="shared" si="7"/>
        <v>#N/A</v>
      </c>
      <c r="F34" s="8">
        <f>'Leave Record'!G36</f>
        <v>0</v>
      </c>
      <c r="G34" s="8">
        <f>'Leave Record'!H36</f>
        <v>0</v>
      </c>
      <c r="H34" s="23">
        <f t="shared" si="2"/>
        <v>1</v>
      </c>
      <c r="I34" s="23">
        <f t="shared" si="3"/>
        <v>0</v>
      </c>
      <c r="J34" s="21" t="e">
        <f t="shared" si="8"/>
        <v>#N/A</v>
      </c>
      <c r="K34" s="23">
        <f>'Leave Record'!I36</f>
        <v>0</v>
      </c>
      <c r="Q34">
        <f t="shared" si="4"/>
        <v>0</v>
      </c>
      <c r="R34" s="15" t="e">
        <f t="shared" si="5"/>
        <v>#N/A</v>
      </c>
    </row>
    <row r="35" spans="1:18" x14ac:dyDescent="0.25">
      <c r="A35" s="8">
        <f t="shared" si="6"/>
        <v>1</v>
      </c>
      <c r="B35" s="8">
        <f>IF(K35=$P$13,'Rule 12'!$M$4,F35-1)</f>
        <v>-1</v>
      </c>
      <c r="C35" s="23">
        <f t="shared" si="0"/>
        <v>-1</v>
      </c>
      <c r="D35" s="21">
        <f t="shared" si="1"/>
        <v>-8.3333333333333329E-2</v>
      </c>
      <c r="E35" s="21" t="e">
        <f t="shared" si="7"/>
        <v>#N/A</v>
      </c>
      <c r="F35" s="8">
        <f>'Leave Record'!G37</f>
        <v>0</v>
      </c>
      <c r="G35" s="8">
        <f>'Leave Record'!H37</f>
        <v>0</v>
      </c>
      <c r="H35" s="23">
        <f t="shared" si="2"/>
        <v>1</v>
      </c>
      <c r="I35" s="23">
        <f t="shared" si="3"/>
        <v>0</v>
      </c>
      <c r="J35" s="21" t="e">
        <f t="shared" si="8"/>
        <v>#N/A</v>
      </c>
      <c r="K35" s="23">
        <f>'Leave Record'!I37</f>
        <v>0</v>
      </c>
      <c r="Q35">
        <f t="shared" si="4"/>
        <v>0</v>
      </c>
      <c r="R35" s="15" t="e">
        <f t="shared" si="5"/>
        <v>#N/A</v>
      </c>
    </row>
    <row r="36" spans="1:18" x14ac:dyDescent="0.25">
      <c r="A36" s="8">
        <f t="shared" si="6"/>
        <v>1</v>
      </c>
      <c r="B36" s="8">
        <f>IF(K36=$P$13,'Rule 12'!$M$4,F36-1)</f>
        <v>-1</v>
      </c>
      <c r="C36" s="23">
        <f t="shared" si="0"/>
        <v>-1</v>
      </c>
      <c r="D36" s="21">
        <f t="shared" si="1"/>
        <v>-8.3333333333333329E-2</v>
      </c>
      <c r="E36" s="21" t="e">
        <f t="shared" si="7"/>
        <v>#N/A</v>
      </c>
      <c r="F36" s="8">
        <f>'Leave Record'!G38</f>
        <v>0</v>
      </c>
      <c r="G36" s="8">
        <f>'Leave Record'!H38</f>
        <v>0</v>
      </c>
      <c r="H36" s="23">
        <f t="shared" si="2"/>
        <v>1</v>
      </c>
      <c r="I36" s="23">
        <f t="shared" si="3"/>
        <v>0</v>
      </c>
      <c r="J36" s="21" t="e">
        <f t="shared" si="8"/>
        <v>#N/A</v>
      </c>
      <c r="K36" s="23">
        <f>'Leave Record'!I38</f>
        <v>0</v>
      </c>
      <c r="Q36">
        <f t="shared" si="4"/>
        <v>0</v>
      </c>
      <c r="R36" s="15" t="e">
        <f t="shared" si="5"/>
        <v>#N/A</v>
      </c>
    </row>
    <row r="37" spans="1:18" x14ac:dyDescent="0.25">
      <c r="A37" s="8">
        <f t="shared" si="6"/>
        <v>1</v>
      </c>
      <c r="B37" s="8">
        <f>IF(K37=$P$13,'Rule 12'!$M$4,F37-1)</f>
        <v>-1</v>
      </c>
      <c r="C37" s="23">
        <f t="shared" si="0"/>
        <v>-1</v>
      </c>
      <c r="D37" s="21">
        <f t="shared" si="1"/>
        <v>-8.3333333333333329E-2</v>
      </c>
      <c r="E37" s="21" t="e">
        <f t="shared" si="7"/>
        <v>#N/A</v>
      </c>
      <c r="F37" s="8">
        <f>'Leave Record'!G39</f>
        <v>0</v>
      </c>
      <c r="G37" s="8">
        <f>'Leave Record'!H39</f>
        <v>0</v>
      </c>
      <c r="H37" s="23">
        <f t="shared" si="2"/>
        <v>1</v>
      </c>
      <c r="I37" s="23">
        <f t="shared" si="3"/>
        <v>0</v>
      </c>
      <c r="J37" s="21" t="e">
        <f t="shared" si="8"/>
        <v>#N/A</v>
      </c>
      <c r="K37" s="23">
        <f>'Leave Record'!I39</f>
        <v>0</v>
      </c>
      <c r="Q37">
        <f t="shared" si="4"/>
        <v>0</v>
      </c>
      <c r="R37" s="15" t="e">
        <f t="shared" si="5"/>
        <v>#N/A</v>
      </c>
    </row>
    <row r="38" spans="1:18" x14ac:dyDescent="0.25">
      <c r="A38" s="8">
        <f t="shared" si="6"/>
        <v>1</v>
      </c>
      <c r="B38" s="8">
        <f>IF(K38=$P$13,'Rule 12'!$M$4,F38-1)</f>
        <v>-1</v>
      </c>
      <c r="C38" s="23">
        <f t="shared" si="0"/>
        <v>-1</v>
      </c>
      <c r="D38" s="21">
        <f t="shared" si="1"/>
        <v>-8.3333333333333329E-2</v>
      </c>
      <c r="E38" s="21" t="e">
        <f t="shared" si="7"/>
        <v>#N/A</v>
      </c>
      <c r="F38" s="8">
        <f>'Leave Record'!G40</f>
        <v>0</v>
      </c>
      <c r="G38" s="8">
        <f>'Leave Record'!H40</f>
        <v>0</v>
      </c>
      <c r="H38" s="23">
        <f t="shared" si="2"/>
        <v>1</v>
      </c>
      <c r="I38" s="23">
        <f t="shared" si="3"/>
        <v>0</v>
      </c>
      <c r="J38" s="21" t="e">
        <f t="shared" si="8"/>
        <v>#N/A</v>
      </c>
      <c r="K38" s="23">
        <f>'Leave Record'!I40</f>
        <v>0</v>
      </c>
      <c r="Q38">
        <f t="shared" si="4"/>
        <v>0</v>
      </c>
      <c r="R38" s="15" t="e">
        <f t="shared" si="5"/>
        <v>#N/A</v>
      </c>
    </row>
    <row r="39" spans="1:18" x14ac:dyDescent="0.25">
      <c r="A39" s="8">
        <f t="shared" si="6"/>
        <v>1</v>
      </c>
      <c r="B39" s="8">
        <f>IF(K39=$P$13,'Rule 12'!$M$4,F39-1)</f>
        <v>-1</v>
      </c>
      <c r="C39" s="23">
        <f t="shared" si="0"/>
        <v>-1</v>
      </c>
      <c r="D39" s="21">
        <f t="shared" si="1"/>
        <v>-8.3333333333333329E-2</v>
      </c>
      <c r="E39" s="21" t="e">
        <f t="shared" si="7"/>
        <v>#N/A</v>
      </c>
      <c r="F39" s="8">
        <f>'Leave Record'!G41</f>
        <v>0</v>
      </c>
      <c r="G39" s="8">
        <f>'Leave Record'!H41</f>
        <v>0</v>
      </c>
      <c r="H39" s="23">
        <f t="shared" si="2"/>
        <v>1</v>
      </c>
      <c r="I39" s="23">
        <f t="shared" si="3"/>
        <v>0</v>
      </c>
      <c r="J39" s="21" t="e">
        <f t="shared" si="8"/>
        <v>#N/A</v>
      </c>
      <c r="K39" s="23">
        <f>'Leave Record'!I41</f>
        <v>0</v>
      </c>
      <c r="Q39">
        <f t="shared" si="4"/>
        <v>0</v>
      </c>
      <c r="R39" s="15" t="e">
        <f t="shared" si="5"/>
        <v>#N/A</v>
      </c>
    </row>
    <row r="40" spans="1:18" x14ac:dyDescent="0.25">
      <c r="A40" s="8">
        <f t="shared" si="6"/>
        <v>1</v>
      </c>
      <c r="B40" s="8">
        <f>IF(K40=$P$13,'Rule 12'!$M$4,F40-1)</f>
        <v>-1</v>
      </c>
      <c r="C40" s="23">
        <f t="shared" si="0"/>
        <v>-1</v>
      </c>
      <c r="D40" s="21">
        <f t="shared" si="1"/>
        <v>-8.3333333333333329E-2</v>
      </c>
      <c r="E40" s="21" t="e">
        <f t="shared" si="7"/>
        <v>#N/A</v>
      </c>
      <c r="F40" s="8">
        <f>'Leave Record'!G42</f>
        <v>0</v>
      </c>
      <c r="G40" s="8">
        <f>'Leave Record'!H42</f>
        <v>0</v>
      </c>
      <c r="H40" s="23">
        <f t="shared" si="2"/>
        <v>1</v>
      </c>
      <c r="I40" s="23">
        <f t="shared" si="3"/>
        <v>0</v>
      </c>
      <c r="J40" s="21" t="e">
        <f t="shared" si="8"/>
        <v>#N/A</v>
      </c>
      <c r="K40" s="23">
        <f>'Leave Record'!I42</f>
        <v>0</v>
      </c>
      <c r="Q40">
        <f t="shared" si="4"/>
        <v>0</v>
      </c>
      <c r="R40" s="15" t="e">
        <f t="shared" si="5"/>
        <v>#N/A</v>
      </c>
    </row>
    <row r="41" spans="1:18" x14ac:dyDescent="0.25">
      <c r="A41" s="8">
        <f t="shared" si="6"/>
        <v>1</v>
      </c>
      <c r="B41" s="8">
        <f>IF(K41=$P$13,'Rule 12'!$M$4,F41-1)</f>
        <v>-1</v>
      </c>
      <c r="C41" s="23">
        <f t="shared" si="0"/>
        <v>-1</v>
      </c>
      <c r="D41" s="21">
        <f t="shared" si="1"/>
        <v>-8.3333333333333329E-2</v>
      </c>
      <c r="E41" s="21" t="e">
        <f t="shared" si="7"/>
        <v>#N/A</v>
      </c>
      <c r="F41" s="8">
        <f>'Leave Record'!G43</f>
        <v>0</v>
      </c>
      <c r="G41" s="8">
        <f>'Leave Record'!H43</f>
        <v>0</v>
      </c>
      <c r="H41" s="23">
        <f t="shared" si="2"/>
        <v>1</v>
      </c>
      <c r="I41" s="23">
        <f t="shared" si="3"/>
        <v>0</v>
      </c>
      <c r="J41" s="21" t="e">
        <f t="shared" si="8"/>
        <v>#N/A</v>
      </c>
      <c r="K41" s="23">
        <f>'Leave Record'!I43</f>
        <v>0</v>
      </c>
      <c r="Q41">
        <f t="shared" si="4"/>
        <v>0</v>
      </c>
      <c r="R41" s="15" t="e">
        <f t="shared" si="5"/>
        <v>#N/A</v>
      </c>
    </row>
    <row r="42" spans="1:18" x14ac:dyDescent="0.25">
      <c r="A42" s="8">
        <f t="shared" si="6"/>
        <v>1</v>
      </c>
      <c r="B42" s="8">
        <f>IF(K42=$P$13,'Rule 12'!$M$4,F42-1)</f>
        <v>-1</v>
      </c>
      <c r="C42" s="23">
        <f t="shared" si="0"/>
        <v>-1</v>
      </c>
      <c r="D42" s="21">
        <f t="shared" si="1"/>
        <v>-8.3333333333333329E-2</v>
      </c>
      <c r="E42" s="21" t="e">
        <f t="shared" si="7"/>
        <v>#N/A</v>
      </c>
      <c r="F42" s="8">
        <f>'Leave Record'!G44</f>
        <v>0</v>
      </c>
      <c r="G42" s="8">
        <f>'Leave Record'!H44</f>
        <v>0</v>
      </c>
      <c r="H42" s="23">
        <f t="shared" si="2"/>
        <v>1</v>
      </c>
      <c r="I42" s="23">
        <f t="shared" si="3"/>
        <v>0</v>
      </c>
      <c r="J42" s="21" t="e">
        <f t="shared" si="8"/>
        <v>#N/A</v>
      </c>
      <c r="K42" s="23">
        <f>'Leave Record'!I44</f>
        <v>0</v>
      </c>
      <c r="Q42">
        <f t="shared" si="4"/>
        <v>0</v>
      </c>
      <c r="R42" s="15" t="e">
        <f t="shared" si="5"/>
        <v>#N/A</v>
      </c>
    </row>
    <row r="43" spans="1:18" x14ac:dyDescent="0.25">
      <c r="A43" s="8">
        <f t="shared" si="6"/>
        <v>1</v>
      </c>
      <c r="B43" s="8">
        <f>IF(K43=$P$13,'Rule 12'!$M$4,F43-1)</f>
        <v>-1</v>
      </c>
      <c r="C43" s="23">
        <f t="shared" si="0"/>
        <v>-1</v>
      </c>
      <c r="D43" s="21">
        <f t="shared" si="1"/>
        <v>-8.3333333333333329E-2</v>
      </c>
      <c r="E43" s="21" t="e">
        <f t="shared" si="7"/>
        <v>#N/A</v>
      </c>
      <c r="F43" s="8">
        <f>'Leave Record'!G45</f>
        <v>0</v>
      </c>
      <c r="G43" s="8">
        <f>'Leave Record'!H45</f>
        <v>0</v>
      </c>
      <c r="H43" s="23">
        <f t="shared" si="2"/>
        <v>1</v>
      </c>
      <c r="I43" s="23">
        <f t="shared" si="3"/>
        <v>0</v>
      </c>
      <c r="J43" s="21" t="e">
        <f t="shared" si="8"/>
        <v>#N/A</v>
      </c>
      <c r="K43" s="23">
        <f>'Leave Record'!I45</f>
        <v>0</v>
      </c>
      <c r="Q43">
        <f t="shared" si="4"/>
        <v>0</v>
      </c>
      <c r="R43" s="15" t="e">
        <f t="shared" si="5"/>
        <v>#N/A</v>
      </c>
    </row>
    <row r="44" spans="1:18" x14ac:dyDescent="0.25">
      <c r="A44" s="8">
        <f t="shared" si="6"/>
        <v>1</v>
      </c>
      <c r="B44" s="8">
        <f>IF(K44=$P$13,'Rule 12'!$M$4,F44-1)</f>
        <v>-1</v>
      </c>
      <c r="C44" s="23">
        <f t="shared" si="0"/>
        <v>-1</v>
      </c>
      <c r="D44" s="21">
        <f t="shared" si="1"/>
        <v>-8.3333333333333329E-2</v>
      </c>
      <c r="E44" s="21" t="e">
        <f t="shared" si="7"/>
        <v>#N/A</v>
      </c>
      <c r="F44" s="8">
        <f>'Leave Record'!G46</f>
        <v>0</v>
      </c>
      <c r="G44" s="8">
        <f>'Leave Record'!H46</f>
        <v>0</v>
      </c>
      <c r="H44" s="23">
        <f t="shared" si="2"/>
        <v>1</v>
      </c>
      <c r="I44" s="23">
        <f t="shared" si="3"/>
        <v>0</v>
      </c>
      <c r="J44" s="21" t="e">
        <f t="shared" si="8"/>
        <v>#N/A</v>
      </c>
      <c r="K44" s="23">
        <f>'Leave Record'!I46</f>
        <v>0</v>
      </c>
      <c r="Q44">
        <f t="shared" si="4"/>
        <v>0</v>
      </c>
      <c r="R44" s="15" t="e">
        <f t="shared" si="5"/>
        <v>#N/A</v>
      </c>
    </row>
    <row r="45" spans="1:18" x14ac:dyDescent="0.25">
      <c r="A45" s="8">
        <f t="shared" si="6"/>
        <v>1</v>
      </c>
      <c r="B45" s="8">
        <f>IF(K45=$P$13,'Rule 12'!$M$4,F45-1)</f>
        <v>-1</v>
      </c>
      <c r="C45" s="23">
        <f t="shared" si="0"/>
        <v>-1</v>
      </c>
      <c r="D45" s="21">
        <f t="shared" si="1"/>
        <v>-8.3333333333333329E-2</v>
      </c>
      <c r="E45" s="21" t="e">
        <f t="shared" si="7"/>
        <v>#N/A</v>
      </c>
      <c r="F45" s="8">
        <f>'Leave Record'!G47</f>
        <v>0</v>
      </c>
      <c r="G45" s="8">
        <f>'Leave Record'!H47</f>
        <v>0</v>
      </c>
      <c r="H45" s="23">
        <f t="shared" si="2"/>
        <v>1</v>
      </c>
      <c r="I45" s="23">
        <f t="shared" si="3"/>
        <v>0</v>
      </c>
      <c r="J45" s="21" t="e">
        <f t="shared" si="8"/>
        <v>#N/A</v>
      </c>
      <c r="K45" s="23">
        <f>'Leave Record'!I47</f>
        <v>0</v>
      </c>
      <c r="Q45">
        <f t="shared" si="4"/>
        <v>0</v>
      </c>
      <c r="R45" s="15" t="e">
        <f t="shared" si="5"/>
        <v>#N/A</v>
      </c>
    </row>
    <row r="46" spans="1:18" x14ac:dyDescent="0.25">
      <c r="A46" s="8">
        <f t="shared" si="6"/>
        <v>1</v>
      </c>
      <c r="B46" s="8">
        <f>IF(K46=$P$13,'Rule 12'!$M$4,F46-1)</f>
        <v>-1</v>
      </c>
      <c r="C46" s="23">
        <f t="shared" si="0"/>
        <v>-1</v>
      </c>
      <c r="D46" s="21">
        <f t="shared" si="1"/>
        <v>-8.3333333333333329E-2</v>
      </c>
      <c r="E46" s="21" t="e">
        <f t="shared" si="7"/>
        <v>#N/A</v>
      </c>
      <c r="F46" s="8">
        <f>'Leave Record'!G48</f>
        <v>0</v>
      </c>
      <c r="G46" s="8">
        <f>'Leave Record'!H48</f>
        <v>0</v>
      </c>
      <c r="H46" s="23">
        <f t="shared" si="2"/>
        <v>1</v>
      </c>
      <c r="I46" s="23">
        <f t="shared" si="3"/>
        <v>0</v>
      </c>
      <c r="J46" s="21" t="e">
        <f t="shared" si="8"/>
        <v>#N/A</v>
      </c>
      <c r="K46" s="23">
        <f>'Leave Record'!I48</f>
        <v>0</v>
      </c>
      <c r="Q46">
        <f t="shared" si="4"/>
        <v>0</v>
      </c>
      <c r="R46" s="15" t="e">
        <f t="shared" si="5"/>
        <v>#N/A</v>
      </c>
    </row>
    <row r="47" spans="1:18" x14ac:dyDescent="0.25">
      <c r="A47" s="8">
        <f t="shared" si="6"/>
        <v>1</v>
      </c>
      <c r="B47" s="8">
        <f>IF(K47=$P$13,'Rule 12'!$M$4,F47-1)</f>
        <v>-1</v>
      </c>
      <c r="C47" s="23">
        <f t="shared" si="0"/>
        <v>-1</v>
      </c>
      <c r="D47" s="21">
        <f t="shared" si="1"/>
        <v>-8.3333333333333329E-2</v>
      </c>
      <c r="E47" s="21" t="e">
        <f t="shared" si="7"/>
        <v>#N/A</v>
      </c>
      <c r="F47" s="8">
        <f>'Leave Record'!G49</f>
        <v>0</v>
      </c>
      <c r="G47" s="8">
        <f>'Leave Record'!H49</f>
        <v>0</v>
      </c>
      <c r="H47" s="23">
        <f t="shared" si="2"/>
        <v>1</v>
      </c>
      <c r="I47" s="23">
        <f t="shared" si="3"/>
        <v>0</v>
      </c>
      <c r="J47" s="21" t="e">
        <f t="shared" si="8"/>
        <v>#N/A</v>
      </c>
      <c r="K47" s="23">
        <f>'Leave Record'!I49</f>
        <v>0</v>
      </c>
      <c r="Q47">
        <f t="shared" si="4"/>
        <v>0</v>
      </c>
      <c r="R47" s="15" t="e">
        <f t="shared" si="5"/>
        <v>#N/A</v>
      </c>
    </row>
    <row r="48" spans="1:18" x14ac:dyDescent="0.25">
      <c r="A48" s="8">
        <f t="shared" si="6"/>
        <v>1</v>
      </c>
      <c r="B48" s="8">
        <f>IF(K48=$P$13,'Rule 12'!$M$4,F48-1)</f>
        <v>-1</v>
      </c>
      <c r="C48" s="23">
        <f t="shared" si="0"/>
        <v>-1</v>
      </c>
      <c r="D48" s="21">
        <f t="shared" si="1"/>
        <v>-8.3333333333333329E-2</v>
      </c>
      <c r="E48" s="21" t="e">
        <f t="shared" si="7"/>
        <v>#N/A</v>
      </c>
      <c r="F48" s="8">
        <f>'Leave Record'!G50</f>
        <v>0</v>
      </c>
      <c r="G48" s="8">
        <f>'Leave Record'!H50</f>
        <v>0</v>
      </c>
      <c r="H48" s="23">
        <f t="shared" si="2"/>
        <v>1</v>
      </c>
      <c r="I48" s="23">
        <f t="shared" si="3"/>
        <v>0</v>
      </c>
      <c r="J48" s="21" t="e">
        <f t="shared" si="8"/>
        <v>#N/A</v>
      </c>
      <c r="K48" s="23">
        <f>'Leave Record'!I50</f>
        <v>0</v>
      </c>
      <c r="Q48">
        <f t="shared" si="4"/>
        <v>0</v>
      </c>
      <c r="R48" s="15" t="e">
        <f t="shared" si="5"/>
        <v>#N/A</v>
      </c>
    </row>
    <row r="49" spans="1:18" x14ac:dyDescent="0.25">
      <c r="A49" s="8">
        <f t="shared" si="6"/>
        <v>1</v>
      </c>
      <c r="B49" s="8">
        <f>IF(K49=$P$13,'Rule 12'!$M$4,F49-1)</f>
        <v>-1</v>
      </c>
      <c r="C49" s="23">
        <f t="shared" si="0"/>
        <v>-1</v>
      </c>
      <c r="D49" s="21">
        <f t="shared" si="1"/>
        <v>-8.3333333333333329E-2</v>
      </c>
      <c r="E49" s="21" t="e">
        <f t="shared" si="7"/>
        <v>#N/A</v>
      </c>
      <c r="F49" s="8">
        <f>'Leave Record'!G51</f>
        <v>0</v>
      </c>
      <c r="G49" s="8">
        <f>'Leave Record'!H51</f>
        <v>0</v>
      </c>
      <c r="H49" s="23">
        <f t="shared" si="2"/>
        <v>1</v>
      </c>
      <c r="I49" s="23">
        <f t="shared" si="3"/>
        <v>0</v>
      </c>
      <c r="J49" s="21" t="e">
        <f t="shared" si="8"/>
        <v>#N/A</v>
      </c>
      <c r="K49" s="23">
        <f>'Leave Record'!I51</f>
        <v>0</v>
      </c>
      <c r="Q49">
        <f t="shared" si="4"/>
        <v>0</v>
      </c>
      <c r="R49" s="15" t="e">
        <f t="shared" si="5"/>
        <v>#N/A</v>
      </c>
    </row>
    <row r="50" spans="1:18" x14ac:dyDescent="0.25">
      <c r="A50" s="8">
        <f t="shared" si="6"/>
        <v>1</v>
      </c>
      <c r="B50" s="8">
        <f>IF(K50=$P$13,'Rule 12'!$M$4,F50-1)</f>
        <v>-1</v>
      </c>
      <c r="C50" s="23">
        <f t="shared" si="0"/>
        <v>-1</v>
      </c>
      <c r="D50" s="21">
        <f t="shared" si="1"/>
        <v>-8.3333333333333329E-2</v>
      </c>
      <c r="E50" s="21" t="e">
        <f t="shared" si="7"/>
        <v>#N/A</v>
      </c>
      <c r="F50" s="8">
        <f>'Leave Record'!G52</f>
        <v>0</v>
      </c>
      <c r="G50" s="8">
        <f>'Leave Record'!H52</f>
        <v>0</v>
      </c>
      <c r="H50" s="23">
        <f t="shared" si="2"/>
        <v>1</v>
      </c>
      <c r="I50" s="23">
        <f t="shared" si="3"/>
        <v>0</v>
      </c>
      <c r="J50" s="21" t="e">
        <f t="shared" si="8"/>
        <v>#N/A</v>
      </c>
      <c r="K50" s="23">
        <f>'Leave Record'!I52</f>
        <v>0</v>
      </c>
      <c r="Q50">
        <f t="shared" si="4"/>
        <v>0</v>
      </c>
      <c r="R50" s="15" t="e">
        <f t="shared" si="5"/>
        <v>#N/A</v>
      </c>
    </row>
    <row r="51" spans="1:18" x14ac:dyDescent="0.25">
      <c r="A51" s="8">
        <f t="shared" si="6"/>
        <v>1</v>
      </c>
      <c r="B51" s="8">
        <f>IF(K51=$P$13,'Rule 12'!$M$4,F51-1)</f>
        <v>-1</v>
      </c>
      <c r="C51" s="23">
        <f t="shared" si="0"/>
        <v>-1</v>
      </c>
      <c r="D51" s="21">
        <f t="shared" si="1"/>
        <v>-8.3333333333333329E-2</v>
      </c>
      <c r="E51" s="21" t="e">
        <f t="shared" si="7"/>
        <v>#N/A</v>
      </c>
      <c r="F51" s="8">
        <f>'Leave Record'!G53</f>
        <v>0</v>
      </c>
      <c r="G51" s="8">
        <f>'Leave Record'!H53</f>
        <v>0</v>
      </c>
      <c r="H51" s="23">
        <f t="shared" si="2"/>
        <v>1</v>
      </c>
      <c r="I51" s="23">
        <f t="shared" si="3"/>
        <v>0</v>
      </c>
      <c r="J51" s="21" t="e">
        <f t="shared" si="8"/>
        <v>#N/A</v>
      </c>
      <c r="K51" s="23">
        <f>'Leave Record'!I53</f>
        <v>0</v>
      </c>
      <c r="Q51">
        <f t="shared" si="4"/>
        <v>0</v>
      </c>
      <c r="R51" s="15" t="e">
        <f t="shared" si="5"/>
        <v>#N/A</v>
      </c>
    </row>
    <row r="52" spans="1:18" x14ac:dyDescent="0.25">
      <c r="A52" s="8">
        <f t="shared" si="6"/>
        <v>1</v>
      </c>
      <c r="B52" s="8">
        <f>IF(K52=$P$13,'Rule 12'!$M$4,F52-1)</f>
        <v>-1</v>
      </c>
      <c r="C52" s="23">
        <f t="shared" si="0"/>
        <v>-1</v>
      </c>
      <c r="D52" s="21">
        <f t="shared" si="1"/>
        <v>-8.3333333333333329E-2</v>
      </c>
      <c r="E52" s="21" t="e">
        <f t="shared" si="7"/>
        <v>#N/A</v>
      </c>
      <c r="F52" s="8">
        <f>'Leave Record'!G54</f>
        <v>0</v>
      </c>
      <c r="G52" s="8">
        <f>'Leave Record'!H54</f>
        <v>0</v>
      </c>
      <c r="H52" s="23">
        <f t="shared" si="2"/>
        <v>1</v>
      </c>
      <c r="I52" s="23">
        <f t="shared" si="3"/>
        <v>0</v>
      </c>
      <c r="J52" s="21" t="e">
        <f t="shared" si="8"/>
        <v>#N/A</v>
      </c>
      <c r="K52" s="23">
        <f>'Leave Record'!I54</f>
        <v>0</v>
      </c>
      <c r="Q52">
        <f t="shared" si="4"/>
        <v>0</v>
      </c>
      <c r="R52" s="15" t="e">
        <f t="shared" si="5"/>
        <v>#N/A</v>
      </c>
    </row>
    <row r="53" spans="1:18" x14ac:dyDescent="0.25">
      <c r="A53" s="8">
        <f t="shared" si="6"/>
        <v>1</v>
      </c>
      <c r="B53" s="8">
        <f>IF(K53=$P$13,'Rule 12'!$M$4,F53-1)</f>
        <v>-1</v>
      </c>
      <c r="C53" s="23">
        <f t="shared" si="0"/>
        <v>-1</v>
      </c>
      <c r="D53" s="21">
        <f t="shared" si="1"/>
        <v>-8.3333333333333329E-2</v>
      </c>
      <c r="E53" s="21" t="e">
        <f t="shared" si="7"/>
        <v>#N/A</v>
      </c>
      <c r="F53" s="8">
        <f>'Leave Record'!G55</f>
        <v>0</v>
      </c>
      <c r="G53" s="8">
        <f>'Leave Record'!H55</f>
        <v>0</v>
      </c>
      <c r="H53" s="23">
        <f t="shared" si="2"/>
        <v>1</v>
      </c>
      <c r="I53" s="23">
        <f t="shared" si="3"/>
        <v>0</v>
      </c>
      <c r="J53" s="21" t="e">
        <f t="shared" si="8"/>
        <v>#N/A</v>
      </c>
      <c r="K53" s="23">
        <f>'Leave Record'!I55</f>
        <v>0</v>
      </c>
      <c r="Q53">
        <f t="shared" si="4"/>
        <v>0</v>
      </c>
      <c r="R53" s="15" t="e">
        <f t="shared" si="5"/>
        <v>#N/A</v>
      </c>
    </row>
    <row r="54" spans="1:18" x14ac:dyDescent="0.25">
      <c r="A54" s="8">
        <f t="shared" si="6"/>
        <v>1</v>
      </c>
      <c r="B54" s="8">
        <f>IF(K54=$P$13,'Rule 12'!$M$4,F54-1)</f>
        <v>-1</v>
      </c>
      <c r="C54" s="23">
        <f t="shared" si="0"/>
        <v>-1</v>
      </c>
      <c r="D54" s="21">
        <f t="shared" si="1"/>
        <v>-8.3333333333333329E-2</v>
      </c>
      <c r="E54" s="21" t="e">
        <f t="shared" si="7"/>
        <v>#N/A</v>
      </c>
      <c r="F54" s="8">
        <f>'Leave Record'!G56</f>
        <v>0</v>
      </c>
      <c r="G54" s="8">
        <f>'Leave Record'!H56</f>
        <v>0</v>
      </c>
      <c r="H54" s="23">
        <f t="shared" si="2"/>
        <v>1</v>
      </c>
      <c r="I54" s="23">
        <f t="shared" si="3"/>
        <v>0</v>
      </c>
      <c r="J54" s="21" t="e">
        <f t="shared" si="8"/>
        <v>#N/A</v>
      </c>
      <c r="K54" s="23">
        <f>'Leave Record'!I56</f>
        <v>0</v>
      </c>
      <c r="Q54">
        <f t="shared" si="4"/>
        <v>0</v>
      </c>
      <c r="R54" s="15" t="e">
        <f t="shared" si="5"/>
        <v>#N/A</v>
      </c>
    </row>
    <row r="55" spans="1:18" x14ac:dyDescent="0.25">
      <c r="A55" s="8">
        <f t="shared" si="6"/>
        <v>1</v>
      </c>
      <c r="B55" s="8">
        <f>IF(K55=$P$13,'Rule 12'!$M$4,F55-1)</f>
        <v>-1</v>
      </c>
      <c r="C55" s="23">
        <f t="shared" si="0"/>
        <v>-1</v>
      </c>
      <c r="D55" s="21">
        <f t="shared" si="1"/>
        <v>-8.3333333333333329E-2</v>
      </c>
      <c r="E55" s="21" t="e">
        <f t="shared" si="7"/>
        <v>#N/A</v>
      </c>
      <c r="F55" s="8">
        <f>'Leave Record'!G57</f>
        <v>0</v>
      </c>
      <c r="G55" s="8">
        <f>'Leave Record'!H57</f>
        <v>0</v>
      </c>
      <c r="H55" s="23">
        <f t="shared" si="2"/>
        <v>1</v>
      </c>
      <c r="I55" s="23">
        <f t="shared" si="3"/>
        <v>0</v>
      </c>
      <c r="J55" s="21" t="e">
        <f t="shared" si="8"/>
        <v>#N/A</v>
      </c>
      <c r="K55" s="23">
        <f>'Leave Record'!I57</f>
        <v>0</v>
      </c>
      <c r="Q55">
        <f t="shared" si="4"/>
        <v>0</v>
      </c>
      <c r="R55" s="15" t="e">
        <f t="shared" si="5"/>
        <v>#N/A</v>
      </c>
    </row>
    <row r="56" spans="1:18" x14ac:dyDescent="0.25">
      <c r="A56" s="8">
        <f t="shared" si="6"/>
        <v>1</v>
      </c>
      <c r="B56" s="8">
        <f>IF(K56=$P$13,'Rule 12'!$M$4,F56-1)</f>
        <v>-1</v>
      </c>
      <c r="C56" s="23">
        <f t="shared" si="0"/>
        <v>-1</v>
      </c>
      <c r="D56" s="21">
        <f t="shared" si="1"/>
        <v>-8.3333333333333329E-2</v>
      </c>
      <c r="E56" s="21" t="e">
        <f t="shared" si="7"/>
        <v>#N/A</v>
      </c>
      <c r="F56" s="8">
        <f>'Leave Record'!G58</f>
        <v>0</v>
      </c>
      <c r="G56" s="8">
        <f>'Leave Record'!H58</f>
        <v>0</v>
      </c>
      <c r="H56" s="23">
        <f t="shared" si="2"/>
        <v>1</v>
      </c>
      <c r="I56" s="23">
        <f t="shared" si="3"/>
        <v>0</v>
      </c>
      <c r="J56" s="21" t="e">
        <f t="shared" si="8"/>
        <v>#N/A</v>
      </c>
      <c r="K56" s="23">
        <f>'Leave Record'!I58</f>
        <v>0</v>
      </c>
      <c r="Q56">
        <f t="shared" si="4"/>
        <v>0</v>
      </c>
      <c r="R56" s="15" t="e">
        <f t="shared" si="5"/>
        <v>#N/A</v>
      </c>
    </row>
    <row r="57" spans="1:18" x14ac:dyDescent="0.25">
      <c r="A57" s="8">
        <f t="shared" si="6"/>
        <v>1</v>
      </c>
      <c r="B57" s="8">
        <f>IF(K57=$P$13,'Rule 12'!$M$4,F57-1)</f>
        <v>-1</v>
      </c>
      <c r="C57" s="23">
        <f t="shared" si="0"/>
        <v>-1</v>
      </c>
      <c r="D57" s="21">
        <f t="shared" si="1"/>
        <v>-8.3333333333333329E-2</v>
      </c>
      <c r="E57" s="21" t="e">
        <f t="shared" si="7"/>
        <v>#N/A</v>
      </c>
      <c r="F57" s="8">
        <f>'Leave Record'!G59</f>
        <v>0</v>
      </c>
      <c r="G57" s="8">
        <f>'Leave Record'!H59</f>
        <v>0</v>
      </c>
      <c r="H57" s="23">
        <f t="shared" si="2"/>
        <v>1</v>
      </c>
      <c r="I57" s="23">
        <f t="shared" si="3"/>
        <v>0</v>
      </c>
      <c r="J57" s="21" t="e">
        <f t="shared" si="8"/>
        <v>#N/A</v>
      </c>
      <c r="K57" s="23">
        <f>'Leave Record'!I59</f>
        <v>0</v>
      </c>
      <c r="Q57">
        <f t="shared" si="4"/>
        <v>0</v>
      </c>
      <c r="R57" s="15" t="e">
        <f t="shared" si="5"/>
        <v>#N/A</v>
      </c>
    </row>
    <row r="58" spans="1:18" x14ac:dyDescent="0.25">
      <c r="A58" s="8">
        <f t="shared" si="6"/>
        <v>1</v>
      </c>
      <c r="B58" s="8">
        <f>IF(K58=$P$13,'Rule 12'!$M$4,F58-1)</f>
        <v>-1</v>
      </c>
      <c r="C58" s="23">
        <f t="shared" si="0"/>
        <v>-1</v>
      </c>
      <c r="D58" s="21">
        <f t="shared" si="1"/>
        <v>-8.3333333333333329E-2</v>
      </c>
      <c r="E58" s="21" t="e">
        <f t="shared" si="7"/>
        <v>#N/A</v>
      </c>
      <c r="F58" s="8">
        <f>'Leave Record'!G60</f>
        <v>0</v>
      </c>
      <c r="G58" s="8">
        <f>'Leave Record'!H60</f>
        <v>0</v>
      </c>
      <c r="H58" s="23">
        <f t="shared" si="2"/>
        <v>1</v>
      </c>
      <c r="I58" s="23">
        <f t="shared" si="3"/>
        <v>0</v>
      </c>
      <c r="J58" s="21" t="e">
        <f t="shared" si="8"/>
        <v>#N/A</v>
      </c>
      <c r="K58" s="23">
        <f>'Leave Record'!I60</f>
        <v>0</v>
      </c>
      <c r="Q58">
        <f t="shared" si="4"/>
        <v>0</v>
      </c>
      <c r="R58" s="15" t="e">
        <f t="shared" si="5"/>
        <v>#N/A</v>
      </c>
    </row>
    <row r="59" spans="1:18" x14ac:dyDescent="0.25">
      <c r="A59" s="8">
        <f t="shared" si="6"/>
        <v>1</v>
      </c>
      <c r="B59" s="8">
        <f>IF(K59=$P$13,'Rule 12'!$M$4,F59-1)</f>
        <v>-1</v>
      </c>
      <c r="C59" s="23">
        <f t="shared" si="0"/>
        <v>-1</v>
      </c>
      <c r="D59" s="21">
        <f t="shared" si="1"/>
        <v>-8.3333333333333329E-2</v>
      </c>
      <c r="E59" s="21" t="e">
        <f t="shared" si="7"/>
        <v>#N/A</v>
      </c>
      <c r="F59" s="8">
        <f>'Leave Record'!G61</f>
        <v>0</v>
      </c>
      <c r="G59" s="8">
        <f>'Leave Record'!H61</f>
        <v>0</v>
      </c>
      <c r="H59" s="23">
        <f t="shared" si="2"/>
        <v>1</v>
      </c>
      <c r="I59" s="23">
        <f t="shared" si="3"/>
        <v>0</v>
      </c>
      <c r="J59" s="21" t="e">
        <f t="shared" si="8"/>
        <v>#N/A</v>
      </c>
      <c r="K59" s="23">
        <f>'Leave Record'!I61</f>
        <v>0</v>
      </c>
      <c r="Q59">
        <f t="shared" si="4"/>
        <v>0</v>
      </c>
      <c r="R59" s="15" t="e">
        <f t="shared" si="5"/>
        <v>#N/A</v>
      </c>
    </row>
    <row r="60" spans="1:18" x14ac:dyDescent="0.25">
      <c r="A60" s="8">
        <f t="shared" si="6"/>
        <v>1</v>
      </c>
      <c r="B60" s="8">
        <f>IF(K60=$P$13,'Rule 12'!$M$4,F60-1)</f>
        <v>-1</v>
      </c>
      <c r="C60" s="23">
        <f t="shared" si="0"/>
        <v>-1</v>
      </c>
      <c r="D60" s="21">
        <f t="shared" si="1"/>
        <v>-8.3333333333333329E-2</v>
      </c>
      <c r="E60" s="21" t="e">
        <f t="shared" si="7"/>
        <v>#N/A</v>
      </c>
      <c r="F60" s="8">
        <f>'Leave Record'!G62</f>
        <v>0</v>
      </c>
      <c r="G60" s="8">
        <f>'Leave Record'!H62</f>
        <v>0</v>
      </c>
      <c r="H60" s="23">
        <f t="shared" si="2"/>
        <v>1</v>
      </c>
      <c r="I60" s="23">
        <f t="shared" si="3"/>
        <v>0</v>
      </c>
      <c r="J60" s="21" t="e">
        <f t="shared" si="8"/>
        <v>#N/A</v>
      </c>
      <c r="K60" s="23">
        <f>'Leave Record'!I62</f>
        <v>0</v>
      </c>
      <c r="Q60">
        <f t="shared" si="4"/>
        <v>0</v>
      </c>
      <c r="R60" s="15" t="e">
        <f t="shared" si="5"/>
        <v>#N/A</v>
      </c>
    </row>
    <row r="61" spans="1:18" x14ac:dyDescent="0.25">
      <c r="A61" s="8">
        <f t="shared" si="6"/>
        <v>1</v>
      </c>
      <c r="B61" s="8">
        <f>IF(K61=$P$13,'Rule 12'!$M$4,F61-1)</f>
        <v>-1</v>
      </c>
      <c r="C61" s="23">
        <f t="shared" si="0"/>
        <v>-1</v>
      </c>
      <c r="D61" s="21">
        <f t="shared" si="1"/>
        <v>-8.3333333333333329E-2</v>
      </c>
      <c r="E61" s="21" t="e">
        <f t="shared" si="7"/>
        <v>#N/A</v>
      </c>
      <c r="F61" s="8">
        <f>'Leave Record'!G63</f>
        <v>0</v>
      </c>
      <c r="G61" s="8">
        <f>'Leave Record'!H63</f>
        <v>0</v>
      </c>
      <c r="H61" s="23">
        <f t="shared" si="2"/>
        <v>1</v>
      </c>
      <c r="I61" s="23">
        <f t="shared" si="3"/>
        <v>0</v>
      </c>
      <c r="J61" s="21" t="e">
        <f t="shared" si="8"/>
        <v>#N/A</v>
      </c>
      <c r="K61" s="23">
        <f>'Leave Record'!I63</f>
        <v>0</v>
      </c>
      <c r="Q61">
        <f t="shared" si="4"/>
        <v>0</v>
      </c>
      <c r="R61" s="15" t="e">
        <f t="shared" si="5"/>
        <v>#N/A</v>
      </c>
    </row>
    <row r="62" spans="1:18" x14ac:dyDescent="0.25">
      <c r="A62" s="8">
        <f t="shared" si="6"/>
        <v>1</v>
      </c>
      <c r="B62" s="8">
        <f>IF(K62=$P$13,'Rule 12'!$M$4,F62-1)</f>
        <v>-1</v>
      </c>
      <c r="C62" s="23">
        <f t="shared" si="0"/>
        <v>-1</v>
      </c>
      <c r="D62" s="21">
        <f t="shared" si="1"/>
        <v>-8.3333333333333329E-2</v>
      </c>
      <c r="E62" s="21" t="e">
        <f t="shared" si="7"/>
        <v>#N/A</v>
      </c>
      <c r="F62" s="8">
        <f>'Leave Record'!G64</f>
        <v>0</v>
      </c>
      <c r="G62" s="8">
        <f>'Leave Record'!H64</f>
        <v>0</v>
      </c>
      <c r="H62" s="23">
        <f t="shared" si="2"/>
        <v>1</v>
      </c>
      <c r="I62" s="23">
        <f t="shared" si="3"/>
        <v>0</v>
      </c>
      <c r="J62" s="21" t="e">
        <f t="shared" si="8"/>
        <v>#N/A</v>
      </c>
      <c r="K62" s="23">
        <f>'Leave Record'!I64</f>
        <v>0</v>
      </c>
      <c r="Q62">
        <f t="shared" si="4"/>
        <v>0</v>
      </c>
      <c r="R62" s="15" t="e">
        <f t="shared" si="5"/>
        <v>#N/A</v>
      </c>
    </row>
    <row r="63" spans="1:18" x14ac:dyDescent="0.25">
      <c r="A63" s="8">
        <f t="shared" si="6"/>
        <v>1</v>
      </c>
      <c r="B63" s="8">
        <f>IF(K63=$P$13,'Rule 12'!$M$4,F63-1)</f>
        <v>-1</v>
      </c>
      <c r="C63" s="23">
        <f t="shared" si="0"/>
        <v>-1</v>
      </c>
      <c r="D63" s="21">
        <f t="shared" si="1"/>
        <v>-8.3333333333333329E-2</v>
      </c>
      <c r="E63" s="21" t="e">
        <f t="shared" si="7"/>
        <v>#N/A</v>
      </c>
      <c r="F63" s="8">
        <f>'Leave Record'!G65</f>
        <v>0</v>
      </c>
      <c r="G63" s="8">
        <f>'Leave Record'!H65</f>
        <v>0</v>
      </c>
      <c r="H63" s="23">
        <f t="shared" si="2"/>
        <v>1</v>
      </c>
      <c r="I63" s="23">
        <f t="shared" si="3"/>
        <v>0</v>
      </c>
      <c r="J63" s="21" t="e">
        <f t="shared" si="8"/>
        <v>#N/A</v>
      </c>
      <c r="K63" s="23">
        <f>'Leave Record'!I65</f>
        <v>0</v>
      </c>
      <c r="Q63">
        <f t="shared" si="4"/>
        <v>0</v>
      </c>
      <c r="R63" s="15" t="e">
        <f t="shared" si="5"/>
        <v>#N/A</v>
      </c>
    </row>
    <row r="64" spans="1:18" x14ac:dyDescent="0.25">
      <c r="A64" s="8">
        <f t="shared" si="6"/>
        <v>1</v>
      </c>
      <c r="B64" s="8">
        <f>IF(K64=$P$13,'Rule 12'!$M$4,F64-1)</f>
        <v>-1</v>
      </c>
      <c r="C64" s="23">
        <f t="shared" si="0"/>
        <v>-1</v>
      </c>
      <c r="D64" s="21">
        <f t="shared" si="1"/>
        <v>-8.3333333333333329E-2</v>
      </c>
      <c r="E64" s="21" t="e">
        <f t="shared" si="7"/>
        <v>#N/A</v>
      </c>
      <c r="F64" s="8">
        <f>'Leave Record'!G66</f>
        <v>0</v>
      </c>
      <c r="G64" s="8">
        <f>'Leave Record'!H66</f>
        <v>0</v>
      </c>
      <c r="H64" s="23">
        <f t="shared" si="2"/>
        <v>1</v>
      </c>
      <c r="I64" s="23">
        <f t="shared" si="3"/>
        <v>0</v>
      </c>
      <c r="J64" s="21" t="e">
        <f t="shared" si="8"/>
        <v>#N/A</v>
      </c>
      <c r="K64" s="23">
        <f>'Leave Record'!I66</f>
        <v>0</v>
      </c>
      <c r="Q64">
        <f t="shared" si="4"/>
        <v>0</v>
      </c>
      <c r="R64" s="15" t="e">
        <f t="shared" si="5"/>
        <v>#N/A</v>
      </c>
    </row>
    <row r="65" spans="1:18" x14ac:dyDescent="0.25">
      <c r="A65" s="8">
        <f t="shared" si="6"/>
        <v>1</v>
      </c>
      <c r="B65" s="8">
        <f>IF(K65=$P$13,'Rule 12'!$M$4,F65-1)</f>
        <v>-1</v>
      </c>
      <c r="C65" s="23">
        <f t="shared" si="0"/>
        <v>-1</v>
      </c>
      <c r="D65" s="21">
        <f t="shared" si="1"/>
        <v>-8.3333333333333329E-2</v>
      </c>
      <c r="E65" s="21" t="e">
        <f t="shared" si="7"/>
        <v>#N/A</v>
      </c>
      <c r="F65" s="8">
        <f>'Leave Record'!G67</f>
        <v>0</v>
      </c>
      <c r="G65" s="8">
        <f>'Leave Record'!H67</f>
        <v>0</v>
      </c>
      <c r="H65" s="23">
        <f t="shared" si="2"/>
        <v>1</v>
      </c>
      <c r="I65" s="23">
        <f t="shared" si="3"/>
        <v>0</v>
      </c>
      <c r="J65" s="21" t="e">
        <f t="shared" si="8"/>
        <v>#N/A</v>
      </c>
      <c r="K65" s="23">
        <f>'Leave Record'!I67</f>
        <v>0</v>
      </c>
      <c r="Q65">
        <f t="shared" si="4"/>
        <v>0</v>
      </c>
      <c r="R65" s="15" t="e">
        <f t="shared" si="5"/>
        <v>#N/A</v>
      </c>
    </row>
    <row r="66" spans="1:18" x14ac:dyDescent="0.25">
      <c r="A66" s="8">
        <f t="shared" si="6"/>
        <v>1</v>
      </c>
      <c r="B66" s="8">
        <f>IF(K66=$P$13,'Rule 12'!$M$4,F66-1)</f>
        <v>-1</v>
      </c>
      <c r="C66" s="23">
        <f t="shared" si="0"/>
        <v>-1</v>
      </c>
      <c r="D66" s="21">
        <f t="shared" si="1"/>
        <v>-8.3333333333333329E-2</v>
      </c>
      <c r="E66" s="21" t="e">
        <f t="shared" si="7"/>
        <v>#N/A</v>
      </c>
      <c r="F66" s="8">
        <f>'Leave Record'!G68</f>
        <v>0</v>
      </c>
      <c r="G66" s="8">
        <f>'Leave Record'!H68</f>
        <v>0</v>
      </c>
      <c r="H66" s="23">
        <f t="shared" si="2"/>
        <v>1</v>
      </c>
      <c r="I66" s="23">
        <f t="shared" si="3"/>
        <v>0</v>
      </c>
      <c r="J66" s="21" t="e">
        <f t="shared" si="8"/>
        <v>#N/A</v>
      </c>
      <c r="K66" s="23">
        <f>'Leave Record'!I68</f>
        <v>0</v>
      </c>
      <c r="Q66">
        <f t="shared" si="4"/>
        <v>0</v>
      </c>
      <c r="R66" s="15" t="e">
        <f t="shared" si="5"/>
        <v>#N/A</v>
      </c>
    </row>
    <row r="67" spans="1:18" x14ac:dyDescent="0.25">
      <c r="A67" s="8">
        <f t="shared" si="6"/>
        <v>1</v>
      </c>
      <c r="B67" s="8">
        <f>IF(K67=$P$13,'Rule 12'!$M$4,F67-1)</f>
        <v>-1</v>
      </c>
      <c r="C67" s="23">
        <f t="shared" si="0"/>
        <v>-1</v>
      </c>
      <c r="D67" s="21">
        <f t="shared" si="1"/>
        <v>-8.3333333333333329E-2</v>
      </c>
      <c r="E67" s="21" t="e">
        <f t="shared" si="7"/>
        <v>#N/A</v>
      </c>
      <c r="F67" s="8">
        <f>'Leave Record'!G69</f>
        <v>0</v>
      </c>
      <c r="G67" s="8">
        <f>'Leave Record'!H69</f>
        <v>0</v>
      </c>
      <c r="H67" s="23">
        <f t="shared" si="2"/>
        <v>1</v>
      </c>
      <c r="I67" s="23">
        <f t="shared" si="3"/>
        <v>0</v>
      </c>
      <c r="J67" s="21" t="e">
        <f t="shared" si="8"/>
        <v>#N/A</v>
      </c>
      <c r="K67" s="23">
        <f>'Leave Record'!I69</f>
        <v>0</v>
      </c>
      <c r="Q67">
        <f t="shared" si="4"/>
        <v>0</v>
      </c>
      <c r="R67" s="15" t="e">
        <f t="shared" si="5"/>
        <v>#N/A</v>
      </c>
    </row>
    <row r="68" spans="1:18" x14ac:dyDescent="0.25">
      <c r="A68" s="8">
        <f t="shared" si="6"/>
        <v>1</v>
      </c>
      <c r="B68" s="8">
        <f>IF(K68=$P$13,'Rule 12'!$M$4,F68-1)</f>
        <v>-1</v>
      </c>
      <c r="C68" s="23">
        <f t="shared" si="0"/>
        <v>-1</v>
      </c>
      <c r="D68" s="21">
        <f t="shared" si="1"/>
        <v>-8.3333333333333329E-2</v>
      </c>
      <c r="E68" s="21" t="e">
        <f t="shared" si="7"/>
        <v>#N/A</v>
      </c>
      <c r="F68" s="8">
        <f>'Leave Record'!G70</f>
        <v>0</v>
      </c>
      <c r="G68" s="8">
        <f>'Leave Record'!H70</f>
        <v>0</v>
      </c>
      <c r="H68" s="23">
        <f t="shared" si="2"/>
        <v>1</v>
      </c>
      <c r="I68" s="23">
        <f t="shared" si="3"/>
        <v>0</v>
      </c>
      <c r="J68" s="21" t="e">
        <f t="shared" si="8"/>
        <v>#N/A</v>
      </c>
      <c r="K68" s="23">
        <f>'Leave Record'!I70</f>
        <v>0</v>
      </c>
      <c r="Q68">
        <f t="shared" si="4"/>
        <v>0</v>
      </c>
      <c r="R68" s="15" t="e">
        <f t="shared" si="5"/>
        <v>#N/A</v>
      </c>
    </row>
    <row r="69" spans="1:18" x14ac:dyDescent="0.25">
      <c r="A69" s="8">
        <f t="shared" si="6"/>
        <v>1</v>
      </c>
      <c r="B69" s="8">
        <f>IF(K69=$P$13,'Rule 12'!$M$4,F69-1)</f>
        <v>-1</v>
      </c>
      <c r="C69" s="23">
        <f t="shared" si="0"/>
        <v>-1</v>
      </c>
      <c r="D69" s="21">
        <f t="shared" si="1"/>
        <v>-8.3333333333333329E-2</v>
      </c>
      <c r="E69" s="21" t="e">
        <f t="shared" si="7"/>
        <v>#N/A</v>
      </c>
      <c r="F69" s="8">
        <f>'Leave Record'!G71</f>
        <v>0</v>
      </c>
      <c r="G69" s="8">
        <f>'Leave Record'!H71</f>
        <v>0</v>
      </c>
      <c r="H69" s="23">
        <f t="shared" si="2"/>
        <v>1</v>
      </c>
      <c r="I69" s="23">
        <f t="shared" si="3"/>
        <v>0</v>
      </c>
      <c r="J69" s="21" t="e">
        <f t="shared" si="8"/>
        <v>#N/A</v>
      </c>
      <c r="K69" s="23">
        <f>'Leave Record'!I71</f>
        <v>0</v>
      </c>
      <c r="Q69">
        <f t="shared" si="4"/>
        <v>0</v>
      </c>
      <c r="R69" s="15" t="e">
        <f t="shared" si="5"/>
        <v>#N/A</v>
      </c>
    </row>
    <row r="70" spans="1:18" x14ac:dyDescent="0.25">
      <c r="A70" s="8">
        <f t="shared" si="6"/>
        <v>1</v>
      </c>
      <c r="B70" s="8">
        <f>IF(K70=$P$13,'Rule 12'!$M$4,F70-1)</f>
        <v>-1</v>
      </c>
      <c r="C70" s="23">
        <f t="shared" ref="C70:C133" si="9">_xlfn.DAYS(B70+1,A70)</f>
        <v>-1</v>
      </c>
      <c r="D70" s="21">
        <f t="shared" ref="D70:D133" si="10">C70/12</f>
        <v>-8.3333333333333329E-2</v>
      </c>
      <c r="E70" s="21" t="e">
        <f t="shared" si="7"/>
        <v>#N/A</v>
      </c>
      <c r="F70" s="8">
        <f>'Leave Record'!G72</f>
        <v>0</v>
      </c>
      <c r="G70" s="8">
        <f>'Leave Record'!H72</f>
        <v>0</v>
      </c>
      <c r="H70" s="23">
        <f t="shared" ref="H70:H133" si="11">_xlfn.DAYS(G70+1,F70)</f>
        <v>1</v>
      </c>
      <c r="I70" s="23">
        <f t="shared" ref="I70:I133" si="12">IF(K70=$P$14,H70,0)</f>
        <v>0</v>
      </c>
      <c r="J70" s="21" t="e">
        <f t="shared" si="8"/>
        <v>#N/A</v>
      </c>
      <c r="K70" s="23">
        <f>'Leave Record'!I72</f>
        <v>0</v>
      </c>
      <c r="Q70">
        <f t="shared" ref="Q70:Q133" si="13">K70</f>
        <v>0</v>
      </c>
      <c r="R70" s="15" t="e">
        <f t="shared" ref="R70:R133" si="14">J70</f>
        <v>#N/A</v>
      </c>
    </row>
    <row r="71" spans="1:18" x14ac:dyDescent="0.25">
      <c r="A71" s="8">
        <f t="shared" ref="A71:A134" si="15">G70+1</f>
        <v>1</v>
      </c>
      <c r="B71" s="8">
        <f>IF(K71=$P$13,'Rule 12'!$M$4,F71-1)</f>
        <v>-1</v>
      </c>
      <c r="C71" s="23">
        <f t="shared" si="9"/>
        <v>-1</v>
      </c>
      <c r="D71" s="21">
        <f t="shared" si="10"/>
        <v>-8.3333333333333329E-2</v>
      </c>
      <c r="E71" s="21" t="e">
        <f t="shared" ref="E71:E134" si="16">J70+D71</f>
        <v>#N/A</v>
      </c>
      <c r="F71" s="8">
        <f>'Leave Record'!G73</f>
        <v>0</v>
      </c>
      <c r="G71" s="8">
        <f>'Leave Record'!H73</f>
        <v>0</v>
      </c>
      <c r="H71" s="23">
        <f t="shared" si="11"/>
        <v>1</v>
      </c>
      <c r="I71" s="23">
        <f t="shared" si="12"/>
        <v>0</v>
      </c>
      <c r="J71" s="21" t="e">
        <f t="shared" ref="J71:J134" si="17">E71-I71</f>
        <v>#N/A</v>
      </c>
      <c r="K71" s="23">
        <f>'Leave Record'!I73</f>
        <v>0</v>
      </c>
      <c r="Q71">
        <f t="shared" si="13"/>
        <v>0</v>
      </c>
      <c r="R71" s="15" t="e">
        <f t="shared" si="14"/>
        <v>#N/A</v>
      </c>
    </row>
    <row r="72" spans="1:18" x14ac:dyDescent="0.25">
      <c r="A72" s="8">
        <f t="shared" si="15"/>
        <v>1</v>
      </c>
      <c r="B72" s="8">
        <f>IF(K72=$P$13,'Rule 12'!$M$4,F72-1)</f>
        <v>-1</v>
      </c>
      <c r="C72" s="23">
        <f t="shared" si="9"/>
        <v>-1</v>
      </c>
      <c r="D72" s="21">
        <f t="shared" si="10"/>
        <v>-8.3333333333333329E-2</v>
      </c>
      <c r="E72" s="21" t="e">
        <f t="shared" si="16"/>
        <v>#N/A</v>
      </c>
      <c r="F72" s="8">
        <f>'Leave Record'!G74</f>
        <v>0</v>
      </c>
      <c r="G72" s="8">
        <f>'Leave Record'!H74</f>
        <v>0</v>
      </c>
      <c r="H72" s="23">
        <f t="shared" si="11"/>
        <v>1</v>
      </c>
      <c r="I72" s="23">
        <f t="shared" si="12"/>
        <v>0</v>
      </c>
      <c r="J72" s="21" t="e">
        <f t="shared" si="17"/>
        <v>#N/A</v>
      </c>
      <c r="K72" s="23">
        <f>'Leave Record'!I74</f>
        <v>0</v>
      </c>
      <c r="Q72">
        <f t="shared" si="13"/>
        <v>0</v>
      </c>
      <c r="R72" s="15" t="e">
        <f t="shared" si="14"/>
        <v>#N/A</v>
      </c>
    </row>
    <row r="73" spans="1:18" x14ac:dyDescent="0.25">
      <c r="A73" s="8">
        <f t="shared" si="15"/>
        <v>1</v>
      </c>
      <c r="B73" s="8">
        <f>IF(K73=$P$13,'Rule 12'!$M$4,F73-1)</f>
        <v>-1</v>
      </c>
      <c r="C73" s="23">
        <f t="shared" si="9"/>
        <v>-1</v>
      </c>
      <c r="D73" s="21">
        <f t="shared" si="10"/>
        <v>-8.3333333333333329E-2</v>
      </c>
      <c r="E73" s="21" t="e">
        <f t="shared" si="16"/>
        <v>#N/A</v>
      </c>
      <c r="F73" s="8">
        <f>'Leave Record'!G75</f>
        <v>0</v>
      </c>
      <c r="G73" s="8">
        <f>'Leave Record'!H75</f>
        <v>0</v>
      </c>
      <c r="H73" s="23">
        <f t="shared" si="11"/>
        <v>1</v>
      </c>
      <c r="I73" s="23">
        <f t="shared" si="12"/>
        <v>0</v>
      </c>
      <c r="J73" s="21" t="e">
        <f t="shared" si="17"/>
        <v>#N/A</v>
      </c>
      <c r="K73" s="23">
        <f>'Leave Record'!I75</f>
        <v>0</v>
      </c>
      <c r="Q73">
        <f t="shared" si="13"/>
        <v>0</v>
      </c>
      <c r="R73" s="15" t="e">
        <f t="shared" si="14"/>
        <v>#N/A</v>
      </c>
    </row>
    <row r="74" spans="1:18" x14ac:dyDescent="0.25">
      <c r="A74" s="8">
        <f t="shared" si="15"/>
        <v>1</v>
      </c>
      <c r="B74" s="8">
        <f>IF(K74=$P$13,'Rule 12'!$M$4,F74-1)</f>
        <v>-1</v>
      </c>
      <c r="C74" s="23">
        <f t="shared" si="9"/>
        <v>-1</v>
      </c>
      <c r="D74" s="21">
        <f t="shared" si="10"/>
        <v>-8.3333333333333329E-2</v>
      </c>
      <c r="E74" s="21" t="e">
        <f t="shared" si="16"/>
        <v>#N/A</v>
      </c>
      <c r="F74" s="8">
        <f>'Leave Record'!G76</f>
        <v>0</v>
      </c>
      <c r="G74" s="8">
        <f>'Leave Record'!H76</f>
        <v>0</v>
      </c>
      <c r="H74" s="23">
        <f t="shared" si="11"/>
        <v>1</v>
      </c>
      <c r="I74" s="23">
        <f t="shared" si="12"/>
        <v>0</v>
      </c>
      <c r="J74" s="21" t="e">
        <f t="shared" si="17"/>
        <v>#N/A</v>
      </c>
      <c r="K74" s="23">
        <f>'Leave Record'!I76</f>
        <v>0</v>
      </c>
      <c r="Q74">
        <f t="shared" si="13"/>
        <v>0</v>
      </c>
      <c r="R74" s="15" t="e">
        <f t="shared" si="14"/>
        <v>#N/A</v>
      </c>
    </row>
    <row r="75" spans="1:18" x14ac:dyDescent="0.25">
      <c r="A75" s="8">
        <f t="shared" si="15"/>
        <v>1</v>
      </c>
      <c r="B75" s="8">
        <f>IF(K75=$P$13,'Rule 12'!$M$4,F75-1)</f>
        <v>-1</v>
      </c>
      <c r="C75" s="23">
        <f t="shared" si="9"/>
        <v>-1</v>
      </c>
      <c r="D75" s="21">
        <f t="shared" si="10"/>
        <v>-8.3333333333333329E-2</v>
      </c>
      <c r="E75" s="21" t="e">
        <f t="shared" si="16"/>
        <v>#N/A</v>
      </c>
      <c r="F75" s="8">
        <f>'Leave Record'!G77</f>
        <v>0</v>
      </c>
      <c r="G75" s="8">
        <f>'Leave Record'!H77</f>
        <v>0</v>
      </c>
      <c r="H75" s="23">
        <f t="shared" si="11"/>
        <v>1</v>
      </c>
      <c r="I75" s="23">
        <f t="shared" si="12"/>
        <v>0</v>
      </c>
      <c r="J75" s="21" t="e">
        <f t="shared" si="17"/>
        <v>#N/A</v>
      </c>
      <c r="K75" s="23">
        <f>'Leave Record'!I77</f>
        <v>0</v>
      </c>
      <c r="Q75">
        <f t="shared" si="13"/>
        <v>0</v>
      </c>
      <c r="R75" s="15" t="e">
        <f t="shared" si="14"/>
        <v>#N/A</v>
      </c>
    </row>
    <row r="76" spans="1:18" x14ac:dyDescent="0.25">
      <c r="A76" s="8">
        <f t="shared" si="15"/>
        <v>1</v>
      </c>
      <c r="B76" s="8">
        <f>IF(K76=$P$13,'Rule 12'!$M$4,F76-1)</f>
        <v>-1</v>
      </c>
      <c r="C76" s="23">
        <f t="shared" si="9"/>
        <v>-1</v>
      </c>
      <c r="D76" s="21">
        <f t="shared" si="10"/>
        <v>-8.3333333333333329E-2</v>
      </c>
      <c r="E76" s="21" t="e">
        <f t="shared" si="16"/>
        <v>#N/A</v>
      </c>
      <c r="F76" s="8">
        <f>'Leave Record'!G78</f>
        <v>0</v>
      </c>
      <c r="G76" s="8">
        <f>'Leave Record'!H78</f>
        <v>0</v>
      </c>
      <c r="H76" s="23">
        <f t="shared" si="11"/>
        <v>1</v>
      </c>
      <c r="I76" s="23">
        <f t="shared" si="12"/>
        <v>0</v>
      </c>
      <c r="J76" s="21" t="e">
        <f t="shared" si="17"/>
        <v>#N/A</v>
      </c>
      <c r="K76" s="23">
        <f>'Leave Record'!I78</f>
        <v>0</v>
      </c>
      <c r="Q76">
        <f t="shared" si="13"/>
        <v>0</v>
      </c>
      <c r="R76" s="15" t="e">
        <f t="shared" si="14"/>
        <v>#N/A</v>
      </c>
    </row>
    <row r="77" spans="1:18" x14ac:dyDescent="0.25">
      <c r="A77" s="8">
        <f t="shared" si="15"/>
        <v>1</v>
      </c>
      <c r="B77" s="8">
        <f>IF(K77=$P$13,'Rule 12'!$M$4,F77-1)</f>
        <v>-1</v>
      </c>
      <c r="C77" s="23">
        <f t="shared" si="9"/>
        <v>-1</v>
      </c>
      <c r="D77" s="21">
        <f t="shared" si="10"/>
        <v>-8.3333333333333329E-2</v>
      </c>
      <c r="E77" s="21" t="e">
        <f t="shared" si="16"/>
        <v>#N/A</v>
      </c>
      <c r="F77" s="8">
        <f>'Leave Record'!G79</f>
        <v>0</v>
      </c>
      <c r="G77" s="8">
        <f>'Leave Record'!H79</f>
        <v>0</v>
      </c>
      <c r="H77" s="23">
        <f t="shared" si="11"/>
        <v>1</v>
      </c>
      <c r="I77" s="23">
        <f t="shared" si="12"/>
        <v>0</v>
      </c>
      <c r="J77" s="21" t="e">
        <f t="shared" si="17"/>
        <v>#N/A</v>
      </c>
      <c r="K77" s="23">
        <f>'Leave Record'!I79</f>
        <v>0</v>
      </c>
      <c r="Q77">
        <f t="shared" si="13"/>
        <v>0</v>
      </c>
      <c r="R77" s="15" t="e">
        <f t="shared" si="14"/>
        <v>#N/A</v>
      </c>
    </row>
    <row r="78" spans="1:18" x14ac:dyDescent="0.25">
      <c r="A78" s="8">
        <f t="shared" si="15"/>
        <v>1</v>
      </c>
      <c r="B78" s="8">
        <f>IF(K78=$P$13,'Rule 12'!$M$4,F78-1)</f>
        <v>-1</v>
      </c>
      <c r="C78" s="23">
        <f t="shared" si="9"/>
        <v>-1</v>
      </c>
      <c r="D78" s="21">
        <f t="shared" si="10"/>
        <v>-8.3333333333333329E-2</v>
      </c>
      <c r="E78" s="21" t="e">
        <f t="shared" si="16"/>
        <v>#N/A</v>
      </c>
      <c r="F78" s="8">
        <f>'Leave Record'!G80</f>
        <v>0</v>
      </c>
      <c r="G78" s="8">
        <f>'Leave Record'!H80</f>
        <v>0</v>
      </c>
      <c r="H78" s="23">
        <f t="shared" si="11"/>
        <v>1</v>
      </c>
      <c r="I78" s="23">
        <f t="shared" si="12"/>
        <v>0</v>
      </c>
      <c r="J78" s="21" t="e">
        <f t="shared" si="17"/>
        <v>#N/A</v>
      </c>
      <c r="K78" s="23">
        <f>'Leave Record'!I80</f>
        <v>0</v>
      </c>
      <c r="Q78">
        <f t="shared" si="13"/>
        <v>0</v>
      </c>
      <c r="R78" s="15" t="e">
        <f t="shared" si="14"/>
        <v>#N/A</v>
      </c>
    </row>
    <row r="79" spans="1:18" x14ac:dyDescent="0.25">
      <c r="A79" s="8">
        <f t="shared" si="15"/>
        <v>1</v>
      </c>
      <c r="B79" s="8">
        <f>IF(K79=$P$13,'Rule 12'!$M$4,F79-1)</f>
        <v>-1</v>
      </c>
      <c r="C79" s="23">
        <f t="shared" si="9"/>
        <v>-1</v>
      </c>
      <c r="D79" s="21">
        <f t="shared" si="10"/>
        <v>-8.3333333333333329E-2</v>
      </c>
      <c r="E79" s="21" t="e">
        <f t="shared" si="16"/>
        <v>#N/A</v>
      </c>
      <c r="F79" s="8">
        <f>'Leave Record'!G81</f>
        <v>0</v>
      </c>
      <c r="G79" s="8">
        <f>'Leave Record'!H81</f>
        <v>0</v>
      </c>
      <c r="H79" s="23">
        <f t="shared" si="11"/>
        <v>1</v>
      </c>
      <c r="I79" s="23">
        <f t="shared" si="12"/>
        <v>0</v>
      </c>
      <c r="J79" s="21" t="e">
        <f t="shared" si="17"/>
        <v>#N/A</v>
      </c>
      <c r="K79" s="23">
        <f>'Leave Record'!I81</f>
        <v>0</v>
      </c>
      <c r="Q79">
        <f t="shared" si="13"/>
        <v>0</v>
      </c>
      <c r="R79" s="15" t="e">
        <f t="shared" si="14"/>
        <v>#N/A</v>
      </c>
    </row>
    <row r="80" spans="1:18" x14ac:dyDescent="0.25">
      <c r="A80" s="8">
        <f t="shared" si="15"/>
        <v>1</v>
      </c>
      <c r="B80" s="8">
        <f>IF(K80=$P$13,'Rule 12'!$M$4,F80-1)</f>
        <v>-1</v>
      </c>
      <c r="C80" s="23">
        <f t="shared" si="9"/>
        <v>-1</v>
      </c>
      <c r="D80" s="21">
        <f t="shared" si="10"/>
        <v>-8.3333333333333329E-2</v>
      </c>
      <c r="E80" s="21" t="e">
        <f t="shared" si="16"/>
        <v>#N/A</v>
      </c>
      <c r="F80" s="8">
        <f>'Leave Record'!G82</f>
        <v>0</v>
      </c>
      <c r="G80" s="8">
        <f>'Leave Record'!H82</f>
        <v>0</v>
      </c>
      <c r="H80" s="23">
        <f t="shared" si="11"/>
        <v>1</v>
      </c>
      <c r="I80" s="23">
        <f t="shared" si="12"/>
        <v>0</v>
      </c>
      <c r="J80" s="21" t="e">
        <f t="shared" si="17"/>
        <v>#N/A</v>
      </c>
      <c r="K80" s="23">
        <f>'Leave Record'!I82</f>
        <v>0</v>
      </c>
      <c r="Q80">
        <f t="shared" si="13"/>
        <v>0</v>
      </c>
      <c r="R80" s="15" t="e">
        <f t="shared" si="14"/>
        <v>#N/A</v>
      </c>
    </row>
    <row r="81" spans="1:18" x14ac:dyDescent="0.25">
      <c r="A81" s="8">
        <f t="shared" si="15"/>
        <v>1</v>
      </c>
      <c r="B81" s="8">
        <f>IF(K81=$P$13,'Rule 12'!$M$4,F81-1)</f>
        <v>-1</v>
      </c>
      <c r="C81" s="23">
        <f t="shared" si="9"/>
        <v>-1</v>
      </c>
      <c r="D81" s="21">
        <f t="shared" si="10"/>
        <v>-8.3333333333333329E-2</v>
      </c>
      <c r="E81" s="21" t="e">
        <f t="shared" si="16"/>
        <v>#N/A</v>
      </c>
      <c r="F81" s="8">
        <f>'Leave Record'!G83</f>
        <v>0</v>
      </c>
      <c r="G81" s="8">
        <f>'Leave Record'!H83</f>
        <v>0</v>
      </c>
      <c r="H81" s="23">
        <f t="shared" si="11"/>
        <v>1</v>
      </c>
      <c r="I81" s="23">
        <f t="shared" si="12"/>
        <v>0</v>
      </c>
      <c r="J81" s="21" t="e">
        <f t="shared" si="17"/>
        <v>#N/A</v>
      </c>
      <c r="K81" s="23">
        <f>'Leave Record'!I83</f>
        <v>0</v>
      </c>
      <c r="Q81">
        <f t="shared" si="13"/>
        <v>0</v>
      </c>
      <c r="R81" s="15" t="e">
        <f t="shared" si="14"/>
        <v>#N/A</v>
      </c>
    </row>
    <row r="82" spans="1:18" x14ac:dyDescent="0.25">
      <c r="A82" s="8">
        <f t="shared" si="15"/>
        <v>1</v>
      </c>
      <c r="B82" s="8">
        <f>IF(K82=$P$13,'Rule 12'!$M$4,F82-1)</f>
        <v>-1</v>
      </c>
      <c r="C82" s="23">
        <f t="shared" si="9"/>
        <v>-1</v>
      </c>
      <c r="D82" s="21">
        <f t="shared" si="10"/>
        <v>-8.3333333333333329E-2</v>
      </c>
      <c r="E82" s="21" t="e">
        <f t="shared" si="16"/>
        <v>#N/A</v>
      </c>
      <c r="F82" s="8">
        <f>'Leave Record'!G84</f>
        <v>0</v>
      </c>
      <c r="G82" s="8">
        <f>'Leave Record'!H84</f>
        <v>0</v>
      </c>
      <c r="H82" s="23">
        <f t="shared" si="11"/>
        <v>1</v>
      </c>
      <c r="I82" s="23">
        <f t="shared" si="12"/>
        <v>0</v>
      </c>
      <c r="J82" s="21" t="e">
        <f t="shared" si="17"/>
        <v>#N/A</v>
      </c>
      <c r="K82" s="23">
        <f>'Leave Record'!I84</f>
        <v>0</v>
      </c>
      <c r="Q82">
        <f t="shared" si="13"/>
        <v>0</v>
      </c>
      <c r="R82" s="15" t="e">
        <f t="shared" si="14"/>
        <v>#N/A</v>
      </c>
    </row>
    <row r="83" spans="1:18" x14ac:dyDescent="0.25">
      <c r="A83" s="8">
        <f t="shared" si="15"/>
        <v>1</v>
      </c>
      <c r="B83" s="8">
        <f>IF(K83=$P$13,'Rule 12'!$M$4,F83-1)</f>
        <v>-1</v>
      </c>
      <c r="C83" s="23">
        <f t="shared" si="9"/>
        <v>-1</v>
      </c>
      <c r="D83" s="21">
        <f t="shared" si="10"/>
        <v>-8.3333333333333329E-2</v>
      </c>
      <c r="E83" s="21" t="e">
        <f t="shared" si="16"/>
        <v>#N/A</v>
      </c>
      <c r="F83" s="8">
        <f>'Leave Record'!G85</f>
        <v>0</v>
      </c>
      <c r="G83" s="8">
        <f>'Leave Record'!H85</f>
        <v>0</v>
      </c>
      <c r="H83" s="23">
        <f t="shared" si="11"/>
        <v>1</v>
      </c>
      <c r="I83" s="23">
        <f t="shared" si="12"/>
        <v>0</v>
      </c>
      <c r="J83" s="21" t="e">
        <f t="shared" si="17"/>
        <v>#N/A</v>
      </c>
      <c r="K83" s="23">
        <f>'Leave Record'!I85</f>
        <v>0</v>
      </c>
      <c r="Q83">
        <f t="shared" si="13"/>
        <v>0</v>
      </c>
      <c r="R83" s="15" t="e">
        <f t="shared" si="14"/>
        <v>#N/A</v>
      </c>
    </row>
    <row r="84" spans="1:18" x14ac:dyDescent="0.25">
      <c r="A84" s="8">
        <f t="shared" si="15"/>
        <v>1</v>
      </c>
      <c r="B84" s="8">
        <f>IF(K84=$P$13,'Rule 12'!$M$4,F84-1)</f>
        <v>-1</v>
      </c>
      <c r="C84" s="23">
        <f t="shared" si="9"/>
        <v>-1</v>
      </c>
      <c r="D84" s="21">
        <f t="shared" si="10"/>
        <v>-8.3333333333333329E-2</v>
      </c>
      <c r="E84" s="21" t="e">
        <f t="shared" si="16"/>
        <v>#N/A</v>
      </c>
      <c r="F84" s="8">
        <f>'Leave Record'!G86</f>
        <v>0</v>
      </c>
      <c r="G84" s="8">
        <f>'Leave Record'!H86</f>
        <v>0</v>
      </c>
      <c r="H84" s="23">
        <f t="shared" si="11"/>
        <v>1</v>
      </c>
      <c r="I84" s="23">
        <f t="shared" si="12"/>
        <v>0</v>
      </c>
      <c r="J84" s="21" t="e">
        <f t="shared" si="17"/>
        <v>#N/A</v>
      </c>
      <c r="K84" s="23">
        <f>'Leave Record'!I86</f>
        <v>0</v>
      </c>
      <c r="Q84">
        <f t="shared" si="13"/>
        <v>0</v>
      </c>
      <c r="R84" s="15" t="e">
        <f t="shared" si="14"/>
        <v>#N/A</v>
      </c>
    </row>
    <row r="85" spans="1:18" x14ac:dyDescent="0.25">
      <c r="A85" s="8">
        <f t="shared" si="15"/>
        <v>1</v>
      </c>
      <c r="B85" s="8">
        <f>IF(K85=$P$13,'Rule 12'!$M$4,F85-1)</f>
        <v>-1</v>
      </c>
      <c r="C85" s="23">
        <f t="shared" si="9"/>
        <v>-1</v>
      </c>
      <c r="D85" s="21">
        <f t="shared" si="10"/>
        <v>-8.3333333333333329E-2</v>
      </c>
      <c r="E85" s="21" t="e">
        <f t="shared" si="16"/>
        <v>#N/A</v>
      </c>
      <c r="F85" s="8">
        <f>'Leave Record'!G87</f>
        <v>0</v>
      </c>
      <c r="G85" s="8">
        <f>'Leave Record'!H87</f>
        <v>0</v>
      </c>
      <c r="H85" s="23">
        <f t="shared" si="11"/>
        <v>1</v>
      </c>
      <c r="I85" s="23">
        <f t="shared" si="12"/>
        <v>0</v>
      </c>
      <c r="J85" s="21" t="e">
        <f t="shared" si="17"/>
        <v>#N/A</v>
      </c>
      <c r="K85" s="23">
        <f>'Leave Record'!I87</f>
        <v>0</v>
      </c>
      <c r="Q85">
        <f t="shared" si="13"/>
        <v>0</v>
      </c>
      <c r="R85" s="15" t="e">
        <f t="shared" si="14"/>
        <v>#N/A</v>
      </c>
    </row>
    <row r="86" spans="1:18" x14ac:dyDescent="0.25">
      <c r="A86" s="8">
        <f t="shared" si="15"/>
        <v>1</v>
      </c>
      <c r="B86" s="8">
        <f>IF(K86=$P$13,'Rule 12'!$M$4,F86-1)</f>
        <v>-1</v>
      </c>
      <c r="C86" s="23">
        <f t="shared" si="9"/>
        <v>-1</v>
      </c>
      <c r="D86" s="21">
        <f t="shared" si="10"/>
        <v>-8.3333333333333329E-2</v>
      </c>
      <c r="E86" s="21" t="e">
        <f t="shared" si="16"/>
        <v>#N/A</v>
      </c>
      <c r="F86" s="8">
        <f>'Leave Record'!G88</f>
        <v>0</v>
      </c>
      <c r="G86" s="8">
        <f>'Leave Record'!H88</f>
        <v>0</v>
      </c>
      <c r="H86" s="23">
        <f t="shared" si="11"/>
        <v>1</v>
      </c>
      <c r="I86" s="23">
        <f t="shared" si="12"/>
        <v>0</v>
      </c>
      <c r="J86" s="21" t="e">
        <f t="shared" si="17"/>
        <v>#N/A</v>
      </c>
      <c r="K86" s="23">
        <f>'Leave Record'!I88</f>
        <v>0</v>
      </c>
      <c r="Q86">
        <f t="shared" si="13"/>
        <v>0</v>
      </c>
      <c r="R86" s="15" t="e">
        <f t="shared" si="14"/>
        <v>#N/A</v>
      </c>
    </row>
    <row r="87" spans="1:18" x14ac:dyDescent="0.25">
      <c r="A87" s="8">
        <f t="shared" si="15"/>
        <v>1</v>
      </c>
      <c r="B87" s="8">
        <f>IF(K87=$P$13,'Rule 12'!$M$4,F87-1)</f>
        <v>-1</v>
      </c>
      <c r="C87" s="23">
        <f t="shared" si="9"/>
        <v>-1</v>
      </c>
      <c r="D87" s="21">
        <f t="shared" si="10"/>
        <v>-8.3333333333333329E-2</v>
      </c>
      <c r="E87" s="21" t="e">
        <f t="shared" si="16"/>
        <v>#N/A</v>
      </c>
      <c r="F87" s="8">
        <f>'Leave Record'!G89</f>
        <v>0</v>
      </c>
      <c r="G87" s="8">
        <f>'Leave Record'!H89</f>
        <v>0</v>
      </c>
      <c r="H87" s="23">
        <f t="shared" si="11"/>
        <v>1</v>
      </c>
      <c r="I87" s="23">
        <f t="shared" si="12"/>
        <v>0</v>
      </c>
      <c r="J87" s="21" t="e">
        <f t="shared" si="17"/>
        <v>#N/A</v>
      </c>
      <c r="K87" s="23">
        <f>'Leave Record'!I89</f>
        <v>0</v>
      </c>
      <c r="Q87">
        <f t="shared" si="13"/>
        <v>0</v>
      </c>
      <c r="R87" s="15" t="e">
        <f t="shared" si="14"/>
        <v>#N/A</v>
      </c>
    </row>
    <row r="88" spans="1:18" x14ac:dyDescent="0.25">
      <c r="A88" s="8">
        <f t="shared" si="15"/>
        <v>1</v>
      </c>
      <c r="B88" s="8">
        <f>IF(K88=$P$13,'Rule 12'!$M$4,F88-1)</f>
        <v>-1</v>
      </c>
      <c r="C88" s="23">
        <f t="shared" si="9"/>
        <v>-1</v>
      </c>
      <c r="D88" s="21">
        <f t="shared" si="10"/>
        <v>-8.3333333333333329E-2</v>
      </c>
      <c r="E88" s="21" t="e">
        <f t="shared" si="16"/>
        <v>#N/A</v>
      </c>
      <c r="F88" s="8">
        <f>'Leave Record'!G90</f>
        <v>0</v>
      </c>
      <c r="G88" s="8">
        <f>'Leave Record'!H90</f>
        <v>0</v>
      </c>
      <c r="H88" s="23">
        <f t="shared" si="11"/>
        <v>1</v>
      </c>
      <c r="I88" s="23">
        <f t="shared" si="12"/>
        <v>0</v>
      </c>
      <c r="J88" s="21" t="e">
        <f t="shared" si="17"/>
        <v>#N/A</v>
      </c>
      <c r="K88" s="23">
        <f>'Leave Record'!I90</f>
        <v>0</v>
      </c>
      <c r="Q88">
        <f t="shared" si="13"/>
        <v>0</v>
      </c>
      <c r="R88" s="15" t="e">
        <f t="shared" si="14"/>
        <v>#N/A</v>
      </c>
    </row>
    <row r="89" spans="1:18" x14ac:dyDescent="0.25">
      <c r="A89" s="8">
        <f t="shared" si="15"/>
        <v>1</v>
      </c>
      <c r="B89" s="8">
        <f>IF(K89=$P$13,'Rule 12'!$M$4,F89-1)</f>
        <v>-1</v>
      </c>
      <c r="C89" s="23">
        <f t="shared" si="9"/>
        <v>-1</v>
      </c>
      <c r="D89" s="21">
        <f t="shared" si="10"/>
        <v>-8.3333333333333329E-2</v>
      </c>
      <c r="E89" s="21" t="e">
        <f t="shared" si="16"/>
        <v>#N/A</v>
      </c>
      <c r="F89" s="8">
        <f>'Leave Record'!G91</f>
        <v>0</v>
      </c>
      <c r="G89" s="8">
        <f>'Leave Record'!H91</f>
        <v>0</v>
      </c>
      <c r="H89" s="23">
        <f t="shared" si="11"/>
        <v>1</v>
      </c>
      <c r="I89" s="23">
        <f t="shared" si="12"/>
        <v>0</v>
      </c>
      <c r="J89" s="21" t="e">
        <f t="shared" si="17"/>
        <v>#N/A</v>
      </c>
      <c r="K89" s="23">
        <f>'Leave Record'!I91</f>
        <v>0</v>
      </c>
      <c r="Q89">
        <f t="shared" si="13"/>
        <v>0</v>
      </c>
      <c r="R89" s="15" t="e">
        <f t="shared" si="14"/>
        <v>#N/A</v>
      </c>
    </row>
    <row r="90" spans="1:18" x14ac:dyDescent="0.25">
      <c r="A90" s="8">
        <f t="shared" si="15"/>
        <v>1</v>
      </c>
      <c r="B90" s="8">
        <f>IF(K90=$P$13,'Rule 12'!$M$4,F90-1)</f>
        <v>-1</v>
      </c>
      <c r="C90" s="23">
        <f t="shared" si="9"/>
        <v>-1</v>
      </c>
      <c r="D90" s="21">
        <f t="shared" si="10"/>
        <v>-8.3333333333333329E-2</v>
      </c>
      <c r="E90" s="21" t="e">
        <f t="shared" si="16"/>
        <v>#N/A</v>
      </c>
      <c r="F90" s="8">
        <f>'Leave Record'!G92</f>
        <v>0</v>
      </c>
      <c r="G90" s="8">
        <f>'Leave Record'!H92</f>
        <v>0</v>
      </c>
      <c r="H90" s="23">
        <f t="shared" si="11"/>
        <v>1</v>
      </c>
      <c r="I90" s="23">
        <f t="shared" si="12"/>
        <v>0</v>
      </c>
      <c r="J90" s="21" t="e">
        <f t="shared" si="17"/>
        <v>#N/A</v>
      </c>
      <c r="K90" s="23">
        <f>'Leave Record'!I92</f>
        <v>0</v>
      </c>
      <c r="Q90">
        <f t="shared" si="13"/>
        <v>0</v>
      </c>
      <c r="R90" s="15" t="e">
        <f t="shared" si="14"/>
        <v>#N/A</v>
      </c>
    </row>
    <row r="91" spans="1:18" x14ac:dyDescent="0.25">
      <c r="A91" s="8">
        <f t="shared" si="15"/>
        <v>1</v>
      </c>
      <c r="B91" s="8">
        <f>IF(K91=$P$13,'Rule 12'!$M$4,F91-1)</f>
        <v>-1</v>
      </c>
      <c r="C91" s="23">
        <f t="shared" si="9"/>
        <v>-1</v>
      </c>
      <c r="D91" s="21">
        <f t="shared" si="10"/>
        <v>-8.3333333333333329E-2</v>
      </c>
      <c r="E91" s="21" t="e">
        <f t="shared" si="16"/>
        <v>#N/A</v>
      </c>
      <c r="F91" s="8">
        <f>'Leave Record'!G93</f>
        <v>0</v>
      </c>
      <c r="G91" s="8">
        <f>'Leave Record'!H93</f>
        <v>0</v>
      </c>
      <c r="H91" s="23">
        <f t="shared" si="11"/>
        <v>1</v>
      </c>
      <c r="I91" s="23">
        <f t="shared" si="12"/>
        <v>0</v>
      </c>
      <c r="J91" s="21" t="e">
        <f t="shared" si="17"/>
        <v>#N/A</v>
      </c>
      <c r="K91" s="23">
        <f>'Leave Record'!I93</f>
        <v>0</v>
      </c>
      <c r="Q91">
        <f t="shared" si="13"/>
        <v>0</v>
      </c>
      <c r="R91" s="15" t="e">
        <f t="shared" si="14"/>
        <v>#N/A</v>
      </c>
    </row>
    <row r="92" spans="1:18" x14ac:dyDescent="0.25">
      <c r="A92" s="8">
        <f t="shared" si="15"/>
        <v>1</v>
      </c>
      <c r="B92" s="8">
        <f>IF(K92=$P$13,'Rule 12'!$M$4,F92-1)</f>
        <v>-1</v>
      </c>
      <c r="C92" s="23">
        <f t="shared" si="9"/>
        <v>-1</v>
      </c>
      <c r="D92" s="21">
        <f t="shared" si="10"/>
        <v>-8.3333333333333329E-2</v>
      </c>
      <c r="E92" s="21" t="e">
        <f t="shared" si="16"/>
        <v>#N/A</v>
      </c>
      <c r="F92" s="8">
        <f>'Leave Record'!G94</f>
        <v>0</v>
      </c>
      <c r="G92" s="8">
        <f>'Leave Record'!H94</f>
        <v>0</v>
      </c>
      <c r="H92" s="23">
        <f t="shared" si="11"/>
        <v>1</v>
      </c>
      <c r="I92" s="23">
        <f t="shared" si="12"/>
        <v>0</v>
      </c>
      <c r="J92" s="21" t="e">
        <f t="shared" si="17"/>
        <v>#N/A</v>
      </c>
      <c r="K92" s="23">
        <f>'Leave Record'!I94</f>
        <v>0</v>
      </c>
      <c r="Q92">
        <f t="shared" si="13"/>
        <v>0</v>
      </c>
      <c r="R92" s="15" t="e">
        <f t="shared" si="14"/>
        <v>#N/A</v>
      </c>
    </row>
    <row r="93" spans="1:18" x14ac:dyDescent="0.25">
      <c r="A93" s="8">
        <f t="shared" si="15"/>
        <v>1</v>
      </c>
      <c r="B93" s="8">
        <f>IF(K93=$P$13,'Rule 12'!$M$4,F93-1)</f>
        <v>-1</v>
      </c>
      <c r="C93" s="23">
        <f t="shared" si="9"/>
        <v>-1</v>
      </c>
      <c r="D93" s="21">
        <f t="shared" si="10"/>
        <v>-8.3333333333333329E-2</v>
      </c>
      <c r="E93" s="21" t="e">
        <f t="shared" si="16"/>
        <v>#N/A</v>
      </c>
      <c r="F93" s="8">
        <f>'Leave Record'!G95</f>
        <v>0</v>
      </c>
      <c r="G93" s="8">
        <f>'Leave Record'!H95</f>
        <v>0</v>
      </c>
      <c r="H93" s="23">
        <f t="shared" si="11"/>
        <v>1</v>
      </c>
      <c r="I93" s="23">
        <f t="shared" si="12"/>
        <v>0</v>
      </c>
      <c r="J93" s="21" t="e">
        <f t="shared" si="17"/>
        <v>#N/A</v>
      </c>
      <c r="K93" s="23">
        <f>'Leave Record'!I95</f>
        <v>0</v>
      </c>
      <c r="Q93">
        <f t="shared" si="13"/>
        <v>0</v>
      </c>
      <c r="R93" s="15" t="e">
        <f t="shared" si="14"/>
        <v>#N/A</v>
      </c>
    </row>
    <row r="94" spans="1:18" x14ac:dyDescent="0.25">
      <c r="A94" s="8">
        <f t="shared" si="15"/>
        <v>1</v>
      </c>
      <c r="B94" s="8">
        <f>IF(K94=$P$13,'Rule 12'!$M$4,F94-1)</f>
        <v>-1</v>
      </c>
      <c r="C94" s="23">
        <f t="shared" si="9"/>
        <v>-1</v>
      </c>
      <c r="D94" s="21">
        <f t="shared" si="10"/>
        <v>-8.3333333333333329E-2</v>
      </c>
      <c r="E94" s="21" t="e">
        <f t="shared" si="16"/>
        <v>#N/A</v>
      </c>
      <c r="F94" s="8">
        <f>'Leave Record'!G96</f>
        <v>0</v>
      </c>
      <c r="G94" s="8">
        <f>'Leave Record'!H96</f>
        <v>0</v>
      </c>
      <c r="H94" s="23">
        <f t="shared" si="11"/>
        <v>1</v>
      </c>
      <c r="I94" s="23">
        <f t="shared" si="12"/>
        <v>0</v>
      </c>
      <c r="J94" s="21" t="e">
        <f t="shared" si="17"/>
        <v>#N/A</v>
      </c>
      <c r="K94" s="23">
        <f>'Leave Record'!I96</f>
        <v>0</v>
      </c>
      <c r="Q94">
        <f t="shared" si="13"/>
        <v>0</v>
      </c>
      <c r="R94" s="15" t="e">
        <f t="shared" si="14"/>
        <v>#N/A</v>
      </c>
    </row>
    <row r="95" spans="1:18" x14ac:dyDescent="0.25">
      <c r="A95" s="8">
        <f t="shared" si="15"/>
        <v>1</v>
      </c>
      <c r="B95" s="8">
        <f>IF(K95=$P$13,'Rule 12'!$M$4,F95-1)</f>
        <v>-1</v>
      </c>
      <c r="C95" s="23">
        <f t="shared" si="9"/>
        <v>-1</v>
      </c>
      <c r="D95" s="21">
        <f t="shared" si="10"/>
        <v>-8.3333333333333329E-2</v>
      </c>
      <c r="E95" s="21" t="e">
        <f t="shared" si="16"/>
        <v>#N/A</v>
      </c>
      <c r="F95" s="8">
        <f>'Leave Record'!G97</f>
        <v>0</v>
      </c>
      <c r="G95" s="8">
        <f>'Leave Record'!H97</f>
        <v>0</v>
      </c>
      <c r="H95" s="23">
        <f t="shared" si="11"/>
        <v>1</v>
      </c>
      <c r="I95" s="23">
        <f t="shared" si="12"/>
        <v>0</v>
      </c>
      <c r="J95" s="21" t="e">
        <f t="shared" si="17"/>
        <v>#N/A</v>
      </c>
      <c r="K95" s="23">
        <f>'Leave Record'!I97</f>
        <v>0</v>
      </c>
      <c r="Q95">
        <f t="shared" si="13"/>
        <v>0</v>
      </c>
      <c r="R95" s="15" t="e">
        <f t="shared" si="14"/>
        <v>#N/A</v>
      </c>
    </row>
    <row r="96" spans="1:18" x14ac:dyDescent="0.25">
      <c r="A96" s="8">
        <f t="shared" si="15"/>
        <v>1</v>
      </c>
      <c r="B96" s="8">
        <f>IF(K96=$P$13,'Rule 12'!$M$4,F96-1)</f>
        <v>-1</v>
      </c>
      <c r="C96" s="23">
        <f t="shared" si="9"/>
        <v>-1</v>
      </c>
      <c r="D96" s="21">
        <f t="shared" si="10"/>
        <v>-8.3333333333333329E-2</v>
      </c>
      <c r="E96" s="21" t="e">
        <f t="shared" si="16"/>
        <v>#N/A</v>
      </c>
      <c r="F96" s="8">
        <f>'Leave Record'!G98</f>
        <v>0</v>
      </c>
      <c r="G96" s="8">
        <f>'Leave Record'!H98</f>
        <v>0</v>
      </c>
      <c r="H96" s="23">
        <f t="shared" si="11"/>
        <v>1</v>
      </c>
      <c r="I96" s="23">
        <f t="shared" si="12"/>
        <v>0</v>
      </c>
      <c r="J96" s="21" t="e">
        <f t="shared" si="17"/>
        <v>#N/A</v>
      </c>
      <c r="K96" s="23">
        <f>'Leave Record'!I98</f>
        <v>0</v>
      </c>
      <c r="Q96">
        <f t="shared" si="13"/>
        <v>0</v>
      </c>
      <c r="R96" s="15" t="e">
        <f t="shared" si="14"/>
        <v>#N/A</v>
      </c>
    </row>
    <row r="97" spans="1:18" x14ac:dyDescent="0.25">
      <c r="A97" s="8">
        <f t="shared" si="15"/>
        <v>1</v>
      </c>
      <c r="B97" s="8">
        <f>IF(K97=$P$13,'Rule 12'!$M$4,F97-1)</f>
        <v>-1</v>
      </c>
      <c r="C97" s="23">
        <f t="shared" si="9"/>
        <v>-1</v>
      </c>
      <c r="D97" s="21">
        <f t="shared" si="10"/>
        <v>-8.3333333333333329E-2</v>
      </c>
      <c r="E97" s="21" t="e">
        <f t="shared" si="16"/>
        <v>#N/A</v>
      </c>
      <c r="F97" s="8">
        <f>'Leave Record'!G99</f>
        <v>0</v>
      </c>
      <c r="G97" s="8">
        <f>'Leave Record'!H99</f>
        <v>0</v>
      </c>
      <c r="H97" s="23">
        <f t="shared" si="11"/>
        <v>1</v>
      </c>
      <c r="I97" s="23">
        <f t="shared" si="12"/>
        <v>0</v>
      </c>
      <c r="J97" s="21" t="e">
        <f t="shared" si="17"/>
        <v>#N/A</v>
      </c>
      <c r="K97" s="23">
        <f>'Leave Record'!I99</f>
        <v>0</v>
      </c>
      <c r="Q97">
        <f t="shared" si="13"/>
        <v>0</v>
      </c>
      <c r="R97" s="15" t="e">
        <f t="shared" si="14"/>
        <v>#N/A</v>
      </c>
    </row>
    <row r="98" spans="1:18" x14ac:dyDescent="0.25">
      <c r="A98" s="8">
        <f t="shared" si="15"/>
        <v>1</v>
      </c>
      <c r="B98" s="8">
        <f>IF(K98=$P$13,'Rule 12'!$M$4,F98-1)</f>
        <v>-1</v>
      </c>
      <c r="C98" s="23">
        <f t="shared" si="9"/>
        <v>-1</v>
      </c>
      <c r="D98" s="21">
        <f t="shared" si="10"/>
        <v>-8.3333333333333329E-2</v>
      </c>
      <c r="E98" s="21" t="e">
        <f t="shared" si="16"/>
        <v>#N/A</v>
      </c>
      <c r="F98" s="8">
        <f>'Leave Record'!G100</f>
        <v>0</v>
      </c>
      <c r="G98" s="8">
        <f>'Leave Record'!H100</f>
        <v>0</v>
      </c>
      <c r="H98" s="23">
        <f t="shared" si="11"/>
        <v>1</v>
      </c>
      <c r="I98" s="23">
        <f t="shared" si="12"/>
        <v>0</v>
      </c>
      <c r="J98" s="21" t="e">
        <f t="shared" si="17"/>
        <v>#N/A</v>
      </c>
      <c r="K98" s="23">
        <f>'Leave Record'!I100</f>
        <v>0</v>
      </c>
      <c r="Q98">
        <f t="shared" si="13"/>
        <v>0</v>
      </c>
      <c r="R98" s="15" t="e">
        <f t="shared" si="14"/>
        <v>#N/A</v>
      </c>
    </row>
    <row r="99" spans="1:18" x14ac:dyDescent="0.25">
      <c r="A99" s="8">
        <f t="shared" si="15"/>
        <v>1</v>
      </c>
      <c r="B99" s="8">
        <f>IF(K99=$P$13,'Rule 12'!$M$4,F99-1)</f>
        <v>-1</v>
      </c>
      <c r="C99" s="23">
        <f t="shared" si="9"/>
        <v>-1</v>
      </c>
      <c r="D99" s="21">
        <f t="shared" si="10"/>
        <v>-8.3333333333333329E-2</v>
      </c>
      <c r="E99" s="21" t="e">
        <f t="shared" si="16"/>
        <v>#N/A</v>
      </c>
      <c r="F99" s="8">
        <f>'Leave Record'!G101</f>
        <v>0</v>
      </c>
      <c r="G99" s="8">
        <f>'Leave Record'!H101</f>
        <v>0</v>
      </c>
      <c r="H99" s="23">
        <f t="shared" si="11"/>
        <v>1</v>
      </c>
      <c r="I99" s="23">
        <f t="shared" si="12"/>
        <v>0</v>
      </c>
      <c r="J99" s="21" t="e">
        <f t="shared" si="17"/>
        <v>#N/A</v>
      </c>
      <c r="K99" s="23">
        <f>'Leave Record'!I101</f>
        <v>0</v>
      </c>
      <c r="Q99">
        <f t="shared" si="13"/>
        <v>0</v>
      </c>
      <c r="R99" s="15" t="e">
        <f t="shared" si="14"/>
        <v>#N/A</v>
      </c>
    </row>
    <row r="100" spans="1:18" x14ac:dyDescent="0.25">
      <c r="A100" s="8">
        <f t="shared" si="15"/>
        <v>1</v>
      </c>
      <c r="B100" s="8">
        <f>IF(K100=$P$13,'Rule 12'!$M$4,F100-1)</f>
        <v>-1</v>
      </c>
      <c r="C100" s="23">
        <f t="shared" si="9"/>
        <v>-1</v>
      </c>
      <c r="D100" s="21">
        <f t="shared" si="10"/>
        <v>-8.3333333333333329E-2</v>
      </c>
      <c r="E100" s="21" t="e">
        <f t="shared" si="16"/>
        <v>#N/A</v>
      </c>
      <c r="F100" s="8">
        <f>'Leave Record'!G102</f>
        <v>0</v>
      </c>
      <c r="G100" s="8">
        <f>'Leave Record'!H102</f>
        <v>0</v>
      </c>
      <c r="H100" s="23">
        <f t="shared" si="11"/>
        <v>1</v>
      </c>
      <c r="I100" s="23">
        <f t="shared" si="12"/>
        <v>0</v>
      </c>
      <c r="J100" s="21" t="e">
        <f t="shared" si="17"/>
        <v>#N/A</v>
      </c>
      <c r="K100" s="23">
        <f>'Leave Record'!I102</f>
        <v>0</v>
      </c>
      <c r="Q100">
        <f t="shared" si="13"/>
        <v>0</v>
      </c>
      <c r="R100" s="15" t="e">
        <f t="shared" si="14"/>
        <v>#N/A</v>
      </c>
    </row>
    <row r="101" spans="1:18" x14ac:dyDescent="0.25">
      <c r="A101" s="8">
        <f t="shared" si="15"/>
        <v>1</v>
      </c>
      <c r="B101" s="8">
        <f>IF(K101=$P$13,'Rule 12'!$M$4,F101-1)</f>
        <v>-1</v>
      </c>
      <c r="C101" s="23">
        <f t="shared" si="9"/>
        <v>-1</v>
      </c>
      <c r="D101" s="21">
        <f t="shared" si="10"/>
        <v>-8.3333333333333329E-2</v>
      </c>
      <c r="E101" s="21" t="e">
        <f t="shared" si="16"/>
        <v>#N/A</v>
      </c>
      <c r="F101" s="8">
        <f>'Leave Record'!G103</f>
        <v>0</v>
      </c>
      <c r="G101" s="8">
        <f>'Leave Record'!H103</f>
        <v>0</v>
      </c>
      <c r="H101" s="23">
        <f t="shared" si="11"/>
        <v>1</v>
      </c>
      <c r="I101" s="23">
        <f t="shared" si="12"/>
        <v>0</v>
      </c>
      <c r="J101" s="21" t="e">
        <f t="shared" si="17"/>
        <v>#N/A</v>
      </c>
      <c r="K101" s="23">
        <f>'Leave Record'!I103</f>
        <v>0</v>
      </c>
      <c r="Q101">
        <f t="shared" si="13"/>
        <v>0</v>
      </c>
      <c r="R101" s="15" t="e">
        <f t="shared" si="14"/>
        <v>#N/A</v>
      </c>
    </row>
    <row r="102" spans="1:18" x14ac:dyDescent="0.25">
      <c r="A102" s="8">
        <f t="shared" si="15"/>
        <v>1</v>
      </c>
      <c r="B102" s="8">
        <f>IF(K102=$P$13,'Rule 12'!$M$4,F102-1)</f>
        <v>-1</v>
      </c>
      <c r="C102" s="23">
        <f t="shared" si="9"/>
        <v>-1</v>
      </c>
      <c r="D102" s="21">
        <f t="shared" si="10"/>
        <v>-8.3333333333333329E-2</v>
      </c>
      <c r="E102" s="21" t="e">
        <f t="shared" si="16"/>
        <v>#N/A</v>
      </c>
      <c r="F102" s="8">
        <f>'Leave Record'!G104</f>
        <v>0</v>
      </c>
      <c r="G102" s="8">
        <f>'Leave Record'!H104</f>
        <v>0</v>
      </c>
      <c r="H102" s="23">
        <f t="shared" si="11"/>
        <v>1</v>
      </c>
      <c r="I102" s="23">
        <f t="shared" si="12"/>
        <v>0</v>
      </c>
      <c r="J102" s="21" t="e">
        <f t="shared" si="17"/>
        <v>#N/A</v>
      </c>
      <c r="K102" s="23">
        <f>'Leave Record'!I104</f>
        <v>0</v>
      </c>
      <c r="Q102">
        <f t="shared" si="13"/>
        <v>0</v>
      </c>
      <c r="R102" s="15" t="e">
        <f t="shared" si="14"/>
        <v>#N/A</v>
      </c>
    </row>
    <row r="103" spans="1:18" x14ac:dyDescent="0.25">
      <c r="A103" s="8">
        <f t="shared" si="15"/>
        <v>1</v>
      </c>
      <c r="B103" s="8">
        <f>IF(K103=$P$13,'Rule 12'!$M$4,F103-1)</f>
        <v>-1</v>
      </c>
      <c r="C103" s="23">
        <f t="shared" si="9"/>
        <v>-1</v>
      </c>
      <c r="D103" s="21">
        <f t="shared" si="10"/>
        <v>-8.3333333333333329E-2</v>
      </c>
      <c r="E103" s="21" t="e">
        <f t="shared" si="16"/>
        <v>#N/A</v>
      </c>
      <c r="F103" s="8">
        <f>'Leave Record'!G105</f>
        <v>0</v>
      </c>
      <c r="G103" s="8">
        <f>'Leave Record'!H105</f>
        <v>0</v>
      </c>
      <c r="H103" s="23">
        <f t="shared" si="11"/>
        <v>1</v>
      </c>
      <c r="I103" s="23">
        <f t="shared" si="12"/>
        <v>0</v>
      </c>
      <c r="J103" s="21" t="e">
        <f t="shared" si="17"/>
        <v>#N/A</v>
      </c>
      <c r="K103" s="23">
        <f>'Leave Record'!I105</f>
        <v>0</v>
      </c>
      <c r="Q103">
        <f t="shared" si="13"/>
        <v>0</v>
      </c>
      <c r="R103" s="15" t="e">
        <f t="shared" si="14"/>
        <v>#N/A</v>
      </c>
    </row>
    <row r="104" spans="1:18" x14ac:dyDescent="0.25">
      <c r="A104" s="8">
        <f t="shared" si="15"/>
        <v>1</v>
      </c>
      <c r="B104" s="8">
        <f>IF(K104=$P$13,'Rule 12'!$M$4,F104-1)</f>
        <v>-1</v>
      </c>
      <c r="C104" s="23">
        <f t="shared" si="9"/>
        <v>-1</v>
      </c>
      <c r="D104" s="21">
        <f t="shared" si="10"/>
        <v>-8.3333333333333329E-2</v>
      </c>
      <c r="E104" s="21" t="e">
        <f t="shared" si="16"/>
        <v>#N/A</v>
      </c>
      <c r="F104" s="8">
        <f>'Leave Record'!G106</f>
        <v>0</v>
      </c>
      <c r="G104" s="8">
        <f>'Leave Record'!H106</f>
        <v>0</v>
      </c>
      <c r="H104" s="23">
        <f t="shared" si="11"/>
        <v>1</v>
      </c>
      <c r="I104" s="23">
        <f t="shared" si="12"/>
        <v>0</v>
      </c>
      <c r="J104" s="21" t="e">
        <f t="shared" si="17"/>
        <v>#N/A</v>
      </c>
      <c r="K104" s="23">
        <f>'Leave Record'!I106</f>
        <v>0</v>
      </c>
      <c r="Q104">
        <f t="shared" si="13"/>
        <v>0</v>
      </c>
      <c r="R104" s="15" t="e">
        <f t="shared" si="14"/>
        <v>#N/A</v>
      </c>
    </row>
    <row r="105" spans="1:18" x14ac:dyDescent="0.25">
      <c r="A105" s="8">
        <f t="shared" si="15"/>
        <v>1</v>
      </c>
      <c r="B105" s="8">
        <f>IF(K105=$P$13,'Rule 12'!$M$4,F105-1)</f>
        <v>-1</v>
      </c>
      <c r="C105" s="23">
        <f t="shared" si="9"/>
        <v>-1</v>
      </c>
      <c r="D105" s="21">
        <f t="shared" si="10"/>
        <v>-8.3333333333333329E-2</v>
      </c>
      <c r="E105" s="21" t="e">
        <f t="shared" si="16"/>
        <v>#N/A</v>
      </c>
      <c r="F105" s="8">
        <f>'Leave Record'!G107</f>
        <v>0</v>
      </c>
      <c r="G105" s="8">
        <f>'Leave Record'!H107</f>
        <v>0</v>
      </c>
      <c r="H105" s="23">
        <f t="shared" si="11"/>
        <v>1</v>
      </c>
      <c r="I105" s="23">
        <f t="shared" si="12"/>
        <v>0</v>
      </c>
      <c r="J105" s="21" t="e">
        <f t="shared" si="17"/>
        <v>#N/A</v>
      </c>
      <c r="K105" s="23">
        <f>'Leave Record'!I107</f>
        <v>0</v>
      </c>
      <c r="Q105">
        <f t="shared" si="13"/>
        <v>0</v>
      </c>
      <c r="R105" s="15" t="e">
        <f t="shared" si="14"/>
        <v>#N/A</v>
      </c>
    </row>
    <row r="106" spans="1:18" x14ac:dyDescent="0.25">
      <c r="A106" s="8">
        <f t="shared" si="15"/>
        <v>1</v>
      </c>
      <c r="B106" s="8">
        <f>IF(K106=$P$13,'Rule 12'!$M$4,F106-1)</f>
        <v>-1</v>
      </c>
      <c r="C106" s="23">
        <f t="shared" si="9"/>
        <v>-1</v>
      </c>
      <c r="D106" s="21">
        <f t="shared" si="10"/>
        <v>-8.3333333333333329E-2</v>
      </c>
      <c r="E106" s="21" t="e">
        <f t="shared" si="16"/>
        <v>#N/A</v>
      </c>
      <c r="F106" s="8">
        <f>'Leave Record'!G108</f>
        <v>0</v>
      </c>
      <c r="G106" s="8">
        <f>'Leave Record'!H108</f>
        <v>0</v>
      </c>
      <c r="H106" s="23">
        <f t="shared" si="11"/>
        <v>1</v>
      </c>
      <c r="I106" s="23">
        <f t="shared" si="12"/>
        <v>0</v>
      </c>
      <c r="J106" s="21" t="e">
        <f t="shared" si="17"/>
        <v>#N/A</v>
      </c>
      <c r="K106" s="23">
        <f>'Leave Record'!I108</f>
        <v>0</v>
      </c>
      <c r="Q106">
        <f t="shared" si="13"/>
        <v>0</v>
      </c>
      <c r="R106" s="15" t="e">
        <f t="shared" si="14"/>
        <v>#N/A</v>
      </c>
    </row>
    <row r="107" spans="1:18" x14ac:dyDescent="0.25">
      <c r="A107" s="8">
        <f t="shared" si="15"/>
        <v>1</v>
      </c>
      <c r="B107" s="8">
        <f>IF(K107=$P$13,'Rule 12'!$M$4,F107-1)</f>
        <v>-1</v>
      </c>
      <c r="C107" s="23">
        <f t="shared" si="9"/>
        <v>-1</v>
      </c>
      <c r="D107" s="21">
        <f t="shared" si="10"/>
        <v>-8.3333333333333329E-2</v>
      </c>
      <c r="E107" s="21" t="e">
        <f t="shared" si="16"/>
        <v>#N/A</v>
      </c>
      <c r="F107" s="8">
        <f>'Leave Record'!G109</f>
        <v>0</v>
      </c>
      <c r="G107" s="8">
        <f>'Leave Record'!H109</f>
        <v>0</v>
      </c>
      <c r="H107" s="23">
        <f t="shared" si="11"/>
        <v>1</v>
      </c>
      <c r="I107" s="23">
        <f t="shared" si="12"/>
        <v>0</v>
      </c>
      <c r="J107" s="21" t="e">
        <f t="shared" si="17"/>
        <v>#N/A</v>
      </c>
      <c r="K107" s="23">
        <f>'Leave Record'!I109</f>
        <v>0</v>
      </c>
      <c r="Q107">
        <f t="shared" si="13"/>
        <v>0</v>
      </c>
      <c r="R107" s="15" t="e">
        <f t="shared" si="14"/>
        <v>#N/A</v>
      </c>
    </row>
    <row r="108" spans="1:18" x14ac:dyDescent="0.25">
      <c r="A108" s="8">
        <f t="shared" si="15"/>
        <v>1</v>
      </c>
      <c r="B108" s="8">
        <f>IF(K108=$P$13,'Rule 12'!$M$4,F108-1)</f>
        <v>-1</v>
      </c>
      <c r="C108" s="23">
        <f t="shared" si="9"/>
        <v>-1</v>
      </c>
      <c r="D108" s="21">
        <f t="shared" si="10"/>
        <v>-8.3333333333333329E-2</v>
      </c>
      <c r="E108" s="21" t="e">
        <f t="shared" si="16"/>
        <v>#N/A</v>
      </c>
      <c r="F108" s="8">
        <f>'Leave Record'!G110</f>
        <v>0</v>
      </c>
      <c r="G108" s="8">
        <f>'Leave Record'!H110</f>
        <v>0</v>
      </c>
      <c r="H108" s="23">
        <f t="shared" si="11"/>
        <v>1</v>
      </c>
      <c r="I108" s="23">
        <f t="shared" si="12"/>
        <v>0</v>
      </c>
      <c r="J108" s="21" t="e">
        <f t="shared" si="17"/>
        <v>#N/A</v>
      </c>
      <c r="K108" s="23">
        <f>'Leave Record'!I110</f>
        <v>0</v>
      </c>
      <c r="Q108">
        <f t="shared" si="13"/>
        <v>0</v>
      </c>
      <c r="R108" s="15" t="e">
        <f t="shared" si="14"/>
        <v>#N/A</v>
      </c>
    </row>
    <row r="109" spans="1:18" x14ac:dyDescent="0.25">
      <c r="A109" s="8">
        <f t="shared" si="15"/>
        <v>1</v>
      </c>
      <c r="B109" s="8">
        <f>IF(K109=$P$13,'Rule 12'!$M$4,F109-1)</f>
        <v>-1</v>
      </c>
      <c r="C109" s="23">
        <f t="shared" si="9"/>
        <v>-1</v>
      </c>
      <c r="D109" s="21">
        <f t="shared" si="10"/>
        <v>-8.3333333333333329E-2</v>
      </c>
      <c r="E109" s="21" t="e">
        <f t="shared" si="16"/>
        <v>#N/A</v>
      </c>
      <c r="F109" s="8">
        <f>'Leave Record'!G111</f>
        <v>0</v>
      </c>
      <c r="G109" s="8">
        <f>'Leave Record'!H111</f>
        <v>0</v>
      </c>
      <c r="H109" s="23">
        <f t="shared" si="11"/>
        <v>1</v>
      </c>
      <c r="I109" s="23">
        <f t="shared" si="12"/>
        <v>0</v>
      </c>
      <c r="J109" s="21" t="e">
        <f t="shared" si="17"/>
        <v>#N/A</v>
      </c>
      <c r="K109" s="23">
        <f>'Leave Record'!I111</f>
        <v>0</v>
      </c>
      <c r="Q109">
        <f t="shared" si="13"/>
        <v>0</v>
      </c>
      <c r="R109" s="15" t="e">
        <f t="shared" si="14"/>
        <v>#N/A</v>
      </c>
    </row>
    <row r="110" spans="1:18" x14ac:dyDescent="0.25">
      <c r="A110" s="8">
        <f t="shared" si="15"/>
        <v>1</v>
      </c>
      <c r="B110" s="8">
        <f>IF(K110=$P$13,'Rule 12'!$M$4,F110-1)</f>
        <v>-1</v>
      </c>
      <c r="C110" s="23">
        <f t="shared" si="9"/>
        <v>-1</v>
      </c>
      <c r="D110" s="21">
        <f t="shared" si="10"/>
        <v>-8.3333333333333329E-2</v>
      </c>
      <c r="E110" s="21" t="e">
        <f t="shared" si="16"/>
        <v>#N/A</v>
      </c>
      <c r="F110" s="8">
        <f>'Leave Record'!G112</f>
        <v>0</v>
      </c>
      <c r="G110" s="8">
        <f>'Leave Record'!H112</f>
        <v>0</v>
      </c>
      <c r="H110" s="23">
        <f t="shared" si="11"/>
        <v>1</v>
      </c>
      <c r="I110" s="23">
        <f t="shared" si="12"/>
        <v>0</v>
      </c>
      <c r="J110" s="21" t="e">
        <f t="shared" si="17"/>
        <v>#N/A</v>
      </c>
      <c r="K110" s="23">
        <f>'Leave Record'!I112</f>
        <v>0</v>
      </c>
      <c r="Q110">
        <f t="shared" si="13"/>
        <v>0</v>
      </c>
      <c r="R110" s="15" t="e">
        <f t="shared" si="14"/>
        <v>#N/A</v>
      </c>
    </row>
    <row r="111" spans="1:18" x14ac:dyDescent="0.25">
      <c r="A111" s="8">
        <f t="shared" si="15"/>
        <v>1</v>
      </c>
      <c r="B111" s="8">
        <f>IF(K111=$P$13,'Rule 12'!$M$4,F111-1)</f>
        <v>-1</v>
      </c>
      <c r="C111" s="23">
        <f t="shared" si="9"/>
        <v>-1</v>
      </c>
      <c r="D111" s="21">
        <f t="shared" si="10"/>
        <v>-8.3333333333333329E-2</v>
      </c>
      <c r="E111" s="21" t="e">
        <f t="shared" si="16"/>
        <v>#N/A</v>
      </c>
      <c r="F111" s="8">
        <f>'Leave Record'!G113</f>
        <v>0</v>
      </c>
      <c r="G111" s="8">
        <f>'Leave Record'!H113</f>
        <v>0</v>
      </c>
      <c r="H111" s="23">
        <f t="shared" si="11"/>
        <v>1</v>
      </c>
      <c r="I111" s="23">
        <f t="shared" si="12"/>
        <v>0</v>
      </c>
      <c r="J111" s="21" t="e">
        <f t="shared" si="17"/>
        <v>#N/A</v>
      </c>
      <c r="K111" s="23">
        <f>'Leave Record'!I113</f>
        <v>0</v>
      </c>
      <c r="Q111">
        <f t="shared" si="13"/>
        <v>0</v>
      </c>
      <c r="R111" s="15" t="e">
        <f t="shared" si="14"/>
        <v>#N/A</v>
      </c>
    </row>
    <row r="112" spans="1:18" x14ac:dyDescent="0.25">
      <c r="A112" s="8">
        <f t="shared" si="15"/>
        <v>1</v>
      </c>
      <c r="B112" s="8">
        <f>IF(K112=$P$13,'Rule 12'!$M$4,F112-1)</f>
        <v>-1</v>
      </c>
      <c r="C112" s="23">
        <f t="shared" si="9"/>
        <v>-1</v>
      </c>
      <c r="D112" s="21">
        <f t="shared" si="10"/>
        <v>-8.3333333333333329E-2</v>
      </c>
      <c r="E112" s="21" t="e">
        <f t="shared" si="16"/>
        <v>#N/A</v>
      </c>
      <c r="F112" s="8">
        <f>'Leave Record'!G114</f>
        <v>0</v>
      </c>
      <c r="G112" s="8">
        <f>'Leave Record'!H114</f>
        <v>0</v>
      </c>
      <c r="H112" s="23">
        <f t="shared" si="11"/>
        <v>1</v>
      </c>
      <c r="I112" s="23">
        <f t="shared" si="12"/>
        <v>0</v>
      </c>
      <c r="J112" s="21" t="e">
        <f t="shared" si="17"/>
        <v>#N/A</v>
      </c>
      <c r="K112" s="23">
        <f>'Leave Record'!I114</f>
        <v>0</v>
      </c>
      <c r="Q112">
        <f t="shared" si="13"/>
        <v>0</v>
      </c>
      <c r="R112" s="15" t="e">
        <f t="shared" si="14"/>
        <v>#N/A</v>
      </c>
    </row>
    <row r="113" spans="1:18" x14ac:dyDescent="0.25">
      <c r="A113" s="8">
        <f t="shared" si="15"/>
        <v>1</v>
      </c>
      <c r="B113" s="8">
        <f>IF(K113=$P$13,'Rule 12'!$M$4,F113-1)</f>
        <v>-1</v>
      </c>
      <c r="C113" s="23">
        <f t="shared" si="9"/>
        <v>-1</v>
      </c>
      <c r="D113" s="21">
        <f t="shared" si="10"/>
        <v>-8.3333333333333329E-2</v>
      </c>
      <c r="E113" s="21" t="e">
        <f t="shared" si="16"/>
        <v>#N/A</v>
      </c>
      <c r="F113" s="8">
        <f>'Leave Record'!G115</f>
        <v>0</v>
      </c>
      <c r="G113" s="8">
        <f>'Leave Record'!H115</f>
        <v>0</v>
      </c>
      <c r="H113" s="23">
        <f t="shared" si="11"/>
        <v>1</v>
      </c>
      <c r="I113" s="23">
        <f t="shared" si="12"/>
        <v>0</v>
      </c>
      <c r="J113" s="21" t="e">
        <f t="shared" si="17"/>
        <v>#N/A</v>
      </c>
      <c r="K113" s="23">
        <f>'Leave Record'!I115</f>
        <v>0</v>
      </c>
      <c r="Q113">
        <f t="shared" si="13"/>
        <v>0</v>
      </c>
      <c r="R113" s="15" t="e">
        <f t="shared" si="14"/>
        <v>#N/A</v>
      </c>
    </row>
    <row r="114" spans="1:18" x14ac:dyDescent="0.25">
      <c r="A114" s="8">
        <f t="shared" si="15"/>
        <v>1</v>
      </c>
      <c r="B114" s="8">
        <f>IF(K114=$P$13,'Rule 12'!$M$4,F114-1)</f>
        <v>-1</v>
      </c>
      <c r="C114" s="23">
        <f t="shared" si="9"/>
        <v>-1</v>
      </c>
      <c r="D114" s="21">
        <f t="shared" si="10"/>
        <v>-8.3333333333333329E-2</v>
      </c>
      <c r="E114" s="21" t="e">
        <f t="shared" si="16"/>
        <v>#N/A</v>
      </c>
      <c r="F114" s="8">
        <f>'Leave Record'!G116</f>
        <v>0</v>
      </c>
      <c r="G114" s="8">
        <f>'Leave Record'!H116</f>
        <v>0</v>
      </c>
      <c r="H114" s="23">
        <f t="shared" si="11"/>
        <v>1</v>
      </c>
      <c r="I114" s="23">
        <f t="shared" si="12"/>
        <v>0</v>
      </c>
      <c r="J114" s="21" t="e">
        <f t="shared" si="17"/>
        <v>#N/A</v>
      </c>
      <c r="K114" s="23">
        <f>'Leave Record'!I116</f>
        <v>0</v>
      </c>
      <c r="Q114">
        <f t="shared" si="13"/>
        <v>0</v>
      </c>
      <c r="R114" s="15" t="e">
        <f t="shared" si="14"/>
        <v>#N/A</v>
      </c>
    </row>
    <row r="115" spans="1:18" x14ac:dyDescent="0.25">
      <c r="A115" s="8">
        <f t="shared" si="15"/>
        <v>1</v>
      </c>
      <c r="B115" s="8">
        <f>IF(K115=$P$13,'Rule 12'!$M$4,F115-1)</f>
        <v>-1</v>
      </c>
      <c r="C115" s="23">
        <f t="shared" si="9"/>
        <v>-1</v>
      </c>
      <c r="D115" s="21">
        <f t="shared" si="10"/>
        <v>-8.3333333333333329E-2</v>
      </c>
      <c r="E115" s="21" t="e">
        <f t="shared" si="16"/>
        <v>#N/A</v>
      </c>
      <c r="F115" s="8">
        <f>'Leave Record'!G117</f>
        <v>0</v>
      </c>
      <c r="G115" s="8">
        <f>'Leave Record'!H117</f>
        <v>0</v>
      </c>
      <c r="H115" s="23">
        <f t="shared" si="11"/>
        <v>1</v>
      </c>
      <c r="I115" s="23">
        <f t="shared" si="12"/>
        <v>0</v>
      </c>
      <c r="J115" s="21" t="e">
        <f t="shared" si="17"/>
        <v>#N/A</v>
      </c>
      <c r="K115" s="23">
        <f>'Leave Record'!I117</f>
        <v>0</v>
      </c>
      <c r="Q115">
        <f t="shared" si="13"/>
        <v>0</v>
      </c>
      <c r="R115" s="15" t="e">
        <f t="shared" si="14"/>
        <v>#N/A</v>
      </c>
    </row>
    <row r="116" spans="1:18" x14ac:dyDescent="0.25">
      <c r="A116" s="8">
        <f t="shared" si="15"/>
        <v>1</v>
      </c>
      <c r="B116" s="8">
        <f>IF(K116=$P$13,'Rule 12'!$M$4,F116-1)</f>
        <v>-1</v>
      </c>
      <c r="C116" s="23">
        <f t="shared" si="9"/>
        <v>-1</v>
      </c>
      <c r="D116" s="21">
        <f t="shared" si="10"/>
        <v>-8.3333333333333329E-2</v>
      </c>
      <c r="E116" s="21" t="e">
        <f t="shared" si="16"/>
        <v>#N/A</v>
      </c>
      <c r="F116" s="8">
        <f>'Leave Record'!G118</f>
        <v>0</v>
      </c>
      <c r="G116" s="8">
        <f>'Leave Record'!H118</f>
        <v>0</v>
      </c>
      <c r="H116" s="23">
        <f t="shared" si="11"/>
        <v>1</v>
      </c>
      <c r="I116" s="23">
        <f t="shared" si="12"/>
        <v>0</v>
      </c>
      <c r="J116" s="21" t="e">
        <f t="shared" si="17"/>
        <v>#N/A</v>
      </c>
      <c r="K116" s="23">
        <f>'Leave Record'!I118</f>
        <v>0</v>
      </c>
      <c r="Q116">
        <f t="shared" si="13"/>
        <v>0</v>
      </c>
      <c r="R116" s="15" t="e">
        <f t="shared" si="14"/>
        <v>#N/A</v>
      </c>
    </row>
    <row r="117" spans="1:18" x14ac:dyDescent="0.25">
      <c r="A117" s="8">
        <f t="shared" si="15"/>
        <v>1</v>
      </c>
      <c r="B117" s="8">
        <f>IF(K117=$P$13,'Rule 12'!$M$4,F117-1)</f>
        <v>-1</v>
      </c>
      <c r="C117" s="23">
        <f t="shared" si="9"/>
        <v>-1</v>
      </c>
      <c r="D117" s="21">
        <f t="shared" si="10"/>
        <v>-8.3333333333333329E-2</v>
      </c>
      <c r="E117" s="21" t="e">
        <f t="shared" si="16"/>
        <v>#N/A</v>
      </c>
      <c r="F117" s="8">
        <f>'Leave Record'!G119</f>
        <v>0</v>
      </c>
      <c r="G117" s="8">
        <f>'Leave Record'!H119</f>
        <v>0</v>
      </c>
      <c r="H117" s="23">
        <f t="shared" si="11"/>
        <v>1</v>
      </c>
      <c r="I117" s="23">
        <f t="shared" si="12"/>
        <v>0</v>
      </c>
      <c r="J117" s="21" t="e">
        <f t="shared" si="17"/>
        <v>#N/A</v>
      </c>
      <c r="K117" s="23">
        <f>'Leave Record'!I119</f>
        <v>0</v>
      </c>
      <c r="Q117">
        <f t="shared" si="13"/>
        <v>0</v>
      </c>
      <c r="R117" s="15" t="e">
        <f t="shared" si="14"/>
        <v>#N/A</v>
      </c>
    </row>
    <row r="118" spans="1:18" x14ac:dyDescent="0.25">
      <c r="A118" s="8">
        <f t="shared" si="15"/>
        <v>1</v>
      </c>
      <c r="B118" s="8">
        <f>IF(K118=$P$13,'Rule 12'!$M$4,F118-1)</f>
        <v>-1</v>
      </c>
      <c r="C118" s="23">
        <f t="shared" si="9"/>
        <v>-1</v>
      </c>
      <c r="D118" s="21">
        <f t="shared" si="10"/>
        <v>-8.3333333333333329E-2</v>
      </c>
      <c r="E118" s="21" t="e">
        <f t="shared" si="16"/>
        <v>#N/A</v>
      </c>
      <c r="F118" s="8">
        <f>'Leave Record'!G120</f>
        <v>0</v>
      </c>
      <c r="G118" s="8">
        <f>'Leave Record'!H120</f>
        <v>0</v>
      </c>
      <c r="H118" s="23">
        <f t="shared" si="11"/>
        <v>1</v>
      </c>
      <c r="I118" s="23">
        <f t="shared" si="12"/>
        <v>0</v>
      </c>
      <c r="J118" s="21" t="e">
        <f t="shared" si="17"/>
        <v>#N/A</v>
      </c>
      <c r="K118" s="23">
        <f>'Leave Record'!I120</f>
        <v>0</v>
      </c>
      <c r="Q118">
        <f t="shared" si="13"/>
        <v>0</v>
      </c>
      <c r="R118" s="15" t="e">
        <f t="shared" si="14"/>
        <v>#N/A</v>
      </c>
    </row>
    <row r="119" spans="1:18" x14ac:dyDescent="0.25">
      <c r="A119" s="8">
        <f t="shared" si="15"/>
        <v>1</v>
      </c>
      <c r="B119" s="8">
        <f>IF(K119=$P$13,'Rule 12'!$M$4,F119-1)</f>
        <v>-1</v>
      </c>
      <c r="C119" s="23">
        <f t="shared" si="9"/>
        <v>-1</v>
      </c>
      <c r="D119" s="21">
        <f t="shared" si="10"/>
        <v>-8.3333333333333329E-2</v>
      </c>
      <c r="E119" s="21" t="e">
        <f t="shared" si="16"/>
        <v>#N/A</v>
      </c>
      <c r="F119" s="8">
        <f>'Leave Record'!G121</f>
        <v>0</v>
      </c>
      <c r="G119" s="8">
        <f>'Leave Record'!H121</f>
        <v>0</v>
      </c>
      <c r="H119" s="23">
        <f t="shared" si="11"/>
        <v>1</v>
      </c>
      <c r="I119" s="23">
        <f t="shared" si="12"/>
        <v>0</v>
      </c>
      <c r="J119" s="21" t="e">
        <f t="shared" si="17"/>
        <v>#N/A</v>
      </c>
      <c r="K119" s="23">
        <f>'Leave Record'!I121</f>
        <v>0</v>
      </c>
      <c r="Q119">
        <f t="shared" si="13"/>
        <v>0</v>
      </c>
      <c r="R119" s="15" t="e">
        <f t="shared" si="14"/>
        <v>#N/A</v>
      </c>
    </row>
    <row r="120" spans="1:18" x14ac:dyDescent="0.25">
      <c r="A120" s="8">
        <f t="shared" si="15"/>
        <v>1</v>
      </c>
      <c r="B120" s="8">
        <f>IF(K120=$P$13,'Rule 12'!$M$4,F120-1)</f>
        <v>-1</v>
      </c>
      <c r="C120" s="23">
        <f t="shared" si="9"/>
        <v>-1</v>
      </c>
      <c r="D120" s="21">
        <f t="shared" si="10"/>
        <v>-8.3333333333333329E-2</v>
      </c>
      <c r="E120" s="21" t="e">
        <f t="shared" si="16"/>
        <v>#N/A</v>
      </c>
      <c r="F120" s="8">
        <f>'Leave Record'!G122</f>
        <v>0</v>
      </c>
      <c r="G120" s="8">
        <f>'Leave Record'!H122</f>
        <v>0</v>
      </c>
      <c r="H120" s="23">
        <f t="shared" si="11"/>
        <v>1</v>
      </c>
      <c r="I120" s="23">
        <f t="shared" si="12"/>
        <v>0</v>
      </c>
      <c r="J120" s="21" t="e">
        <f t="shared" si="17"/>
        <v>#N/A</v>
      </c>
      <c r="K120" s="23">
        <f>'Leave Record'!I122</f>
        <v>0</v>
      </c>
      <c r="Q120">
        <f t="shared" si="13"/>
        <v>0</v>
      </c>
      <c r="R120" s="15" t="e">
        <f t="shared" si="14"/>
        <v>#N/A</v>
      </c>
    </row>
    <row r="121" spans="1:18" x14ac:dyDescent="0.25">
      <c r="A121" s="8">
        <f t="shared" si="15"/>
        <v>1</v>
      </c>
      <c r="B121" s="8">
        <f>IF(K121=$P$13,'Rule 12'!$M$4,F121-1)</f>
        <v>-1</v>
      </c>
      <c r="C121" s="23">
        <f t="shared" si="9"/>
        <v>-1</v>
      </c>
      <c r="D121" s="21">
        <f t="shared" si="10"/>
        <v>-8.3333333333333329E-2</v>
      </c>
      <c r="E121" s="21" t="e">
        <f t="shared" si="16"/>
        <v>#N/A</v>
      </c>
      <c r="F121" s="8">
        <f>'Leave Record'!G123</f>
        <v>0</v>
      </c>
      <c r="G121" s="8">
        <f>'Leave Record'!H123</f>
        <v>0</v>
      </c>
      <c r="H121" s="23">
        <f t="shared" si="11"/>
        <v>1</v>
      </c>
      <c r="I121" s="23">
        <f t="shared" si="12"/>
        <v>0</v>
      </c>
      <c r="J121" s="21" t="e">
        <f t="shared" si="17"/>
        <v>#N/A</v>
      </c>
      <c r="K121" s="23">
        <f>'Leave Record'!I123</f>
        <v>0</v>
      </c>
      <c r="Q121">
        <f t="shared" si="13"/>
        <v>0</v>
      </c>
      <c r="R121" s="15" t="e">
        <f t="shared" si="14"/>
        <v>#N/A</v>
      </c>
    </row>
    <row r="122" spans="1:18" x14ac:dyDescent="0.25">
      <c r="A122" s="8">
        <f t="shared" si="15"/>
        <v>1</v>
      </c>
      <c r="B122" s="8">
        <f>IF(K122=$P$13,'Rule 12'!$M$4,F122-1)</f>
        <v>-1</v>
      </c>
      <c r="C122" s="23">
        <f t="shared" si="9"/>
        <v>-1</v>
      </c>
      <c r="D122" s="21">
        <f t="shared" si="10"/>
        <v>-8.3333333333333329E-2</v>
      </c>
      <c r="E122" s="21" t="e">
        <f t="shared" si="16"/>
        <v>#N/A</v>
      </c>
      <c r="F122" s="8">
        <f>'Leave Record'!G124</f>
        <v>0</v>
      </c>
      <c r="G122" s="8">
        <f>'Leave Record'!H124</f>
        <v>0</v>
      </c>
      <c r="H122" s="23">
        <f t="shared" si="11"/>
        <v>1</v>
      </c>
      <c r="I122" s="23">
        <f t="shared" si="12"/>
        <v>0</v>
      </c>
      <c r="J122" s="21" t="e">
        <f t="shared" si="17"/>
        <v>#N/A</v>
      </c>
      <c r="K122" s="23">
        <f>'Leave Record'!I124</f>
        <v>0</v>
      </c>
      <c r="Q122">
        <f t="shared" si="13"/>
        <v>0</v>
      </c>
      <c r="R122" s="15" t="e">
        <f t="shared" si="14"/>
        <v>#N/A</v>
      </c>
    </row>
    <row r="123" spans="1:18" x14ac:dyDescent="0.25">
      <c r="A123" s="8">
        <f t="shared" si="15"/>
        <v>1</v>
      </c>
      <c r="B123" s="8">
        <f>IF(K123=$P$13,'Rule 12'!$M$4,F123-1)</f>
        <v>-1</v>
      </c>
      <c r="C123" s="23">
        <f t="shared" si="9"/>
        <v>-1</v>
      </c>
      <c r="D123" s="21">
        <f t="shared" si="10"/>
        <v>-8.3333333333333329E-2</v>
      </c>
      <c r="E123" s="21" t="e">
        <f t="shared" si="16"/>
        <v>#N/A</v>
      </c>
      <c r="F123" s="8">
        <f>'Leave Record'!G125</f>
        <v>0</v>
      </c>
      <c r="G123" s="8">
        <f>'Leave Record'!H125</f>
        <v>0</v>
      </c>
      <c r="H123" s="23">
        <f t="shared" si="11"/>
        <v>1</v>
      </c>
      <c r="I123" s="23">
        <f t="shared" si="12"/>
        <v>0</v>
      </c>
      <c r="J123" s="21" t="e">
        <f t="shared" si="17"/>
        <v>#N/A</v>
      </c>
      <c r="K123" s="23">
        <f>'Leave Record'!I125</f>
        <v>0</v>
      </c>
      <c r="Q123">
        <f t="shared" si="13"/>
        <v>0</v>
      </c>
      <c r="R123" s="15" t="e">
        <f t="shared" si="14"/>
        <v>#N/A</v>
      </c>
    </row>
    <row r="124" spans="1:18" x14ac:dyDescent="0.25">
      <c r="A124" s="8">
        <f t="shared" si="15"/>
        <v>1</v>
      </c>
      <c r="B124" s="8">
        <f>IF(K124=$P$13,'Rule 12'!$M$4,F124-1)</f>
        <v>-1</v>
      </c>
      <c r="C124" s="23">
        <f t="shared" si="9"/>
        <v>-1</v>
      </c>
      <c r="D124" s="21">
        <f t="shared" si="10"/>
        <v>-8.3333333333333329E-2</v>
      </c>
      <c r="E124" s="21" t="e">
        <f t="shared" si="16"/>
        <v>#N/A</v>
      </c>
      <c r="F124" s="8">
        <f>'Leave Record'!G126</f>
        <v>0</v>
      </c>
      <c r="G124" s="8">
        <f>'Leave Record'!H126</f>
        <v>0</v>
      </c>
      <c r="H124" s="23">
        <f t="shared" si="11"/>
        <v>1</v>
      </c>
      <c r="I124" s="23">
        <f t="shared" si="12"/>
        <v>0</v>
      </c>
      <c r="J124" s="21" t="e">
        <f t="shared" si="17"/>
        <v>#N/A</v>
      </c>
      <c r="K124" s="23">
        <f>'Leave Record'!I126</f>
        <v>0</v>
      </c>
      <c r="Q124">
        <f t="shared" si="13"/>
        <v>0</v>
      </c>
      <c r="R124" s="15" t="e">
        <f t="shared" si="14"/>
        <v>#N/A</v>
      </c>
    </row>
    <row r="125" spans="1:18" x14ac:dyDescent="0.25">
      <c r="A125" s="8">
        <f t="shared" si="15"/>
        <v>1</v>
      </c>
      <c r="B125" s="8">
        <f>IF(K125=$P$13,'Rule 12'!$M$4,F125-1)</f>
        <v>-1</v>
      </c>
      <c r="C125" s="23">
        <f t="shared" si="9"/>
        <v>-1</v>
      </c>
      <c r="D125" s="21">
        <f t="shared" si="10"/>
        <v>-8.3333333333333329E-2</v>
      </c>
      <c r="E125" s="21" t="e">
        <f t="shared" si="16"/>
        <v>#N/A</v>
      </c>
      <c r="F125" s="8">
        <f>'Leave Record'!G127</f>
        <v>0</v>
      </c>
      <c r="G125" s="8">
        <f>'Leave Record'!H127</f>
        <v>0</v>
      </c>
      <c r="H125" s="23">
        <f t="shared" si="11"/>
        <v>1</v>
      </c>
      <c r="I125" s="23">
        <f t="shared" si="12"/>
        <v>0</v>
      </c>
      <c r="J125" s="21" t="e">
        <f t="shared" si="17"/>
        <v>#N/A</v>
      </c>
      <c r="K125" s="23">
        <f>'Leave Record'!I127</f>
        <v>0</v>
      </c>
      <c r="Q125">
        <f t="shared" si="13"/>
        <v>0</v>
      </c>
      <c r="R125" s="15" t="e">
        <f t="shared" si="14"/>
        <v>#N/A</v>
      </c>
    </row>
    <row r="126" spans="1:18" x14ac:dyDescent="0.25">
      <c r="A126" s="8">
        <f t="shared" si="15"/>
        <v>1</v>
      </c>
      <c r="B126" s="8">
        <f>IF(K126=$P$13,'Rule 12'!$M$4,F126-1)</f>
        <v>-1</v>
      </c>
      <c r="C126" s="23">
        <f t="shared" si="9"/>
        <v>-1</v>
      </c>
      <c r="D126" s="21">
        <f t="shared" si="10"/>
        <v>-8.3333333333333329E-2</v>
      </c>
      <c r="E126" s="21" t="e">
        <f t="shared" si="16"/>
        <v>#N/A</v>
      </c>
      <c r="F126" s="8">
        <f>'Leave Record'!G128</f>
        <v>0</v>
      </c>
      <c r="G126" s="8">
        <f>'Leave Record'!H128</f>
        <v>0</v>
      </c>
      <c r="H126" s="23">
        <f t="shared" si="11"/>
        <v>1</v>
      </c>
      <c r="I126" s="23">
        <f t="shared" si="12"/>
        <v>0</v>
      </c>
      <c r="J126" s="21" t="e">
        <f t="shared" si="17"/>
        <v>#N/A</v>
      </c>
      <c r="K126" s="23">
        <f>'Leave Record'!I128</f>
        <v>0</v>
      </c>
      <c r="Q126">
        <f t="shared" si="13"/>
        <v>0</v>
      </c>
      <c r="R126" s="15" t="e">
        <f t="shared" si="14"/>
        <v>#N/A</v>
      </c>
    </row>
    <row r="127" spans="1:18" x14ac:dyDescent="0.25">
      <c r="A127" s="8">
        <f t="shared" si="15"/>
        <v>1</v>
      </c>
      <c r="B127" s="8">
        <f>IF(K127=$P$13,'Rule 12'!$M$4,F127-1)</f>
        <v>-1</v>
      </c>
      <c r="C127" s="23">
        <f t="shared" si="9"/>
        <v>-1</v>
      </c>
      <c r="D127" s="21">
        <f t="shared" si="10"/>
        <v>-8.3333333333333329E-2</v>
      </c>
      <c r="E127" s="21" t="e">
        <f t="shared" si="16"/>
        <v>#N/A</v>
      </c>
      <c r="F127" s="8">
        <f>'Leave Record'!G129</f>
        <v>0</v>
      </c>
      <c r="G127" s="8">
        <f>'Leave Record'!H129</f>
        <v>0</v>
      </c>
      <c r="H127" s="23">
        <f t="shared" si="11"/>
        <v>1</v>
      </c>
      <c r="I127" s="23">
        <f t="shared" si="12"/>
        <v>0</v>
      </c>
      <c r="J127" s="21" t="e">
        <f t="shared" si="17"/>
        <v>#N/A</v>
      </c>
      <c r="K127" s="23">
        <f>'Leave Record'!I129</f>
        <v>0</v>
      </c>
      <c r="Q127">
        <f t="shared" si="13"/>
        <v>0</v>
      </c>
      <c r="R127" s="15" t="e">
        <f t="shared" si="14"/>
        <v>#N/A</v>
      </c>
    </row>
    <row r="128" spans="1:18" x14ac:dyDescent="0.25">
      <c r="A128" s="8">
        <f t="shared" si="15"/>
        <v>1</v>
      </c>
      <c r="B128" s="8">
        <f>IF(K128=$P$13,'Rule 12'!$M$4,F128-1)</f>
        <v>-1</v>
      </c>
      <c r="C128" s="23">
        <f t="shared" si="9"/>
        <v>-1</v>
      </c>
      <c r="D128" s="21">
        <f t="shared" si="10"/>
        <v>-8.3333333333333329E-2</v>
      </c>
      <c r="E128" s="21" t="e">
        <f t="shared" si="16"/>
        <v>#N/A</v>
      </c>
      <c r="F128" s="8">
        <f>'Leave Record'!G130</f>
        <v>0</v>
      </c>
      <c r="G128" s="8">
        <f>'Leave Record'!H130</f>
        <v>0</v>
      </c>
      <c r="H128" s="23">
        <f t="shared" si="11"/>
        <v>1</v>
      </c>
      <c r="I128" s="23">
        <f t="shared" si="12"/>
        <v>0</v>
      </c>
      <c r="J128" s="21" t="e">
        <f t="shared" si="17"/>
        <v>#N/A</v>
      </c>
      <c r="K128" s="23">
        <f>'Leave Record'!I130</f>
        <v>0</v>
      </c>
      <c r="Q128">
        <f t="shared" si="13"/>
        <v>0</v>
      </c>
      <c r="R128" s="15" t="e">
        <f t="shared" si="14"/>
        <v>#N/A</v>
      </c>
    </row>
    <row r="129" spans="1:18" x14ac:dyDescent="0.25">
      <c r="A129" s="8">
        <f t="shared" si="15"/>
        <v>1</v>
      </c>
      <c r="B129" s="8">
        <f>IF(K129=$P$13,'Rule 12'!$M$4,F129-1)</f>
        <v>-1</v>
      </c>
      <c r="C129" s="23">
        <f t="shared" si="9"/>
        <v>-1</v>
      </c>
      <c r="D129" s="21">
        <f t="shared" si="10"/>
        <v>-8.3333333333333329E-2</v>
      </c>
      <c r="E129" s="21" t="e">
        <f t="shared" si="16"/>
        <v>#N/A</v>
      </c>
      <c r="F129" s="8">
        <f>'Leave Record'!G131</f>
        <v>0</v>
      </c>
      <c r="G129" s="8">
        <f>'Leave Record'!H131</f>
        <v>0</v>
      </c>
      <c r="H129" s="23">
        <f t="shared" si="11"/>
        <v>1</v>
      </c>
      <c r="I129" s="23">
        <f t="shared" si="12"/>
        <v>0</v>
      </c>
      <c r="J129" s="21" t="e">
        <f t="shared" si="17"/>
        <v>#N/A</v>
      </c>
      <c r="K129" s="23">
        <f>'Leave Record'!I131</f>
        <v>0</v>
      </c>
      <c r="Q129">
        <f t="shared" si="13"/>
        <v>0</v>
      </c>
      <c r="R129" s="15" t="e">
        <f t="shared" si="14"/>
        <v>#N/A</v>
      </c>
    </row>
    <row r="130" spans="1:18" x14ac:dyDescent="0.25">
      <c r="A130" s="8">
        <f t="shared" si="15"/>
        <v>1</v>
      </c>
      <c r="B130" s="8">
        <f>IF(K130=$P$13,'Rule 12'!$M$4,F130-1)</f>
        <v>-1</v>
      </c>
      <c r="C130" s="23">
        <f t="shared" si="9"/>
        <v>-1</v>
      </c>
      <c r="D130" s="21">
        <f t="shared" si="10"/>
        <v>-8.3333333333333329E-2</v>
      </c>
      <c r="E130" s="21" t="e">
        <f t="shared" si="16"/>
        <v>#N/A</v>
      </c>
      <c r="F130" s="8">
        <f>'Leave Record'!G132</f>
        <v>0</v>
      </c>
      <c r="G130" s="8">
        <f>'Leave Record'!H132</f>
        <v>0</v>
      </c>
      <c r="H130" s="23">
        <f t="shared" si="11"/>
        <v>1</v>
      </c>
      <c r="I130" s="23">
        <f t="shared" si="12"/>
        <v>0</v>
      </c>
      <c r="J130" s="21" t="e">
        <f t="shared" si="17"/>
        <v>#N/A</v>
      </c>
      <c r="K130" s="23">
        <f>'Leave Record'!I132</f>
        <v>0</v>
      </c>
      <c r="Q130">
        <f t="shared" si="13"/>
        <v>0</v>
      </c>
      <c r="R130" s="15" t="e">
        <f t="shared" si="14"/>
        <v>#N/A</v>
      </c>
    </row>
    <row r="131" spans="1:18" x14ac:dyDescent="0.25">
      <c r="A131" s="8">
        <f t="shared" si="15"/>
        <v>1</v>
      </c>
      <c r="B131" s="8">
        <f>IF(K131=$P$13,'Rule 12'!$M$4,F131-1)</f>
        <v>-1</v>
      </c>
      <c r="C131" s="23">
        <f t="shared" si="9"/>
        <v>-1</v>
      </c>
      <c r="D131" s="21">
        <f t="shared" si="10"/>
        <v>-8.3333333333333329E-2</v>
      </c>
      <c r="E131" s="21" t="e">
        <f t="shared" si="16"/>
        <v>#N/A</v>
      </c>
      <c r="F131" s="8">
        <f>'Leave Record'!G133</f>
        <v>0</v>
      </c>
      <c r="G131" s="8">
        <f>'Leave Record'!H133</f>
        <v>0</v>
      </c>
      <c r="H131" s="23">
        <f t="shared" si="11"/>
        <v>1</v>
      </c>
      <c r="I131" s="23">
        <f t="shared" si="12"/>
        <v>0</v>
      </c>
      <c r="J131" s="21" t="e">
        <f t="shared" si="17"/>
        <v>#N/A</v>
      </c>
      <c r="K131" s="23">
        <f>'Leave Record'!I133</f>
        <v>0</v>
      </c>
      <c r="Q131">
        <f t="shared" si="13"/>
        <v>0</v>
      </c>
      <c r="R131" s="15" t="e">
        <f t="shared" si="14"/>
        <v>#N/A</v>
      </c>
    </row>
    <row r="132" spans="1:18" x14ac:dyDescent="0.25">
      <c r="A132" s="8">
        <f t="shared" si="15"/>
        <v>1</v>
      </c>
      <c r="B132" s="8">
        <f>IF(K132=$P$13,'Rule 12'!$M$4,F132-1)</f>
        <v>-1</v>
      </c>
      <c r="C132" s="23">
        <f t="shared" si="9"/>
        <v>-1</v>
      </c>
      <c r="D132" s="21">
        <f t="shared" si="10"/>
        <v>-8.3333333333333329E-2</v>
      </c>
      <c r="E132" s="21" t="e">
        <f t="shared" si="16"/>
        <v>#N/A</v>
      </c>
      <c r="F132" s="8">
        <f>'Leave Record'!G134</f>
        <v>0</v>
      </c>
      <c r="G132" s="8">
        <f>'Leave Record'!H134</f>
        <v>0</v>
      </c>
      <c r="H132" s="23">
        <f t="shared" si="11"/>
        <v>1</v>
      </c>
      <c r="I132" s="23">
        <f t="shared" si="12"/>
        <v>0</v>
      </c>
      <c r="J132" s="21" t="e">
        <f t="shared" si="17"/>
        <v>#N/A</v>
      </c>
      <c r="K132" s="23">
        <f>'Leave Record'!I134</f>
        <v>0</v>
      </c>
      <c r="Q132">
        <f t="shared" si="13"/>
        <v>0</v>
      </c>
      <c r="R132" s="15" t="e">
        <f t="shared" si="14"/>
        <v>#N/A</v>
      </c>
    </row>
    <row r="133" spans="1:18" x14ac:dyDescent="0.25">
      <c r="A133" s="8">
        <f t="shared" si="15"/>
        <v>1</v>
      </c>
      <c r="B133" s="8">
        <f>IF(K133=$P$13,'Rule 12'!$M$4,F133-1)</f>
        <v>-1</v>
      </c>
      <c r="C133" s="23">
        <f t="shared" si="9"/>
        <v>-1</v>
      </c>
      <c r="D133" s="21">
        <f t="shared" si="10"/>
        <v>-8.3333333333333329E-2</v>
      </c>
      <c r="E133" s="21" t="e">
        <f t="shared" si="16"/>
        <v>#N/A</v>
      </c>
      <c r="F133" s="8">
        <f>'Leave Record'!G135</f>
        <v>0</v>
      </c>
      <c r="G133" s="8">
        <f>'Leave Record'!H135</f>
        <v>0</v>
      </c>
      <c r="H133" s="23">
        <f t="shared" si="11"/>
        <v>1</v>
      </c>
      <c r="I133" s="23">
        <f t="shared" si="12"/>
        <v>0</v>
      </c>
      <c r="J133" s="21" t="e">
        <f t="shared" si="17"/>
        <v>#N/A</v>
      </c>
      <c r="K133" s="23">
        <f>'Leave Record'!I135</f>
        <v>0</v>
      </c>
      <c r="Q133">
        <f t="shared" si="13"/>
        <v>0</v>
      </c>
      <c r="R133" s="15" t="e">
        <f t="shared" si="14"/>
        <v>#N/A</v>
      </c>
    </row>
    <row r="134" spans="1:18" x14ac:dyDescent="0.25">
      <c r="A134" s="8">
        <f t="shared" si="15"/>
        <v>1</v>
      </c>
      <c r="B134" s="8">
        <f>IF(K134=$P$13,'Rule 12'!$M$4,F134-1)</f>
        <v>-1</v>
      </c>
      <c r="C134" s="23">
        <f t="shared" ref="C134:C197" si="18">_xlfn.DAYS(B134+1,A134)</f>
        <v>-1</v>
      </c>
      <c r="D134" s="21">
        <f t="shared" ref="D134:D197" si="19">C134/12</f>
        <v>-8.3333333333333329E-2</v>
      </c>
      <c r="E134" s="21" t="e">
        <f t="shared" si="16"/>
        <v>#N/A</v>
      </c>
      <c r="F134" s="8">
        <f>'Leave Record'!G136</f>
        <v>0</v>
      </c>
      <c r="G134" s="8">
        <f>'Leave Record'!H136</f>
        <v>0</v>
      </c>
      <c r="H134" s="23">
        <f t="shared" ref="H134:H197" si="20">_xlfn.DAYS(G134+1,F134)</f>
        <v>1</v>
      </c>
      <c r="I134" s="23">
        <f t="shared" ref="I134:I197" si="21">IF(K134=$P$14,H134,0)</f>
        <v>0</v>
      </c>
      <c r="J134" s="21" t="e">
        <f t="shared" si="17"/>
        <v>#N/A</v>
      </c>
      <c r="K134" s="23">
        <f>'Leave Record'!I136</f>
        <v>0</v>
      </c>
      <c r="Q134">
        <f t="shared" ref="Q134:Q197" si="22">K134</f>
        <v>0</v>
      </c>
      <c r="R134" s="15" t="e">
        <f t="shared" ref="R134:R197" si="23">J134</f>
        <v>#N/A</v>
      </c>
    </row>
    <row r="135" spans="1:18" x14ac:dyDescent="0.25">
      <c r="A135" s="8">
        <f t="shared" ref="A135:A198" si="24">G134+1</f>
        <v>1</v>
      </c>
      <c r="B135" s="8">
        <f>IF(K135=$P$13,'Rule 12'!$M$4,F135-1)</f>
        <v>-1</v>
      </c>
      <c r="C135" s="23">
        <f t="shared" si="18"/>
        <v>-1</v>
      </c>
      <c r="D135" s="21">
        <f t="shared" si="19"/>
        <v>-8.3333333333333329E-2</v>
      </c>
      <c r="E135" s="21" t="e">
        <f t="shared" ref="E135:E198" si="25">J134+D135</f>
        <v>#N/A</v>
      </c>
      <c r="F135" s="8">
        <f>'Leave Record'!G137</f>
        <v>0</v>
      </c>
      <c r="G135" s="8">
        <f>'Leave Record'!H137</f>
        <v>0</v>
      </c>
      <c r="H135" s="23">
        <f t="shared" si="20"/>
        <v>1</v>
      </c>
      <c r="I135" s="23">
        <f t="shared" si="21"/>
        <v>0</v>
      </c>
      <c r="J135" s="21" t="e">
        <f t="shared" ref="J135:J198" si="26">E135-I135</f>
        <v>#N/A</v>
      </c>
      <c r="K135" s="23">
        <f>'Leave Record'!I137</f>
        <v>0</v>
      </c>
      <c r="Q135">
        <f t="shared" si="22"/>
        <v>0</v>
      </c>
      <c r="R135" s="15" t="e">
        <f t="shared" si="23"/>
        <v>#N/A</v>
      </c>
    </row>
    <row r="136" spans="1:18" x14ac:dyDescent="0.25">
      <c r="A136" s="8">
        <f t="shared" si="24"/>
        <v>1</v>
      </c>
      <c r="B136" s="8">
        <f>IF(K136=$P$13,'Rule 12'!$M$4,F136-1)</f>
        <v>-1</v>
      </c>
      <c r="C136" s="23">
        <f t="shared" si="18"/>
        <v>-1</v>
      </c>
      <c r="D136" s="21">
        <f t="shared" si="19"/>
        <v>-8.3333333333333329E-2</v>
      </c>
      <c r="E136" s="21" t="e">
        <f t="shared" si="25"/>
        <v>#N/A</v>
      </c>
      <c r="F136" s="8">
        <f>'Leave Record'!G138</f>
        <v>0</v>
      </c>
      <c r="G136" s="8">
        <f>'Leave Record'!H138</f>
        <v>0</v>
      </c>
      <c r="H136" s="23">
        <f t="shared" si="20"/>
        <v>1</v>
      </c>
      <c r="I136" s="23">
        <f t="shared" si="21"/>
        <v>0</v>
      </c>
      <c r="J136" s="21" t="e">
        <f t="shared" si="26"/>
        <v>#N/A</v>
      </c>
      <c r="K136" s="23">
        <f>'Leave Record'!I138</f>
        <v>0</v>
      </c>
      <c r="Q136">
        <f t="shared" si="22"/>
        <v>0</v>
      </c>
      <c r="R136" s="15" t="e">
        <f t="shared" si="23"/>
        <v>#N/A</v>
      </c>
    </row>
    <row r="137" spans="1:18" x14ac:dyDescent="0.25">
      <c r="A137" s="8">
        <f t="shared" si="24"/>
        <v>1</v>
      </c>
      <c r="B137" s="8">
        <f>IF(K137=$P$13,'Rule 12'!$M$4,F137-1)</f>
        <v>-1</v>
      </c>
      <c r="C137" s="23">
        <f t="shared" si="18"/>
        <v>-1</v>
      </c>
      <c r="D137" s="21">
        <f t="shared" si="19"/>
        <v>-8.3333333333333329E-2</v>
      </c>
      <c r="E137" s="21" t="e">
        <f t="shared" si="25"/>
        <v>#N/A</v>
      </c>
      <c r="F137" s="8">
        <f>'Leave Record'!G139</f>
        <v>0</v>
      </c>
      <c r="G137" s="8">
        <f>'Leave Record'!H139</f>
        <v>0</v>
      </c>
      <c r="H137" s="23">
        <f t="shared" si="20"/>
        <v>1</v>
      </c>
      <c r="I137" s="23">
        <f t="shared" si="21"/>
        <v>0</v>
      </c>
      <c r="J137" s="21" t="e">
        <f t="shared" si="26"/>
        <v>#N/A</v>
      </c>
      <c r="K137" s="23">
        <f>'Leave Record'!I139</f>
        <v>0</v>
      </c>
      <c r="Q137">
        <f t="shared" si="22"/>
        <v>0</v>
      </c>
      <c r="R137" s="15" t="e">
        <f t="shared" si="23"/>
        <v>#N/A</v>
      </c>
    </row>
    <row r="138" spans="1:18" x14ac:dyDescent="0.25">
      <c r="A138" s="8">
        <f t="shared" si="24"/>
        <v>1</v>
      </c>
      <c r="B138" s="8">
        <f>IF(K138=$P$13,'Rule 12'!$M$4,F138-1)</f>
        <v>-1</v>
      </c>
      <c r="C138" s="23">
        <f t="shared" si="18"/>
        <v>-1</v>
      </c>
      <c r="D138" s="21">
        <f t="shared" si="19"/>
        <v>-8.3333333333333329E-2</v>
      </c>
      <c r="E138" s="21" t="e">
        <f t="shared" si="25"/>
        <v>#N/A</v>
      </c>
      <c r="F138" s="8">
        <f>'Leave Record'!G140</f>
        <v>0</v>
      </c>
      <c r="G138" s="8">
        <f>'Leave Record'!H140</f>
        <v>0</v>
      </c>
      <c r="H138" s="23">
        <f t="shared" si="20"/>
        <v>1</v>
      </c>
      <c r="I138" s="23">
        <f t="shared" si="21"/>
        <v>0</v>
      </c>
      <c r="J138" s="21" t="e">
        <f t="shared" si="26"/>
        <v>#N/A</v>
      </c>
      <c r="K138" s="23">
        <f>'Leave Record'!I140</f>
        <v>0</v>
      </c>
      <c r="Q138">
        <f t="shared" si="22"/>
        <v>0</v>
      </c>
      <c r="R138" s="15" t="e">
        <f t="shared" si="23"/>
        <v>#N/A</v>
      </c>
    </row>
    <row r="139" spans="1:18" x14ac:dyDescent="0.25">
      <c r="A139" s="8">
        <f t="shared" si="24"/>
        <v>1</v>
      </c>
      <c r="B139" s="8">
        <f>IF(K139=$P$13,'Rule 12'!$M$4,F139-1)</f>
        <v>-1</v>
      </c>
      <c r="C139" s="23">
        <f t="shared" si="18"/>
        <v>-1</v>
      </c>
      <c r="D139" s="21">
        <f t="shared" si="19"/>
        <v>-8.3333333333333329E-2</v>
      </c>
      <c r="E139" s="21" t="e">
        <f t="shared" si="25"/>
        <v>#N/A</v>
      </c>
      <c r="F139" s="8">
        <f>'Leave Record'!G141</f>
        <v>0</v>
      </c>
      <c r="G139" s="8">
        <f>'Leave Record'!H141</f>
        <v>0</v>
      </c>
      <c r="H139" s="23">
        <f t="shared" si="20"/>
        <v>1</v>
      </c>
      <c r="I139" s="23">
        <f t="shared" si="21"/>
        <v>0</v>
      </c>
      <c r="J139" s="21" t="e">
        <f t="shared" si="26"/>
        <v>#N/A</v>
      </c>
      <c r="K139" s="23">
        <f>'Leave Record'!I141</f>
        <v>0</v>
      </c>
      <c r="Q139">
        <f t="shared" si="22"/>
        <v>0</v>
      </c>
      <c r="R139" s="15" t="e">
        <f t="shared" si="23"/>
        <v>#N/A</v>
      </c>
    </row>
    <row r="140" spans="1:18" x14ac:dyDescent="0.25">
      <c r="A140" s="8">
        <f t="shared" si="24"/>
        <v>1</v>
      </c>
      <c r="B140" s="8">
        <f>IF(K140=$P$13,'Rule 12'!$M$4,F140-1)</f>
        <v>-1</v>
      </c>
      <c r="C140" s="23">
        <f t="shared" si="18"/>
        <v>-1</v>
      </c>
      <c r="D140" s="21">
        <f t="shared" si="19"/>
        <v>-8.3333333333333329E-2</v>
      </c>
      <c r="E140" s="21" t="e">
        <f t="shared" si="25"/>
        <v>#N/A</v>
      </c>
      <c r="F140" s="8">
        <f>'Leave Record'!G142</f>
        <v>0</v>
      </c>
      <c r="G140" s="8">
        <f>'Leave Record'!H142</f>
        <v>0</v>
      </c>
      <c r="H140" s="23">
        <f t="shared" si="20"/>
        <v>1</v>
      </c>
      <c r="I140" s="23">
        <f t="shared" si="21"/>
        <v>0</v>
      </c>
      <c r="J140" s="21" t="e">
        <f t="shared" si="26"/>
        <v>#N/A</v>
      </c>
      <c r="K140" s="23">
        <f>'Leave Record'!I142</f>
        <v>0</v>
      </c>
      <c r="Q140">
        <f t="shared" si="22"/>
        <v>0</v>
      </c>
      <c r="R140" s="15" t="e">
        <f t="shared" si="23"/>
        <v>#N/A</v>
      </c>
    </row>
    <row r="141" spans="1:18" x14ac:dyDescent="0.25">
      <c r="A141" s="8">
        <f t="shared" si="24"/>
        <v>1</v>
      </c>
      <c r="B141" s="8">
        <f>IF(K141=$P$13,'Rule 12'!$M$4,F141-1)</f>
        <v>-1</v>
      </c>
      <c r="C141" s="23">
        <f t="shared" si="18"/>
        <v>-1</v>
      </c>
      <c r="D141" s="21">
        <f t="shared" si="19"/>
        <v>-8.3333333333333329E-2</v>
      </c>
      <c r="E141" s="21" t="e">
        <f t="shared" si="25"/>
        <v>#N/A</v>
      </c>
      <c r="F141" s="8">
        <f>'Leave Record'!G143</f>
        <v>0</v>
      </c>
      <c r="G141" s="8">
        <f>'Leave Record'!H143</f>
        <v>0</v>
      </c>
      <c r="H141" s="23">
        <f t="shared" si="20"/>
        <v>1</v>
      </c>
      <c r="I141" s="23">
        <f t="shared" si="21"/>
        <v>0</v>
      </c>
      <c r="J141" s="21" t="e">
        <f t="shared" si="26"/>
        <v>#N/A</v>
      </c>
      <c r="K141" s="23">
        <f>'Leave Record'!I143</f>
        <v>0</v>
      </c>
      <c r="Q141">
        <f t="shared" si="22"/>
        <v>0</v>
      </c>
      <c r="R141" s="15" t="e">
        <f t="shared" si="23"/>
        <v>#N/A</v>
      </c>
    </row>
    <row r="142" spans="1:18" x14ac:dyDescent="0.25">
      <c r="A142" s="8">
        <f t="shared" si="24"/>
        <v>1</v>
      </c>
      <c r="B142" s="8">
        <f>IF(K142=$P$13,'Rule 12'!$M$4,F142-1)</f>
        <v>-1</v>
      </c>
      <c r="C142" s="23">
        <f t="shared" si="18"/>
        <v>-1</v>
      </c>
      <c r="D142" s="21">
        <f t="shared" si="19"/>
        <v>-8.3333333333333329E-2</v>
      </c>
      <c r="E142" s="21" t="e">
        <f t="shared" si="25"/>
        <v>#N/A</v>
      </c>
      <c r="F142" s="8">
        <f>'Leave Record'!G144</f>
        <v>0</v>
      </c>
      <c r="G142" s="8">
        <f>'Leave Record'!H144</f>
        <v>0</v>
      </c>
      <c r="H142" s="23">
        <f t="shared" si="20"/>
        <v>1</v>
      </c>
      <c r="I142" s="23">
        <f t="shared" si="21"/>
        <v>0</v>
      </c>
      <c r="J142" s="21" t="e">
        <f t="shared" si="26"/>
        <v>#N/A</v>
      </c>
      <c r="K142" s="23">
        <f>'Leave Record'!I144</f>
        <v>0</v>
      </c>
      <c r="Q142">
        <f t="shared" si="22"/>
        <v>0</v>
      </c>
      <c r="R142" s="15" t="e">
        <f t="shared" si="23"/>
        <v>#N/A</v>
      </c>
    </row>
    <row r="143" spans="1:18" x14ac:dyDescent="0.25">
      <c r="A143" s="8">
        <f t="shared" si="24"/>
        <v>1</v>
      </c>
      <c r="B143" s="8">
        <f>IF(K143=$P$13,'Rule 12'!$M$4,F143-1)</f>
        <v>-1</v>
      </c>
      <c r="C143" s="23">
        <f t="shared" si="18"/>
        <v>-1</v>
      </c>
      <c r="D143" s="21">
        <f t="shared" si="19"/>
        <v>-8.3333333333333329E-2</v>
      </c>
      <c r="E143" s="21" t="e">
        <f t="shared" si="25"/>
        <v>#N/A</v>
      </c>
      <c r="F143" s="8">
        <f>'Leave Record'!G145</f>
        <v>0</v>
      </c>
      <c r="G143" s="8">
        <f>'Leave Record'!H145</f>
        <v>0</v>
      </c>
      <c r="H143" s="23">
        <f t="shared" si="20"/>
        <v>1</v>
      </c>
      <c r="I143" s="23">
        <f t="shared" si="21"/>
        <v>0</v>
      </c>
      <c r="J143" s="21" t="e">
        <f t="shared" si="26"/>
        <v>#N/A</v>
      </c>
      <c r="K143" s="23">
        <f>'Leave Record'!I145</f>
        <v>0</v>
      </c>
      <c r="Q143">
        <f t="shared" si="22"/>
        <v>0</v>
      </c>
      <c r="R143" s="15" t="e">
        <f t="shared" si="23"/>
        <v>#N/A</v>
      </c>
    </row>
    <row r="144" spans="1:18" x14ac:dyDescent="0.25">
      <c r="A144" s="8">
        <f t="shared" si="24"/>
        <v>1</v>
      </c>
      <c r="B144" s="8">
        <f>IF(K144=$P$13,'Rule 12'!$M$4,F144-1)</f>
        <v>-1</v>
      </c>
      <c r="C144" s="23">
        <f t="shared" si="18"/>
        <v>-1</v>
      </c>
      <c r="D144" s="21">
        <f t="shared" si="19"/>
        <v>-8.3333333333333329E-2</v>
      </c>
      <c r="E144" s="21" t="e">
        <f t="shared" si="25"/>
        <v>#N/A</v>
      </c>
      <c r="F144" s="8">
        <f>'Leave Record'!G146</f>
        <v>0</v>
      </c>
      <c r="G144" s="8">
        <f>'Leave Record'!H146</f>
        <v>0</v>
      </c>
      <c r="H144" s="23">
        <f t="shared" si="20"/>
        <v>1</v>
      </c>
      <c r="I144" s="23">
        <f t="shared" si="21"/>
        <v>0</v>
      </c>
      <c r="J144" s="21" t="e">
        <f t="shared" si="26"/>
        <v>#N/A</v>
      </c>
      <c r="K144" s="23">
        <f>'Leave Record'!I146</f>
        <v>0</v>
      </c>
      <c r="Q144">
        <f t="shared" si="22"/>
        <v>0</v>
      </c>
      <c r="R144" s="15" t="e">
        <f t="shared" si="23"/>
        <v>#N/A</v>
      </c>
    </row>
    <row r="145" spans="1:18" x14ac:dyDescent="0.25">
      <c r="A145" s="8">
        <f t="shared" si="24"/>
        <v>1</v>
      </c>
      <c r="B145" s="8">
        <f>IF(K145=$P$13,'Rule 12'!$M$4,F145-1)</f>
        <v>-1</v>
      </c>
      <c r="C145" s="23">
        <f t="shared" si="18"/>
        <v>-1</v>
      </c>
      <c r="D145" s="21">
        <f t="shared" si="19"/>
        <v>-8.3333333333333329E-2</v>
      </c>
      <c r="E145" s="21" t="e">
        <f t="shared" si="25"/>
        <v>#N/A</v>
      </c>
      <c r="F145" s="8">
        <f>'Leave Record'!G147</f>
        <v>0</v>
      </c>
      <c r="G145" s="8">
        <f>'Leave Record'!H147</f>
        <v>0</v>
      </c>
      <c r="H145" s="23">
        <f t="shared" si="20"/>
        <v>1</v>
      </c>
      <c r="I145" s="23">
        <f t="shared" si="21"/>
        <v>0</v>
      </c>
      <c r="J145" s="21" t="e">
        <f t="shared" si="26"/>
        <v>#N/A</v>
      </c>
      <c r="K145" s="23">
        <f>'Leave Record'!I147</f>
        <v>0</v>
      </c>
      <c r="Q145">
        <f t="shared" si="22"/>
        <v>0</v>
      </c>
      <c r="R145" s="15" t="e">
        <f t="shared" si="23"/>
        <v>#N/A</v>
      </c>
    </row>
    <row r="146" spans="1:18" x14ac:dyDescent="0.25">
      <c r="A146" s="8">
        <f t="shared" si="24"/>
        <v>1</v>
      </c>
      <c r="B146" s="8">
        <f>IF(K146=$P$13,'Rule 12'!$M$4,F146-1)</f>
        <v>-1</v>
      </c>
      <c r="C146" s="23">
        <f t="shared" si="18"/>
        <v>-1</v>
      </c>
      <c r="D146" s="21">
        <f t="shared" si="19"/>
        <v>-8.3333333333333329E-2</v>
      </c>
      <c r="E146" s="21" t="e">
        <f t="shared" si="25"/>
        <v>#N/A</v>
      </c>
      <c r="F146" s="8">
        <f>'Leave Record'!G148</f>
        <v>0</v>
      </c>
      <c r="G146" s="8">
        <f>'Leave Record'!H148</f>
        <v>0</v>
      </c>
      <c r="H146" s="23">
        <f t="shared" si="20"/>
        <v>1</v>
      </c>
      <c r="I146" s="23">
        <f t="shared" si="21"/>
        <v>0</v>
      </c>
      <c r="J146" s="21" t="e">
        <f t="shared" si="26"/>
        <v>#N/A</v>
      </c>
      <c r="K146" s="23">
        <f>'Leave Record'!I148</f>
        <v>0</v>
      </c>
      <c r="Q146">
        <f t="shared" si="22"/>
        <v>0</v>
      </c>
      <c r="R146" s="15" t="e">
        <f t="shared" si="23"/>
        <v>#N/A</v>
      </c>
    </row>
    <row r="147" spans="1:18" x14ac:dyDescent="0.25">
      <c r="A147" s="8">
        <f t="shared" si="24"/>
        <v>1</v>
      </c>
      <c r="B147" s="8">
        <f>IF(K147=$P$13,'Rule 12'!$M$4,F147-1)</f>
        <v>-1</v>
      </c>
      <c r="C147" s="23">
        <f t="shared" si="18"/>
        <v>-1</v>
      </c>
      <c r="D147" s="21">
        <f t="shared" si="19"/>
        <v>-8.3333333333333329E-2</v>
      </c>
      <c r="E147" s="21" t="e">
        <f t="shared" si="25"/>
        <v>#N/A</v>
      </c>
      <c r="F147" s="8">
        <f>'Leave Record'!G149</f>
        <v>0</v>
      </c>
      <c r="G147" s="8">
        <f>'Leave Record'!H149</f>
        <v>0</v>
      </c>
      <c r="H147" s="23">
        <f t="shared" si="20"/>
        <v>1</v>
      </c>
      <c r="I147" s="23">
        <f t="shared" si="21"/>
        <v>0</v>
      </c>
      <c r="J147" s="21" t="e">
        <f t="shared" si="26"/>
        <v>#N/A</v>
      </c>
      <c r="K147" s="23">
        <f>'Leave Record'!I149</f>
        <v>0</v>
      </c>
      <c r="Q147">
        <f t="shared" si="22"/>
        <v>0</v>
      </c>
      <c r="R147" s="15" t="e">
        <f t="shared" si="23"/>
        <v>#N/A</v>
      </c>
    </row>
    <row r="148" spans="1:18" x14ac:dyDescent="0.25">
      <c r="A148" s="8">
        <f t="shared" si="24"/>
        <v>1</v>
      </c>
      <c r="B148" s="8">
        <f>IF(K148=$P$13,'Rule 12'!$M$4,F148-1)</f>
        <v>-1</v>
      </c>
      <c r="C148" s="23">
        <f t="shared" si="18"/>
        <v>-1</v>
      </c>
      <c r="D148" s="21">
        <f t="shared" si="19"/>
        <v>-8.3333333333333329E-2</v>
      </c>
      <c r="E148" s="21" t="e">
        <f t="shared" si="25"/>
        <v>#N/A</v>
      </c>
      <c r="F148" s="8">
        <f>'Leave Record'!G150</f>
        <v>0</v>
      </c>
      <c r="G148" s="8">
        <f>'Leave Record'!H150</f>
        <v>0</v>
      </c>
      <c r="H148" s="23">
        <f t="shared" si="20"/>
        <v>1</v>
      </c>
      <c r="I148" s="23">
        <f t="shared" si="21"/>
        <v>0</v>
      </c>
      <c r="J148" s="21" t="e">
        <f t="shared" si="26"/>
        <v>#N/A</v>
      </c>
      <c r="K148" s="23">
        <f>'Leave Record'!I150</f>
        <v>0</v>
      </c>
      <c r="Q148">
        <f t="shared" si="22"/>
        <v>0</v>
      </c>
      <c r="R148" s="15" t="e">
        <f t="shared" si="23"/>
        <v>#N/A</v>
      </c>
    </row>
    <row r="149" spans="1:18" x14ac:dyDescent="0.25">
      <c r="A149" s="8">
        <f t="shared" si="24"/>
        <v>1</v>
      </c>
      <c r="B149" s="8">
        <f>IF(K149=$P$13,'Rule 12'!$M$4,F149-1)</f>
        <v>-1</v>
      </c>
      <c r="C149" s="23">
        <f t="shared" si="18"/>
        <v>-1</v>
      </c>
      <c r="D149" s="21">
        <f t="shared" si="19"/>
        <v>-8.3333333333333329E-2</v>
      </c>
      <c r="E149" s="21" t="e">
        <f t="shared" si="25"/>
        <v>#N/A</v>
      </c>
      <c r="F149" s="8">
        <f>'Leave Record'!G151</f>
        <v>0</v>
      </c>
      <c r="G149" s="8">
        <f>'Leave Record'!H151</f>
        <v>0</v>
      </c>
      <c r="H149" s="23">
        <f t="shared" si="20"/>
        <v>1</v>
      </c>
      <c r="I149" s="23">
        <f t="shared" si="21"/>
        <v>0</v>
      </c>
      <c r="J149" s="21" t="e">
        <f t="shared" si="26"/>
        <v>#N/A</v>
      </c>
      <c r="K149" s="23">
        <f>'Leave Record'!I151</f>
        <v>0</v>
      </c>
      <c r="Q149">
        <f t="shared" si="22"/>
        <v>0</v>
      </c>
      <c r="R149" s="15" t="e">
        <f t="shared" si="23"/>
        <v>#N/A</v>
      </c>
    </row>
    <row r="150" spans="1:18" x14ac:dyDescent="0.25">
      <c r="A150" s="8">
        <f t="shared" si="24"/>
        <v>1</v>
      </c>
      <c r="B150" s="8">
        <f>IF(K150=$P$13,'Rule 12'!$M$4,F150-1)</f>
        <v>-1</v>
      </c>
      <c r="C150" s="23">
        <f t="shared" si="18"/>
        <v>-1</v>
      </c>
      <c r="D150" s="21">
        <f t="shared" si="19"/>
        <v>-8.3333333333333329E-2</v>
      </c>
      <c r="E150" s="21" t="e">
        <f t="shared" si="25"/>
        <v>#N/A</v>
      </c>
      <c r="F150" s="8">
        <f>'Leave Record'!G152</f>
        <v>0</v>
      </c>
      <c r="G150" s="8">
        <f>'Leave Record'!H152</f>
        <v>0</v>
      </c>
      <c r="H150" s="23">
        <f t="shared" si="20"/>
        <v>1</v>
      </c>
      <c r="I150" s="23">
        <f t="shared" si="21"/>
        <v>0</v>
      </c>
      <c r="J150" s="21" t="e">
        <f t="shared" si="26"/>
        <v>#N/A</v>
      </c>
      <c r="K150" s="23">
        <f>'Leave Record'!I152</f>
        <v>0</v>
      </c>
      <c r="Q150">
        <f t="shared" si="22"/>
        <v>0</v>
      </c>
      <c r="R150" s="15" t="e">
        <f t="shared" si="23"/>
        <v>#N/A</v>
      </c>
    </row>
    <row r="151" spans="1:18" x14ac:dyDescent="0.25">
      <c r="A151" s="8">
        <f t="shared" si="24"/>
        <v>1</v>
      </c>
      <c r="B151" s="8">
        <f>IF(K151=$P$13,'Rule 12'!$M$4,F151-1)</f>
        <v>-1</v>
      </c>
      <c r="C151" s="23">
        <f t="shared" si="18"/>
        <v>-1</v>
      </c>
      <c r="D151" s="21">
        <f t="shared" si="19"/>
        <v>-8.3333333333333329E-2</v>
      </c>
      <c r="E151" s="21" t="e">
        <f t="shared" si="25"/>
        <v>#N/A</v>
      </c>
      <c r="F151" s="8">
        <f>'Leave Record'!G153</f>
        <v>0</v>
      </c>
      <c r="G151" s="8">
        <f>'Leave Record'!H153</f>
        <v>0</v>
      </c>
      <c r="H151" s="23">
        <f t="shared" si="20"/>
        <v>1</v>
      </c>
      <c r="I151" s="23">
        <f t="shared" si="21"/>
        <v>0</v>
      </c>
      <c r="J151" s="21" t="e">
        <f t="shared" si="26"/>
        <v>#N/A</v>
      </c>
      <c r="K151" s="23">
        <f>'Leave Record'!I153</f>
        <v>0</v>
      </c>
      <c r="Q151">
        <f t="shared" si="22"/>
        <v>0</v>
      </c>
      <c r="R151" s="15" t="e">
        <f t="shared" si="23"/>
        <v>#N/A</v>
      </c>
    </row>
    <row r="152" spans="1:18" x14ac:dyDescent="0.25">
      <c r="A152" s="8">
        <f t="shared" si="24"/>
        <v>1</v>
      </c>
      <c r="B152" s="8">
        <f>IF(K152=$P$13,'Rule 12'!$M$4,F152-1)</f>
        <v>-1</v>
      </c>
      <c r="C152" s="23">
        <f t="shared" si="18"/>
        <v>-1</v>
      </c>
      <c r="D152" s="21">
        <f t="shared" si="19"/>
        <v>-8.3333333333333329E-2</v>
      </c>
      <c r="E152" s="21" t="e">
        <f t="shared" si="25"/>
        <v>#N/A</v>
      </c>
      <c r="F152" s="8">
        <f>'Leave Record'!G154</f>
        <v>0</v>
      </c>
      <c r="G152" s="8">
        <f>'Leave Record'!H154</f>
        <v>0</v>
      </c>
      <c r="H152" s="23">
        <f t="shared" si="20"/>
        <v>1</v>
      </c>
      <c r="I152" s="23">
        <f t="shared" si="21"/>
        <v>0</v>
      </c>
      <c r="J152" s="21" t="e">
        <f t="shared" si="26"/>
        <v>#N/A</v>
      </c>
      <c r="K152" s="23">
        <f>'Leave Record'!I154</f>
        <v>0</v>
      </c>
      <c r="Q152">
        <f t="shared" si="22"/>
        <v>0</v>
      </c>
      <c r="R152" s="15" t="e">
        <f t="shared" si="23"/>
        <v>#N/A</v>
      </c>
    </row>
    <row r="153" spans="1:18" x14ac:dyDescent="0.25">
      <c r="A153" s="8">
        <f t="shared" si="24"/>
        <v>1</v>
      </c>
      <c r="B153" s="8">
        <f>IF(K153=$P$13,'Rule 12'!$M$4,F153-1)</f>
        <v>-1</v>
      </c>
      <c r="C153" s="23">
        <f t="shared" si="18"/>
        <v>-1</v>
      </c>
      <c r="D153" s="21">
        <f t="shared" si="19"/>
        <v>-8.3333333333333329E-2</v>
      </c>
      <c r="E153" s="21" t="e">
        <f t="shared" si="25"/>
        <v>#N/A</v>
      </c>
      <c r="F153" s="8">
        <f>'Leave Record'!G155</f>
        <v>0</v>
      </c>
      <c r="G153" s="8">
        <f>'Leave Record'!H155</f>
        <v>0</v>
      </c>
      <c r="H153" s="23">
        <f t="shared" si="20"/>
        <v>1</v>
      </c>
      <c r="I153" s="23">
        <f t="shared" si="21"/>
        <v>0</v>
      </c>
      <c r="J153" s="21" t="e">
        <f t="shared" si="26"/>
        <v>#N/A</v>
      </c>
      <c r="K153" s="23">
        <f>'Leave Record'!I155</f>
        <v>0</v>
      </c>
      <c r="Q153">
        <f t="shared" si="22"/>
        <v>0</v>
      </c>
      <c r="R153" s="15" t="e">
        <f t="shared" si="23"/>
        <v>#N/A</v>
      </c>
    </row>
    <row r="154" spans="1:18" x14ac:dyDescent="0.25">
      <c r="A154" s="8">
        <f t="shared" si="24"/>
        <v>1</v>
      </c>
      <c r="B154" s="8">
        <f>IF(K154=$P$13,'Rule 12'!$M$4,F154-1)</f>
        <v>-1</v>
      </c>
      <c r="C154" s="23">
        <f t="shared" si="18"/>
        <v>-1</v>
      </c>
      <c r="D154" s="21">
        <f t="shared" si="19"/>
        <v>-8.3333333333333329E-2</v>
      </c>
      <c r="E154" s="21" t="e">
        <f t="shared" si="25"/>
        <v>#N/A</v>
      </c>
      <c r="F154" s="8">
        <f>'Leave Record'!G156</f>
        <v>0</v>
      </c>
      <c r="G154" s="8">
        <f>'Leave Record'!H156</f>
        <v>0</v>
      </c>
      <c r="H154" s="23">
        <f t="shared" si="20"/>
        <v>1</v>
      </c>
      <c r="I154" s="23">
        <f t="shared" si="21"/>
        <v>0</v>
      </c>
      <c r="J154" s="21" t="e">
        <f t="shared" si="26"/>
        <v>#N/A</v>
      </c>
      <c r="K154" s="23">
        <f>'Leave Record'!I156</f>
        <v>0</v>
      </c>
      <c r="Q154">
        <f t="shared" si="22"/>
        <v>0</v>
      </c>
      <c r="R154" s="15" t="e">
        <f t="shared" si="23"/>
        <v>#N/A</v>
      </c>
    </row>
    <row r="155" spans="1:18" x14ac:dyDescent="0.25">
      <c r="A155" s="8">
        <f t="shared" si="24"/>
        <v>1</v>
      </c>
      <c r="B155" s="8">
        <f>IF(K155=$P$13,'Rule 12'!$M$4,F155-1)</f>
        <v>-1</v>
      </c>
      <c r="C155" s="23">
        <f t="shared" si="18"/>
        <v>-1</v>
      </c>
      <c r="D155" s="21">
        <f t="shared" si="19"/>
        <v>-8.3333333333333329E-2</v>
      </c>
      <c r="E155" s="21" t="e">
        <f t="shared" si="25"/>
        <v>#N/A</v>
      </c>
      <c r="F155" s="8">
        <f>'Leave Record'!G157</f>
        <v>0</v>
      </c>
      <c r="G155" s="8">
        <f>'Leave Record'!H157</f>
        <v>0</v>
      </c>
      <c r="H155" s="23">
        <f t="shared" si="20"/>
        <v>1</v>
      </c>
      <c r="I155" s="23">
        <f t="shared" si="21"/>
        <v>0</v>
      </c>
      <c r="J155" s="21" t="e">
        <f t="shared" si="26"/>
        <v>#N/A</v>
      </c>
      <c r="K155" s="23">
        <f>'Leave Record'!I157</f>
        <v>0</v>
      </c>
      <c r="Q155">
        <f t="shared" si="22"/>
        <v>0</v>
      </c>
      <c r="R155" s="15" t="e">
        <f t="shared" si="23"/>
        <v>#N/A</v>
      </c>
    </row>
    <row r="156" spans="1:18" x14ac:dyDescent="0.25">
      <c r="A156" s="8">
        <f t="shared" si="24"/>
        <v>1</v>
      </c>
      <c r="B156" s="8">
        <f>IF(K156=$P$13,'Rule 12'!$M$4,F156-1)</f>
        <v>-1</v>
      </c>
      <c r="C156" s="23">
        <f t="shared" si="18"/>
        <v>-1</v>
      </c>
      <c r="D156" s="21">
        <f t="shared" si="19"/>
        <v>-8.3333333333333329E-2</v>
      </c>
      <c r="E156" s="21" t="e">
        <f t="shared" si="25"/>
        <v>#N/A</v>
      </c>
      <c r="F156" s="8">
        <f>'Leave Record'!G158</f>
        <v>0</v>
      </c>
      <c r="G156" s="8">
        <f>'Leave Record'!H158</f>
        <v>0</v>
      </c>
      <c r="H156" s="23">
        <f t="shared" si="20"/>
        <v>1</v>
      </c>
      <c r="I156" s="23">
        <f t="shared" si="21"/>
        <v>0</v>
      </c>
      <c r="J156" s="21" t="e">
        <f t="shared" si="26"/>
        <v>#N/A</v>
      </c>
      <c r="K156" s="23">
        <f>'Leave Record'!I158</f>
        <v>0</v>
      </c>
      <c r="Q156">
        <f t="shared" si="22"/>
        <v>0</v>
      </c>
      <c r="R156" s="15" t="e">
        <f t="shared" si="23"/>
        <v>#N/A</v>
      </c>
    </row>
    <row r="157" spans="1:18" x14ac:dyDescent="0.25">
      <c r="A157" s="8">
        <f t="shared" si="24"/>
        <v>1</v>
      </c>
      <c r="B157" s="8">
        <f>IF(K157=$P$13,'Rule 12'!$M$4,F157-1)</f>
        <v>-1</v>
      </c>
      <c r="C157" s="23">
        <f t="shared" si="18"/>
        <v>-1</v>
      </c>
      <c r="D157" s="21">
        <f t="shared" si="19"/>
        <v>-8.3333333333333329E-2</v>
      </c>
      <c r="E157" s="21" t="e">
        <f t="shared" si="25"/>
        <v>#N/A</v>
      </c>
      <c r="F157" s="8">
        <f>'Leave Record'!G159</f>
        <v>0</v>
      </c>
      <c r="G157" s="8">
        <f>'Leave Record'!H159</f>
        <v>0</v>
      </c>
      <c r="H157" s="23">
        <f t="shared" si="20"/>
        <v>1</v>
      </c>
      <c r="I157" s="23">
        <f t="shared" si="21"/>
        <v>0</v>
      </c>
      <c r="J157" s="21" t="e">
        <f t="shared" si="26"/>
        <v>#N/A</v>
      </c>
      <c r="K157" s="23">
        <f>'Leave Record'!I159</f>
        <v>0</v>
      </c>
      <c r="Q157">
        <f t="shared" si="22"/>
        <v>0</v>
      </c>
      <c r="R157" s="15" t="e">
        <f t="shared" si="23"/>
        <v>#N/A</v>
      </c>
    </row>
    <row r="158" spans="1:18" x14ac:dyDescent="0.25">
      <c r="A158" s="8">
        <f t="shared" si="24"/>
        <v>1</v>
      </c>
      <c r="B158" s="8">
        <f>IF(K158=$P$13,'Rule 12'!$M$4,F158-1)</f>
        <v>-1</v>
      </c>
      <c r="C158" s="23">
        <f t="shared" si="18"/>
        <v>-1</v>
      </c>
      <c r="D158" s="21">
        <f t="shared" si="19"/>
        <v>-8.3333333333333329E-2</v>
      </c>
      <c r="E158" s="21" t="e">
        <f t="shared" si="25"/>
        <v>#N/A</v>
      </c>
      <c r="F158" s="8">
        <f>'Leave Record'!G160</f>
        <v>0</v>
      </c>
      <c r="G158" s="8">
        <f>'Leave Record'!H160</f>
        <v>0</v>
      </c>
      <c r="H158" s="23">
        <f t="shared" si="20"/>
        <v>1</v>
      </c>
      <c r="I158" s="23">
        <f t="shared" si="21"/>
        <v>0</v>
      </c>
      <c r="J158" s="21" t="e">
        <f t="shared" si="26"/>
        <v>#N/A</v>
      </c>
      <c r="K158" s="23">
        <f>'Leave Record'!I160</f>
        <v>0</v>
      </c>
      <c r="Q158">
        <f t="shared" si="22"/>
        <v>0</v>
      </c>
      <c r="R158" s="15" t="e">
        <f t="shared" si="23"/>
        <v>#N/A</v>
      </c>
    </row>
    <row r="159" spans="1:18" x14ac:dyDescent="0.25">
      <c r="A159" s="8">
        <f t="shared" si="24"/>
        <v>1</v>
      </c>
      <c r="B159" s="8">
        <f>IF(K159=$P$13,'Rule 12'!$M$4,F159-1)</f>
        <v>-1</v>
      </c>
      <c r="C159" s="23">
        <f t="shared" si="18"/>
        <v>-1</v>
      </c>
      <c r="D159" s="21">
        <f t="shared" si="19"/>
        <v>-8.3333333333333329E-2</v>
      </c>
      <c r="E159" s="21" t="e">
        <f t="shared" si="25"/>
        <v>#N/A</v>
      </c>
      <c r="F159" s="8">
        <f>'Leave Record'!G161</f>
        <v>0</v>
      </c>
      <c r="G159" s="8">
        <f>'Leave Record'!H161</f>
        <v>0</v>
      </c>
      <c r="H159" s="23">
        <f t="shared" si="20"/>
        <v>1</v>
      </c>
      <c r="I159" s="23">
        <f t="shared" si="21"/>
        <v>0</v>
      </c>
      <c r="J159" s="21" t="e">
        <f t="shared" si="26"/>
        <v>#N/A</v>
      </c>
      <c r="K159" s="23">
        <f>'Leave Record'!I161</f>
        <v>0</v>
      </c>
      <c r="Q159">
        <f t="shared" si="22"/>
        <v>0</v>
      </c>
      <c r="R159" s="15" t="e">
        <f t="shared" si="23"/>
        <v>#N/A</v>
      </c>
    </row>
    <row r="160" spans="1:18" x14ac:dyDescent="0.25">
      <c r="A160" s="8">
        <f t="shared" si="24"/>
        <v>1</v>
      </c>
      <c r="B160" s="8">
        <f>IF(K160=$P$13,'Rule 12'!$M$4,F160-1)</f>
        <v>-1</v>
      </c>
      <c r="C160" s="23">
        <f t="shared" si="18"/>
        <v>-1</v>
      </c>
      <c r="D160" s="21">
        <f t="shared" si="19"/>
        <v>-8.3333333333333329E-2</v>
      </c>
      <c r="E160" s="21" t="e">
        <f t="shared" si="25"/>
        <v>#N/A</v>
      </c>
      <c r="F160" s="8">
        <f>'Leave Record'!G162</f>
        <v>0</v>
      </c>
      <c r="G160" s="8">
        <f>'Leave Record'!H162</f>
        <v>0</v>
      </c>
      <c r="H160" s="23">
        <f t="shared" si="20"/>
        <v>1</v>
      </c>
      <c r="I160" s="23">
        <f t="shared" si="21"/>
        <v>0</v>
      </c>
      <c r="J160" s="21" t="e">
        <f t="shared" si="26"/>
        <v>#N/A</v>
      </c>
      <c r="K160" s="23">
        <f>'Leave Record'!I162</f>
        <v>0</v>
      </c>
      <c r="Q160">
        <f t="shared" si="22"/>
        <v>0</v>
      </c>
      <c r="R160" s="15" t="e">
        <f t="shared" si="23"/>
        <v>#N/A</v>
      </c>
    </row>
    <row r="161" spans="1:18" x14ac:dyDescent="0.25">
      <c r="A161" s="8">
        <f t="shared" si="24"/>
        <v>1</v>
      </c>
      <c r="B161" s="8">
        <f>IF(K161=$P$13,'Rule 12'!$M$4,F161-1)</f>
        <v>-1</v>
      </c>
      <c r="C161" s="23">
        <f t="shared" si="18"/>
        <v>-1</v>
      </c>
      <c r="D161" s="21">
        <f t="shared" si="19"/>
        <v>-8.3333333333333329E-2</v>
      </c>
      <c r="E161" s="21" t="e">
        <f t="shared" si="25"/>
        <v>#N/A</v>
      </c>
      <c r="F161" s="8">
        <f>'Leave Record'!G163</f>
        <v>0</v>
      </c>
      <c r="G161" s="8">
        <f>'Leave Record'!H163</f>
        <v>0</v>
      </c>
      <c r="H161" s="23">
        <f t="shared" si="20"/>
        <v>1</v>
      </c>
      <c r="I161" s="23">
        <f t="shared" si="21"/>
        <v>0</v>
      </c>
      <c r="J161" s="21" t="e">
        <f t="shared" si="26"/>
        <v>#N/A</v>
      </c>
      <c r="K161" s="23">
        <f>'Leave Record'!I163</f>
        <v>0</v>
      </c>
      <c r="Q161">
        <f t="shared" si="22"/>
        <v>0</v>
      </c>
      <c r="R161" s="15" t="e">
        <f t="shared" si="23"/>
        <v>#N/A</v>
      </c>
    </row>
    <row r="162" spans="1:18" x14ac:dyDescent="0.25">
      <c r="A162" s="8">
        <f t="shared" si="24"/>
        <v>1</v>
      </c>
      <c r="B162" s="8">
        <f>IF(K162=$P$13,'Rule 12'!$M$4,F162-1)</f>
        <v>-1</v>
      </c>
      <c r="C162" s="23">
        <f t="shared" si="18"/>
        <v>-1</v>
      </c>
      <c r="D162" s="21">
        <f t="shared" si="19"/>
        <v>-8.3333333333333329E-2</v>
      </c>
      <c r="E162" s="21" t="e">
        <f t="shared" si="25"/>
        <v>#N/A</v>
      </c>
      <c r="F162" s="8">
        <f>'Leave Record'!G164</f>
        <v>0</v>
      </c>
      <c r="G162" s="8">
        <f>'Leave Record'!H164</f>
        <v>0</v>
      </c>
      <c r="H162" s="23">
        <f t="shared" si="20"/>
        <v>1</v>
      </c>
      <c r="I162" s="23">
        <f t="shared" si="21"/>
        <v>0</v>
      </c>
      <c r="J162" s="21" t="e">
        <f t="shared" si="26"/>
        <v>#N/A</v>
      </c>
      <c r="K162" s="23">
        <f>'Leave Record'!I164</f>
        <v>0</v>
      </c>
      <c r="Q162">
        <f t="shared" si="22"/>
        <v>0</v>
      </c>
      <c r="R162" s="15" t="e">
        <f t="shared" si="23"/>
        <v>#N/A</v>
      </c>
    </row>
    <row r="163" spans="1:18" x14ac:dyDescent="0.25">
      <c r="A163" s="8">
        <f t="shared" si="24"/>
        <v>1</v>
      </c>
      <c r="B163" s="8">
        <f>IF(K163=$P$13,'Rule 12'!$M$4,F163-1)</f>
        <v>-1</v>
      </c>
      <c r="C163" s="23">
        <f t="shared" si="18"/>
        <v>-1</v>
      </c>
      <c r="D163" s="21">
        <f t="shared" si="19"/>
        <v>-8.3333333333333329E-2</v>
      </c>
      <c r="E163" s="21" t="e">
        <f t="shared" si="25"/>
        <v>#N/A</v>
      </c>
      <c r="F163" s="8">
        <f>'Leave Record'!G165</f>
        <v>0</v>
      </c>
      <c r="G163" s="8">
        <f>'Leave Record'!H165</f>
        <v>0</v>
      </c>
      <c r="H163" s="23">
        <f t="shared" si="20"/>
        <v>1</v>
      </c>
      <c r="I163" s="23">
        <f t="shared" si="21"/>
        <v>0</v>
      </c>
      <c r="J163" s="21" t="e">
        <f t="shared" si="26"/>
        <v>#N/A</v>
      </c>
      <c r="K163" s="23">
        <f>'Leave Record'!I165</f>
        <v>0</v>
      </c>
      <c r="Q163">
        <f t="shared" si="22"/>
        <v>0</v>
      </c>
      <c r="R163" s="15" t="e">
        <f t="shared" si="23"/>
        <v>#N/A</v>
      </c>
    </row>
    <row r="164" spans="1:18" x14ac:dyDescent="0.25">
      <c r="A164" s="8">
        <f t="shared" si="24"/>
        <v>1</v>
      </c>
      <c r="B164" s="8">
        <f>IF(K164=$P$13,'Rule 12'!$M$4,F164-1)</f>
        <v>-1</v>
      </c>
      <c r="C164" s="23">
        <f t="shared" si="18"/>
        <v>-1</v>
      </c>
      <c r="D164" s="21">
        <f t="shared" si="19"/>
        <v>-8.3333333333333329E-2</v>
      </c>
      <c r="E164" s="21" t="e">
        <f t="shared" si="25"/>
        <v>#N/A</v>
      </c>
      <c r="F164" s="8">
        <f>'Leave Record'!G166</f>
        <v>0</v>
      </c>
      <c r="G164" s="8">
        <f>'Leave Record'!H166</f>
        <v>0</v>
      </c>
      <c r="H164" s="23">
        <f t="shared" si="20"/>
        <v>1</v>
      </c>
      <c r="I164" s="23">
        <f t="shared" si="21"/>
        <v>0</v>
      </c>
      <c r="J164" s="21" t="e">
        <f t="shared" si="26"/>
        <v>#N/A</v>
      </c>
      <c r="K164" s="23">
        <f>'Leave Record'!I166</f>
        <v>0</v>
      </c>
      <c r="Q164">
        <f t="shared" si="22"/>
        <v>0</v>
      </c>
      <c r="R164" s="15" t="e">
        <f t="shared" si="23"/>
        <v>#N/A</v>
      </c>
    </row>
    <row r="165" spans="1:18" x14ac:dyDescent="0.25">
      <c r="A165" s="8">
        <f t="shared" si="24"/>
        <v>1</v>
      </c>
      <c r="B165" s="8">
        <f>IF(K165=$P$13,'Rule 12'!$M$4,F165-1)</f>
        <v>-1</v>
      </c>
      <c r="C165" s="23">
        <f t="shared" si="18"/>
        <v>-1</v>
      </c>
      <c r="D165" s="21">
        <f t="shared" si="19"/>
        <v>-8.3333333333333329E-2</v>
      </c>
      <c r="E165" s="21" t="e">
        <f t="shared" si="25"/>
        <v>#N/A</v>
      </c>
      <c r="F165" s="8">
        <f>'Leave Record'!G167</f>
        <v>0</v>
      </c>
      <c r="G165" s="8">
        <f>'Leave Record'!H167</f>
        <v>0</v>
      </c>
      <c r="H165" s="23">
        <f t="shared" si="20"/>
        <v>1</v>
      </c>
      <c r="I165" s="23">
        <f t="shared" si="21"/>
        <v>0</v>
      </c>
      <c r="J165" s="21" t="e">
        <f t="shared" si="26"/>
        <v>#N/A</v>
      </c>
      <c r="K165" s="23">
        <f>'Leave Record'!I167</f>
        <v>0</v>
      </c>
      <c r="Q165">
        <f t="shared" si="22"/>
        <v>0</v>
      </c>
      <c r="R165" s="15" t="e">
        <f t="shared" si="23"/>
        <v>#N/A</v>
      </c>
    </row>
    <row r="166" spans="1:18" x14ac:dyDescent="0.25">
      <c r="A166" s="8">
        <f t="shared" si="24"/>
        <v>1</v>
      </c>
      <c r="B166" s="8">
        <f>IF(K166=$P$13,'Rule 12'!$M$4,F166-1)</f>
        <v>-1</v>
      </c>
      <c r="C166" s="23">
        <f t="shared" si="18"/>
        <v>-1</v>
      </c>
      <c r="D166" s="21">
        <f t="shared" si="19"/>
        <v>-8.3333333333333329E-2</v>
      </c>
      <c r="E166" s="21" t="e">
        <f t="shared" si="25"/>
        <v>#N/A</v>
      </c>
      <c r="F166" s="8">
        <f>'Leave Record'!G168</f>
        <v>0</v>
      </c>
      <c r="G166" s="8">
        <f>'Leave Record'!H168</f>
        <v>0</v>
      </c>
      <c r="H166" s="23">
        <f t="shared" si="20"/>
        <v>1</v>
      </c>
      <c r="I166" s="23">
        <f t="shared" si="21"/>
        <v>0</v>
      </c>
      <c r="J166" s="21" t="e">
        <f t="shared" si="26"/>
        <v>#N/A</v>
      </c>
      <c r="K166" s="23">
        <f>'Leave Record'!I168</f>
        <v>0</v>
      </c>
      <c r="Q166">
        <f t="shared" si="22"/>
        <v>0</v>
      </c>
      <c r="R166" s="15" t="e">
        <f t="shared" si="23"/>
        <v>#N/A</v>
      </c>
    </row>
    <row r="167" spans="1:18" x14ac:dyDescent="0.25">
      <c r="A167" s="8">
        <f t="shared" si="24"/>
        <v>1</v>
      </c>
      <c r="B167" s="8">
        <f>IF(K167=$P$13,'Rule 12'!$M$4,F167-1)</f>
        <v>-1</v>
      </c>
      <c r="C167" s="23">
        <f t="shared" si="18"/>
        <v>-1</v>
      </c>
      <c r="D167" s="21">
        <f t="shared" si="19"/>
        <v>-8.3333333333333329E-2</v>
      </c>
      <c r="E167" s="21" t="e">
        <f t="shared" si="25"/>
        <v>#N/A</v>
      </c>
      <c r="F167" s="8">
        <f>'Leave Record'!G169</f>
        <v>0</v>
      </c>
      <c r="G167" s="8">
        <f>'Leave Record'!H169</f>
        <v>0</v>
      </c>
      <c r="H167" s="23">
        <f t="shared" si="20"/>
        <v>1</v>
      </c>
      <c r="I167" s="23">
        <f t="shared" si="21"/>
        <v>0</v>
      </c>
      <c r="J167" s="21" t="e">
        <f t="shared" si="26"/>
        <v>#N/A</v>
      </c>
      <c r="K167" s="23">
        <f>'Leave Record'!I169</f>
        <v>0</v>
      </c>
      <c r="Q167">
        <f t="shared" si="22"/>
        <v>0</v>
      </c>
      <c r="R167" s="15" t="e">
        <f t="shared" si="23"/>
        <v>#N/A</v>
      </c>
    </row>
    <row r="168" spans="1:18" x14ac:dyDescent="0.25">
      <c r="A168" s="8">
        <f t="shared" si="24"/>
        <v>1</v>
      </c>
      <c r="B168" s="8">
        <f>IF(K168=$P$13,'Rule 12'!$M$4,F168-1)</f>
        <v>-1</v>
      </c>
      <c r="C168" s="23">
        <f t="shared" si="18"/>
        <v>-1</v>
      </c>
      <c r="D168" s="21">
        <f t="shared" si="19"/>
        <v>-8.3333333333333329E-2</v>
      </c>
      <c r="E168" s="21" t="e">
        <f t="shared" si="25"/>
        <v>#N/A</v>
      </c>
      <c r="F168" s="8">
        <f>'Leave Record'!G170</f>
        <v>0</v>
      </c>
      <c r="G168" s="8">
        <f>'Leave Record'!H170</f>
        <v>0</v>
      </c>
      <c r="H168" s="23">
        <f t="shared" si="20"/>
        <v>1</v>
      </c>
      <c r="I168" s="23">
        <f t="shared" si="21"/>
        <v>0</v>
      </c>
      <c r="J168" s="21" t="e">
        <f t="shared" si="26"/>
        <v>#N/A</v>
      </c>
      <c r="K168" s="23">
        <f>'Leave Record'!I170</f>
        <v>0</v>
      </c>
      <c r="Q168">
        <f t="shared" si="22"/>
        <v>0</v>
      </c>
      <c r="R168" s="15" t="e">
        <f t="shared" si="23"/>
        <v>#N/A</v>
      </c>
    </row>
    <row r="169" spans="1:18" x14ac:dyDescent="0.25">
      <c r="A169" s="8">
        <f t="shared" si="24"/>
        <v>1</v>
      </c>
      <c r="B169" s="8">
        <f>IF(K169=$P$13,'Rule 12'!$M$4,F169-1)</f>
        <v>-1</v>
      </c>
      <c r="C169" s="23">
        <f t="shared" si="18"/>
        <v>-1</v>
      </c>
      <c r="D169" s="21">
        <f t="shared" si="19"/>
        <v>-8.3333333333333329E-2</v>
      </c>
      <c r="E169" s="21" t="e">
        <f t="shared" si="25"/>
        <v>#N/A</v>
      </c>
      <c r="F169" s="8">
        <f>'Leave Record'!G171</f>
        <v>0</v>
      </c>
      <c r="G169" s="8">
        <f>'Leave Record'!H171</f>
        <v>0</v>
      </c>
      <c r="H169" s="23">
        <f t="shared" si="20"/>
        <v>1</v>
      </c>
      <c r="I169" s="23">
        <f t="shared" si="21"/>
        <v>0</v>
      </c>
      <c r="J169" s="21" t="e">
        <f t="shared" si="26"/>
        <v>#N/A</v>
      </c>
      <c r="K169" s="23">
        <f>'Leave Record'!I171</f>
        <v>0</v>
      </c>
      <c r="Q169">
        <f t="shared" si="22"/>
        <v>0</v>
      </c>
      <c r="R169" s="15" t="e">
        <f t="shared" si="23"/>
        <v>#N/A</v>
      </c>
    </row>
    <row r="170" spans="1:18" x14ac:dyDescent="0.25">
      <c r="A170" s="8">
        <f t="shared" si="24"/>
        <v>1</v>
      </c>
      <c r="B170" s="8">
        <f>IF(K170=$P$13,'Rule 12'!$M$4,F170-1)</f>
        <v>-1</v>
      </c>
      <c r="C170" s="23">
        <f t="shared" si="18"/>
        <v>-1</v>
      </c>
      <c r="D170" s="21">
        <f t="shared" si="19"/>
        <v>-8.3333333333333329E-2</v>
      </c>
      <c r="E170" s="21" t="e">
        <f t="shared" si="25"/>
        <v>#N/A</v>
      </c>
      <c r="F170" s="8">
        <f>'Leave Record'!G172</f>
        <v>0</v>
      </c>
      <c r="G170" s="8">
        <f>'Leave Record'!H172</f>
        <v>0</v>
      </c>
      <c r="H170" s="23">
        <f t="shared" si="20"/>
        <v>1</v>
      </c>
      <c r="I170" s="23">
        <f t="shared" si="21"/>
        <v>0</v>
      </c>
      <c r="J170" s="21" t="e">
        <f t="shared" si="26"/>
        <v>#N/A</v>
      </c>
      <c r="K170" s="23">
        <f>'Leave Record'!I172</f>
        <v>0</v>
      </c>
      <c r="Q170">
        <f t="shared" si="22"/>
        <v>0</v>
      </c>
      <c r="R170" s="15" t="e">
        <f t="shared" si="23"/>
        <v>#N/A</v>
      </c>
    </row>
    <row r="171" spans="1:18" x14ac:dyDescent="0.25">
      <c r="A171" s="8">
        <f t="shared" si="24"/>
        <v>1</v>
      </c>
      <c r="B171" s="8">
        <f>IF(K171=$P$13,'Rule 12'!$M$4,F171-1)</f>
        <v>-1</v>
      </c>
      <c r="C171" s="23">
        <f t="shared" si="18"/>
        <v>-1</v>
      </c>
      <c r="D171" s="21">
        <f t="shared" si="19"/>
        <v>-8.3333333333333329E-2</v>
      </c>
      <c r="E171" s="21" t="e">
        <f t="shared" si="25"/>
        <v>#N/A</v>
      </c>
      <c r="F171" s="8">
        <f>'Leave Record'!G173</f>
        <v>0</v>
      </c>
      <c r="G171" s="8">
        <f>'Leave Record'!H173</f>
        <v>0</v>
      </c>
      <c r="H171" s="23">
        <f t="shared" si="20"/>
        <v>1</v>
      </c>
      <c r="I171" s="23">
        <f t="shared" si="21"/>
        <v>0</v>
      </c>
      <c r="J171" s="21" t="e">
        <f t="shared" si="26"/>
        <v>#N/A</v>
      </c>
      <c r="K171" s="23">
        <f>'Leave Record'!I173</f>
        <v>0</v>
      </c>
      <c r="Q171">
        <f t="shared" si="22"/>
        <v>0</v>
      </c>
      <c r="R171" s="15" t="e">
        <f t="shared" si="23"/>
        <v>#N/A</v>
      </c>
    </row>
    <row r="172" spans="1:18" x14ac:dyDescent="0.25">
      <c r="A172" s="8">
        <f t="shared" si="24"/>
        <v>1</v>
      </c>
      <c r="B172" s="8">
        <f>IF(K172=$P$13,'Rule 12'!$M$4,F172-1)</f>
        <v>-1</v>
      </c>
      <c r="C172" s="23">
        <f t="shared" si="18"/>
        <v>-1</v>
      </c>
      <c r="D172" s="21">
        <f t="shared" si="19"/>
        <v>-8.3333333333333329E-2</v>
      </c>
      <c r="E172" s="21" t="e">
        <f t="shared" si="25"/>
        <v>#N/A</v>
      </c>
      <c r="F172" s="8">
        <f>'Leave Record'!G174</f>
        <v>0</v>
      </c>
      <c r="G172" s="8">
        <f>'Leave Record'!H174</f>
        <v>0</v>
      </c>
      <c r="H172" s="23">
        <f t="shared" si="20"/>
        <v>1</v>
      </c>
      <c r="I172" s="23">
        <f t="shared" si="21"/>
        <v>0</v>
      </c>
      <c r="J172" s="21" t="e">
        <f t="shared" si="26"/>
        <v>#N/A</v>
      </c>
      <c r="K172" s="23">
        <f>'Leave Record'!I174</f>
        <v>0</v>
      </c>
      <c r="Q172">
        <f t="shared" si="22"/>
        <v>0</v>
      </c>
      <c r="R172" s="15" t="e">
        <f t="shared" si="23"/>
        <v>#N/A</v>
      </c>
    </row>
    <row r="173" spans="1:18" x14ac:dyDescent="0.25">
      <c r="A173" s="8">
        <f t="shared" si="24"/>
        <v>1</v>
      </c>
      <c r="B173" s="8">
        <f>IF(K173=$P$13,'Rule 12'!$M$4,F173-1)</f>
        <v>-1</v>
      </c>
      <c r="C173" s="23">
        <f t="shared" si="18"/>
        <v>-1</v>
      </c>
      <c r="D173" s="21">
        <f t="shared" si="19"/>
        <v>-8.3333333333333329E-2</v>
      </c>
      <c r="E173" s="21" t="e">
        <f t="shared" si="25"/>
        <v>#N/A</v>
      </c>
      <c r="F173" s="8">
        <f>'Leave Record'!G175</f>
        <v>0</v>
      </c>
      <c r="G173" s="8">
        <f>'Leave Record'!H175</f>
        <v>0</v>
      </c>
      <c r="H173" s="23">
        <f t="shared" si="20"/>
        <v>1</v>
      </c>
      <c r="I173" s="23">
        <f t="shared" si="21"/>
        <v>0</v>
      </c>
      <c r="J173" s="21" t="e">
        <f t="shared" si="26"/>
        <v>#N/A</v>
      </c>
      <c r="K173" s="23">
        <f>'Leave Record'!I175</f>
        <v>0</v>
      </c>
      <c r="Q173">
        <f t="shared" si="22"/>
        <v>0</v>
      </c>
      <c r="R173" s="15" t="e">
        <f t="shared" si="23"/>
        <v>#N/A</v>
      </c>
    </row>
    <row r="174" spans="1:18" x14ac:dyDescent="0.25">
      <c r="A174" s="8">
        <f t="shared" si="24"/>
        <v>1</v>
      </c>
      <c r="B174" s="8">
        <f>IF(K174=$P$13,'Rule 12'!$M$4,F174-1)</f>
        <v>-1</v>
      </c>
      <c r="C174" s="23">
        <f t="shared" si="18"/>
        <v>-1</v>
      </c>
      <c r="D174" s="21">
        <f t="shared" si="19"/>
        <v>-8.3333333333333329E-2</v>
      </c>
      <c r="E174" s="21" t="e">
        <f t="shared" si="25"/>
        <v>#N/A</v>
      </c>
      <c r="F174" s="8">
        <f>'Leave Record'!G176</f>
        <v>0</v>
      </c>
      <c r="G174" s="8">
        <f>'Leave Record'!H176</f>
        <v>0</v>
      </c>
      <c r="H174" s="23">
        <f t="shared" si="20"/>
        <v>1</v>
      </c>
      <c r="I174" s="23">
        <f t="shared" si="21"/>
        <v>0</v>
      </c>
      <c r="J174" s="21" t="e">
        <f t="shared" si="26"/>
        <v>#N/A</v>
      </c>
      <c r="K174" s="23">
        <f>'Leave Record'!I176</f>
        <v>0</v>
      </c>
      <c r="Q174">
        <f t="shared" si="22"/>
        <v>0</v>
      </c>
      <c r="R174" s="15" t="e">
        <f t="shared" si="23"/>
        <v>#N/A</v>
      </c>
    </row>
    <row r="175" spans="1:18" x14ac:dyDescent="0.25">
      <c r="A175" s="8">
        <f t="shared" si="24"/>
        <v>1</v>
      </c>
      <c r="B175" s="8">
        <f>IF(K175=$P$13,'Rule 12'!$M$4,F175-1)</f>
        <v>-1</v>
      </c>
      <c r="C175" s="23">
        <f t="shared" si="18"/>
        <v>-1</v>
      </c>
      <c r="D175" s="21">
        <f t="shared" si="19"/>
        <v>-8.3333333333333329E-2</v>
      </c>
      <c r="E175" s="21" t="e">
        <f t="shared" si="25"/>
        <v>#N/A</v>
      </c>
      <c r="F175" s="8">
        <f>'Leave Record'!G177</f>
        <v>0</v>
      </c>
      <c r="G175" s="8">
        <f>'Leave Record'!H177</f>
        <v>0</v>
      </c>
      <c r="H175" s="23">
        <f t="shared" si="20"/>
        <v>1</v>
      </c>
      <c r="I175" s="23">
        <f t="shared" si="21"/>
        <v>0</v>
      </c>
      <c r="J175" s="21" t="e">
        <f t="shared" si="26"/>
        <v>#N/A</v>
      </c>
      <c r="K175" s="23">
        <f>'Leave Record'!I177</f>
        <v>0</v>
      </c>
      <c r="Q175">
        <f t="shared" si="22"/>
        <v>0</v>
      </c>
      <c r="R175" s="15" t="e">
        <f t="shared" si="23"/>
        <v>#N/A</v>
      </c>
    </row>
    <row r="176" spans="1:18" x14ac:dyDescent="0.25">
      <c r="A176" s="8">
        <f t="shared" si="24"/>
        <v>1</v>
      </c>
      <c r="B176" s="8">
        <f>IF(K176=$P$13,'Rule 12'!$M$4,F176-1)</f>
        <v>-1</v>
      </c>
      <c r="C176" s="23">
        <f t="shared" si="18"/>
        <v>-1</v>
      </c>
      <c r="D176" s="21">
        <f t="shared" si="19"/>
        <v>-8.3333333333333329E-2</v>
      </c>
      <c r="E176" s="21" t="e">
        <f t="shared" si="25"/>
        <v>#N/A</v>
      </c>
      <c r="F176" s="8">
        <f>'Leave Record'!G178</f>
        <v>0</v>
      </c>
      <c r="G176" s="8">
        <f>'Leave Record'!H178</f>
        <v>0</v>
      </c>
      <c r="H176" s="23">
        <f t="shared" si="20"/>
        <v>1</v>
      </c>
      <c r="I176" s="23">
        <f t="shared" si="21"/>
        <v>0</v>
      </c>
      <c r="J176" s="21" t="e">
        <f t="shared" si="26"/>
        <v>#N/A</v>
      </c>
      <c r="K176" s="23">
        <f>'Leave Record'!I178</f>
        <v>0</v>
      </c>
      <c r="Q176">
        <f t="shared" si="22"/>
        <v>0</v>
      </c>
      <c r="R176" s="15" t="e">
        <f t="shared" si="23"/>
        <v>#N/A</v>
      </c>
    </row>
    <row r="177" spans="1:18" x14ac:dyDescent="0.25">
      <c r="A177" s="8">
        <f t="shared" si="24"/>
        <v>1</v>
      </c>
      <c r="B177" s="8">
        <f>IF(K177=$P$13,'Rule 12'!$M$4,F177-1)</f>
        <v>-1</v>
      </c>
      <c r="C177" s="23">
        <f t="shared" si="18"/>
        <v>-1</v>
      </c>
      <c r="D177" s="21">
        <f t="shared" si="19"/>
        <v>-8.3333333333333329E-2</v>
      </c>
      <c r="E177" s="21" t="e">
        <f t="shared" si="25"/>
        <v>#N/A</v>
      </c>
      <c r="F177" s="8">
        <f>'Leave Record'!G179</f>
        <v>0</v>
      </c>
      <c r="G177" s="8">
        <f>'Leave Record'!H179</f>
        <v>0</v>
      </c>
      <c r="H177" s="23">
        <f t="shared" si="20"/>
        <v>1</v>
      </c>
      <c r="I177" s="23">
        <f t="shared" si="21"/>
        <v>0</v>
      </c>
      <c r="J177" s="21" t="e">
        <f t="shared" si="26"/>
        <v>#N/A</v>
      </c>
      <c r="K177" s="23">
        <f>'Leave Record'!I179</f>
        <v>0</v>
      </c>
      <c r="Q177">
        <f t="shared" si="22"/>
        <v>0</v>
      </c>
      <c r="R177" s="15" t="e">
        <f t="shared" si="23"/>
        <v>#N/A</v>
      </c>
    </row>
    <row r="178" spans="1:18" x14ac:dyDescent="0.25">
      <c r="A178" s="8">
        <f t="shared" si="24"/>
        <v>1</v>
      </c>
      <c r="B178" s="8">
        <f>IF(K178=$P$13,'Rule 12'!$M$4,F178-1)</f>
        <v>-1</v>
      </c>
      <c r="C178" s="23">
        <f t="shared" si="18"/>
        <v>-1</v>
      </c>
      <c r="D178" s="21">
        <f t="shared" si="19"/>
        <v>-8.3333333333333329E-2</v>
      </c>
      <c r="E178" s="21" t="e">
        <f t="shared" si="25"/>
        <v>#N/A</v>
      </c>
      <c r="F178" s="8">
        <f>'Leave Record'!G180</f>
        <v>0</v>
      </c>
      <c r="G178" s="8">
        <f>'Leave Record'!H180</f>
        <v>0</v>
      </c>
      <c r="H178" s="23">
        <f t="shared" si="20"/>
        <v>1</v>
      </c>
      <c r="I178" s="23">
        <f t="shared" si="21"/>
        <v>0</v>
      </c>
      <c r="J178" s="21" t="e">
        <f t="shared" si="26"/>
        <v>#N/A</v>
      </c>
      <c r="K178" s="23">
        <f>'Leave Record'!I180</f>
        <v>0</v>
      </c>
      <c r="Q178">
        <f t="shared" si="22"/>
        <v>0</v>
      </c>
      <c r="R178" s="15" t="e">
        <f t="shared" si="23"/>
        <v>#N/A</v>
      </c>
    </row>
    <row r="179" spans="1:18" x14ac:dyDescent="0.25">
      <c r="A179" s="8">
        <f t="shared" si="24"/>
        <v>1</v>
      </c>
      <c r="B179" s="8">
        <f>IF(K179=$P$13,'Rule 12'!$M$4,F179-1)</f>
        <v>-1</v>
      </c>
      <c r="C179" s="23">
        <f t="shared" si="18"/>
        <v>-1</v>
      </c>
      <c r="D179" s="21">
        <f t="shared" si="19"/>
        <v>-8.3333333333333329E-2</v>
      </c>
      <c r="E179" s="21" t="e">
        <f t="shared" si="25"/>
        <v>#N/A</v>
      </c>
      <c r="F179" s="8">
        <f>'Leave Record'!G181</f>
        <v>0</v>
      </c>
      <c r="G179" s="8">
        <f>'Leave Record'!H181</f>
        <v>0</v>
      </c>
      <c r="H179" s="23">
        <f t="shared" si="20"/>
        <v>1</v>
      </c>
      <c r="I179" s="23">
        <f t="shared" si="21"/>
        <v>0</v>
      </c>
      <c r="J179" s="21" t="e">
        <f t="shared" si="26"/>
        <v>#N/A</v>
      </c>
      <c r="K179" s="23">
        <f>'Leave Record'!I181</f>
        <v>0</v>
      </c>
      <c r="Q179">
        <f t="shared" si="22"/>
        <v>0</v>
      </c>
      <c r="R179" s="15" t="e">
        <f t="shared" si="23"/>
        <v>#N/A</v>
      </c>
    </row>
    <row r="180" spans="1:18" x14ac:dyDescent="0.25">
      <c r="A180" s="8">
        <f t="shared" si="24"/>
        <v>1</v>
      </c>
      <c r="B180" s="8">
        <f>IF(K180=$P$13,'Rule 12'!$M$4,F180-1)</f>
        <v>-1</v>
      </c>
      <c r="C180" s="23">
        <f t="shared" si="18"/>
        <v>-1</v>
      </c>
      <c r="D180" s="21">
        <f t="shared" si="19"/>
        <v>-8.3333333333333329E-2</v>
      </c>
      <c r="E180" s="21" t="e">
        <f t="shared" si="25"/>
        <v>#N/A</v>
      </c>
      <c r="F180" s="8">
        <f>'Leave Record'!G182</f>
        <v>0</v>
      </c>
      <c r="G180" s="8">
        <f>'Leave Record'!H182</f>
        <v>0</v>
      </c>
      <c r="H180" s="23">
        <f t="shared" si="20"/>
        <v>1</v>
      </c>
      <c r="I180" s="23">
        <f t="shared" si="21"/>
        <v>0</v>
      </c>
      <c r="J180" s="21" t="e">
        <f t="shared" si="26"/>
        <v>#N/A</v>
      </c>
      <c r="K180" s="23">
        <f>'Leave Record'!I182</f>
        <v>0</v>
      </c>
      <c r="Q180">
        <f t="shared" si="22"/>
        <v>0</v>
      </c>
      <c r="R180" s="15" t="e">
        <f t="shared" si="23"/>
        <v>#N/A</v>
      </c>
    </row>
    <row r="181" spans="1:18" x14ac:dyDescent="0.25">
      <c r="A181" s="8">
        <f t="shared" si="24"/>
        <v>1</v>
      </c>
      <c r="B181" s="8">
        <f>IF(K181=$P$13,'Rule 12'!$M$4,F181-1)</f>
        <v>-1</v>
      </c>
      <c r="C181" s="23">
        <f t="shared" si="18"/>
        <v>-1</v>
      </c>
      <c r="D181" s="21">
        <f t="shared" si="19"/>
        <v>-8.3333333333333329E-2</v>
      </c>
      <c r="E181" s="21" t="e">
        <f t="shared" si="25"/>
        <v>#N/A</v>
      </c>
      <c r="F181" s="8">
        <f>'Leave Record'!G183</f>
        <v>0</v>
      </c>
      <c r="G181" s="8">
        <f>'Leave Record'!H183</f>
        <v>0</v>
      </c>
      <c r="H181" s="23">
        <f t="shared" si="20"/>
        <v>1</v>
      </c>
      <c r="I181" s="23">
        <f t="shared" si="21"/>
        <v>0</v>
      </c>
      <c r="J181" s="21" t="e">
        <f t="shared" si="26"/>
        <v>#N/A</v>
      </c>
      <c r="K181" s="23">
        <f>'Leave Record'!I183</f>
        <v>0</v>
      </c>
      <c r="Q181">
        <f t="shared" si="22"/>
        <v>0</v>
      </c>
      <c r="R181" s="15" t="e">
        <f t="shared" si="23"/>
        <v>#N/A</v>
      </c>
    </row>
    <row r="182" spans="1:18" x14ac:dyDescent="0.25">
      <c r="A182" s="8">
        <f t="shared" si="24"/>
        <v>1</v>
      </c>
      <c r="B182" s="8">
        <f>IF(K182=$P$13,'Rule 12'!$M$4,F182-1)</f>
        <v>-1</v>
      </c>
      <c r="C182" s="23">
        <f t="shared" si="18"/>
        <v>-1</v>
      </c>
      <c r="D182" s="21">
        <f t="shared" si="19"/>
        <v>-8.3333333333333329E-2</v>
      </c>
      <c r="E182" s="21" t="e">
        <f t="shared" si="25"/>
        <v>#N/A</v>
      </c>
      <c r="F182" s="8">
        <f>'Leave Record'!G184</f>
        <v>0</v>
      </c>
      <c r="G182" s="8">
        <f>'Leave Record'!H184</f>
        <v>0</v>
      </c>
      <c r="H182" s="23">
        <f t="shared" si="20"/>
        <v>1</v>
      </c>
      <c r="I182" s="23">
        <f t="shared" si="21"/>
        <v>0</v>
      </c>
      <c r="J182" s="21" t="e">
        <f t="shared" si="26"/>
        <v>#N/A</v>
      </c>
      <c r="K182" s="23">
        <f>'Leave Record'!I184</f>
        <v>0</v>
      </c>
      <c r="Q182">
        <f t="shared" si="22"/>
        <v>0</v>
      </c>
      <c r="R182" s="15" t="e">
        <f t="shared" si="23"/>
        <v>#N/A</v>
      </c>
    </row>
    <row r="183" spans="1:18" x14ac:dyDescent="0.25">
      <c r="A183" s="8">
        <f t="shared" si="24"/>
        <v>1</v>
      </c>
      <c r="B183" s="8">
        <f>IF(K183=$P$13,'Rule 12'!$M$4,F183-1)</f>
        <v>-1</v>
      </c>
      <c r="C183" s="23">
        <f t="shared" si="18"/>
        <v>-1</v>
      </c>
      <c r="D183" s="21">
        <f t="shared" si="19"/>
        <v>-8.3333333333333329E-2</v>
      </c>
      <c r="E183" s="21" t="e">
        <f t="shared" si="25"/>
        <v>#N/A</v>
      </c>
      <c r="F183" s="8">
        <f>'Leave Record'!G185</f>
        <v>0</v>
      </c>
      <c r="G183" s="8">
        <f>'Leave Record'!H185</f>
        <v>0</v>
      </c>
      <c r="H183" s="23">
        <f t="shared" si="20"/>
        <v>1</v>
      </c>
      <c r="I183" s="23">
        <f t="shared" si="21"/>
        <v>0</v>
      </c>
      <c r="J183" s="21" t="e">
        <f t="shared" si="26"/>
        <v>#N/A</v>
      </c>
      <c r="K183" s="23">
        <f>'Leave Record'!I185</f>
        <v>0</v>
      </c>
      <c r="Q183">
        <f t="shared" si="22"/>
        <v>0</v>
      </c>
      <c r="R183" s="15" t="e">
        <f t="shared" si="23"/>
        <v>#N/A</v>
      </c>
    </row>
    <row r="184" spans="1:18" x14ac:dyDescent="0.25">
      <c r="A184" s="8">
        <f t="shared" si="24"/>
        <v>1</v>
      </c>
      <c r="B184" s="8">
        <f>IF(K184=$P$13,'Rule 12'!$M$4,F184-1)</f>
        <v>-1</v>
      </c>
      <c r="C184" s="23">
        <f t="shared" si="18"/>
        <v>-1</v>
      </c>
      <c r="D184" s="21">
        <f t="shared" si="19"/>
        <v>-8.3333333333333329E-2</v>
      </c>
      <c r="E184" s="21" t="e">
        <f t="shared" si="25"/>
        <v>#N/A</v>
      </c>
      <c r="F184" s="8">
        <f>'Leave Record'!G186</f>
        <v>0</v>
      </c>
      <c r="G184" s="8">
        <f>'Leave Record'!H186</f>
        <v>0</v>
      </c>
      <c r="H184" s="23">
        <f t="shared" si="20"/>
        <v>1</v>
      </c>
      <c r="I184" s="23">
        <f t="shared" si="21"/>
        <v>0</v>
      </c>
      <c r="J184" s="21" t="e">
        <f t="shared" si="26"/>
        <v>#N/A</v>
      </c>
      <c r="K184" s="23">
        <f>'Leave Record'!I186</f>
        <v>0</v>
      </c>
      <c r="Q184">
        <f t="shared" si="22"/>
        <v>0</v>
      </c>
      <c r="R184" s="15" t="e">
        <f t="shared" si="23"/>
        <v>#N/A</v>
      </c>
    </row>
    <row r="185" spans="1:18" x14ac:dyDescent="0.25">
      <c r="A185" s="8">
        <f t="shared" si="24"/>
        <v>1</v>
      </c>
      <c r="B185" s="8">
        <f>IF(K185=$P$13,'Rule 12'!$M$4,F185-1)</f>
        <v>-1</v>
      </c>
      <c r="C185" s="23">
        <f t="shared" si="18"/>
        <v>-1</v>
      </c>
      <c r="D185" s="21">
        <f t="shared" si="19"/>
        <v>-8.3333333333333329E-2</v>
      </c>
      <c r="E185" s="21" t="e">
        <f t="shared" si="25"/>
        <v>#N/A</v>
      </c>
      <c r="F185" s="8">
        <f>'Leave Record'!G187</f>
        <v>0</v>
      </c>
      <c r="G185" s="8">
        <f>'Leave Record'!H187</f>
        <v>0</v>
      </c>
      <c r="H185" s="23">
        <f t="shared" si="20"/>
        <v>1</v>
      </c>
      <c r="I185" s="23">
        <f t="shared" si="21"/>
        <v>0</v>
      </c>
      <c r="J185" s="21" t="e">
        <f t="shared" si="26"/>
        <v>#N/A</v>
      </c>
      <c r="K185" s="23">
        <f>'Leave Record'!I187</f>
        <v>0</v>
      </c>
      <c r="Q185">
        <f t="shared" si="22"/>
        <v>0</v>
      </c>
      <c r="R185" s="15" t="e">
        <f t="shared" si="23"/>
        <v>#N/A</v>
      </c>
    </row>
    <row r="186" spans="1:18" x14ac:dyDescent="0.25">
      <c r="A186" s="8">
        <f t="shared" si="24"/>
        <v>1</v>
      </c>
      <c r="B186" s="8">
        <f>IF(K186=$P$13,'Rule 12'!$M$4,F186-1)</f>
        <v>-1</v>
      </c>
      <c r="C186" s="23">
        <f t="shared" si="18"/>
        <v>-1</v>
      </c>
      <c r="D186" s="21">
        <f t="shared" si="19"/>
        <v>-8.3333333333333329E-2</v>
      </c>
      <c r="E186" s="21" t="e">
        <f t="shared" si="25"/>
        <v>#N/A</v>
      </c>
      <c r="F186" s="8">
        <f>'Leave Record'!G188</f>
        <v>0</v>
      </c>
      <c r="G186" s="8">
        <f>'Leave Record'!H188</f>
        <v>0</v>
      </c>
      <c r="H186" s="23">
        <f t="shared" si="20"/>
        <v>1</v>
      </c>
      <c r="I186" s="23">
        <f t="shared" si="21"/>
        <v>0</v>
      </c>
      <c r="J186" s="21" t="e">
        <f t="shared" si="26"/>
        <v>#N/A</v>
      </c>
      <c r="K186" s="23">
        <f>'Leave Record'!I188</f>
        <v>0</v>
      </c>
      <c r="Q186">
        <f t="shared" si="22"/>
        <v>0</v>
      </c>
      <c r="R186" s="15" t="e">
        <f t="shared" si="23"/>
        <v>#N/A</v>
      </c>
    </row>
    <row r="187" spans="1:18" x14ac:dyDescent="0.25">
      <c r="A187" s="8">
        <f t="shared" si="24"/>
        <v>1</v>
      </c>
      <c r="B187" s="8">
        <f>IF(K187=$P$13,'Rule 12'!$M$4,F187-1)</f>
        <v>-1</v>
      </c>
      <c r="C187" s="23">
        <f t="shared" si="18"/>
        <v>-1</v>
      </c>
      <c r="D187" s="21">
        <f t="shared" si="19"/>
        <v>-8.3333333333333329E-2</v>
      </c>
      <c r="E187" s="21" t="e">
        <f t="shared" si="25"/>
        <v>#N/A</v>
      </c>
      <c r="F187" s="8">
        <f>'Leave Record'!G189</f>
        <v>0</v>
      </c>
      <c r="G187" s="8">
        <f>'Leave Record'!H189</f>
        <v>0</v>
      </c>
      <c r="H187" s="23">
        <f t="shared" si="20"/>
        <v>1</v>
      </c>
      <c r="I187" s="23">
        <f t="shared" si="21"/>
        <v>0</v>
      </c>
      <c r="J187" s="21" t="e">
        <f t="shared" si="26"/>
        <v>#N/A</v>
      </c>
      <c r="K187" s="23">
        <f>'Leave Record'!I189</f>
        <v>0</v>
      </c>
      <c r="Q187">
        <f t="shared" si="22"/>
        <v>0</v>
      </c>
      <c r="R187" s="15" t="e">
        <f t="shared" si="23"/>
        <v>#N/A</v>
      </c>
    </row>
    <row r="188" spans="1:18" x14ac:dyDescent="0.25">
      <c r="A188" s="8">
        <f t="shared" si="24"/>
        <v>1</v>
      </c>
      <c r="B188" s="8">
        <f>IF(K188=$P$13,'Rule 12'!$M$4,F188-1)</f>
        <v>-1</v>
      </c>
      <c r="C188" s="23">
        <f t="shared" si="18"/>
        <v>-1</v>
      </c>
      <c r="D188" s="21">
        <f t="shared" si="19"/>
        <v>-8.3333333333333329E-2</v>
      </c>
      <c r="E188" s="21" t="e">
        <f t="shared" si="25"/>
        <v>#N/A</v>
      </c>
      <c r="F188" s="8">
        <f>'Leave Record'!G190</f>
        <v>0</v>
      </c>
      <c r="G188" s="8">
        <f>'Leave Record'!H190</f>
        <v>0</v>
      </c>
      <c r="H188" s="23">
        <f t="shared" si="20"/>
        <v>1</v>
      </c>
      <c r="I188" s="23">
        <f t="shared" si="21"/>
        <v>0</v>
      </c>
      <c r="J188" s="21" t="e">
        <f t="shared" si="26"/>
        <v>#N/A</v>
      </c>
      <c r="K188" s="23">
        <f>'Leave Record'!I190</f>
        <v>0</v>
      </c>
      <c r="Q188">
        <f t="shared" si="22"/>
        <v>0</v>
      </c>
      <c r="R188" s="15" t="e">
        <f t="shared" si="23"/>
        <v>#N/A</v>
      </c>
    </row>
    <row r="189" spans="1:18" x14ac:dyDescent="0.25">
      <c r="A189" s="8">
        <f t="shared" si="24"/>
        <v>1</v>
      </c>
      <c r="B189" s="8">
        <f>IF(K189=$P$13,'Rule 12'!$M$4,F189-1)</f>
        <v>-1</v>
      </c>
      <c r="C189" s="23">
        <f t="shared" si="18"/>
        <v>-1</v>
      </c>
      <c r="D189" s="21">
        <f t="shared" si="19"/>
        <v>-8.3333333333333329E-2</v>
      </c>
      <c r="E189" s="21" t="e">
        <f t="shared" si="25"/>
        <v>#N/A</v>
      </c>
      <c r="F189" s="8">
        <f>'Leave Record'!G191</f>
        <v>0</v>
      </c>
      <c r="G189" s="8">
        <f>'Leave Record'!H191</f>
        <v>0</v>
      </c>
      <c r="H189" s="23">
        <f t="shared" si="20"/>
        <v>1</v>
      </c>
      <c r="I189" s="23">
        <f t="shared" si="21"/>
        <v>0</v>
      </c>
      <c r="J189" s="21" t="e">
        <f t="shared" si="26"/>
        <v>#N/A</v>
      </c>
      <c r="K189" s="23">
        <f>'Leave Record'!I191</f>
        <v>0</v>
      </c>
      <c r="Q189">
        <f t="shared" si="22"/>
        <v>0</v>
      </c>
      <c r="R189" s="15" t="e">
        <f t="shared" si="23"/>
        <v>#N/A</v>
      </c>
    </row>
    <row r="190" spans="1:18" x14ac:dyDescent="0.25">
      <c r="A190" s="8">
        <f t="shared" si="24"/>
        <v>1</v>
      </c>
      <c r="B190" s="8">
        <f>IF(K190=$P$13,'Rule 12'!$M$4,F190-1)</f>
        <v>-1</v>
      </c>
      <c r="C190" s="23">
        <f t="shared" si="18"/>
        <v>-1</v>
      </c>
      <c r="D190" s="21">
        <f t="shared" si="19"/>
        <v>-8.3333333333333329E-2</v>
      </c>
      <c r="E190" s="21" t="e">
        <f t="shared" si="25"/>
        <v>#N/A</v>
      </c>
      <c r="F190" s="8">
        <f>'Leave Record'!G192</f>
        <v>0</v>
      </c>
      <c r="G190" s="8">
        <f>'Leave Record'!H192</f>
        <v>0</v>
      </c>
      <c r="H190" s="23">
        <f t="shared" si="20"/>
        <v>1</v>
      </c>
      <c r="I190" s="23">
        <f t="shared" si="21"/>
        <v>0</v>
      </c>
      <c r="J190" s="21" t="e">
        <f t="shared" si="26"/>
        <v>#N/A</v>
      </c>
      <c r="K190" s="23">
        <f>'Leave Record'!I192</f>
        <v>0</v>
      </c>
      <c r="Q190">
        <f t="shared" si="22"/>
        <v>0</v>
      </c>
      <c r="R190" s="15" t="e">
        <f t="shared" si="23"/>
        <v>#N/A</v>
      </c>
    </row>
    <row r="191" spans="1:18" x14ac:dyDescent="0.25">
      <c r="A191" s="8">
        <f t="shared" si="24"/>
        <v>1</v>
      </c>
      <c r="B191" s="8">
        <f>IF(K191=$P$13,'Rule 12'!$M$4,F191-1)</f>
        <v>-1</v>
      </c>
      <c r="C191" s="23">
        <f t="shared" si="18"/>
        <v>-1</v>
      </c>
      <c r="D191" s="21">
        <f t="shared" si="19"/>
        <v>-8.3333333333333329E-2</v>
      </c>
      <c r="E191" s="21" t="e">
        <f t="shared" si="25"/>
        <v>#N/A</v>
      </c>
      <c r="F191" s="8">
        <f>'Leave Record'!G193</f>
        <v>0</v>
      </c>
      <c r="G191" s="8">
        <f>'Leave Record'!H193</f>
        <v>0</v>
      </c>
      <c r="H191" s="23">
        <f t="shared" si="20"/>
        <v>1</v>
      </c>
      <c r="I191" s="23">
        <f t="shared" si="21"/>
        <v>0</v>
      </c>
      <c r="J191" s="21" t="e">
        <f t="shared" si="26"/>
        <v>#N/A</v>
      </c>
      <c r="K191" s="23">
        <f>'Leave Record'!I193</f>
        <v>0</v>
      </c>
      <c r="Q191">
        <f t="shared" si="22"/>
        <v>0</v>
      </c>
      <c r="R191" s="15" t="e">
        <f t="shared" si="23"/>
        <v>#N/A</v>
      </c>
    </row>
    <row r="192" spans="1:18" x14ac:dyDescent="0.25">
      <c r="A192" s="8">
        <f t="shared" si="24"/>
        <v>1</v>
      </c>
      <c r="B192" s="8">
        <f>IF(K192=$P$13,'Rule 12'!$M$4,F192-1)</f>
        <v>-1</v>
      </c>
      <c r="C192" s="23">
        <f t="shared" si="18"/>
        <v>-1</v>
      </c>
      <c r="D192" s="21">
        <f t="shared" si="19"/>
        <v>-8.3333333333333329E-2</v>
      </c>
      <c r="E192" s="21" t="e">
        <f t="shared" si="25"/>
        <v>#N/A</v>
      </c>
      <c r="F192" s="8">
        <f>'Leave Record'!G194</f>
        <v>0</v>
      </c>
      <c r="G192" s="8">
        <f>'Leave Record'!H194</f>
        <v>0</v>
      </c>
      <c r="H192" s="23">
        <f t="shared" si="20"/>
        <v>1</v>
      </c>
      <c r="I192" s="23">
        <f t="shared" si="21"/>
        <v>0</v>
      </c>
      <c r="J192" s="21" t="e">
        <f t="shared" si="26"/>
        <v>#N/A</v>
      </c>
      <c r="K192" s="23">
        <f>'Leave Record'!I194</f>
        <v>0</v>
      </c>
      <c r="Q192">
        <f t="shared" si="22"/>
        <v>0</v>
      </c>
      <c r="R192" s="15" t="e">
        <f t="shared" si="23"/>
        <v>#N/A</v>
      </c>
    </row>
    <row r="193" spans="1:18" x14ac:dyDescent="0.25">
      <c r="A193" s="8">
        <f t="shared" si="24"/>
        <v>1</v>
      </c>
      <c r="B193" s="8">
        <f>IF(K193=$P$13,'Rule 12'!$M$4,F193-1)</f>
        <v>-1</v>
      </c>
      <c r="C193" s="23">
        <f t="shared" si="18"/>
        <v>-1</v>
      </c>
      <c r="D193" s="21">
        <f t="shared" si="19"/>
        <v>-8.3333333333333329E-2</v>
      </c>
      <c r="E193" s="21" t="e">
        <f t="shared" si="25"/>
        <v>#N/A</v>
      </c>
      <c r="F193" s="8">
        <f>'Leave Record'!G195</f>
        <v>0</v>
      </c>
      <c r="G193" s="8">
        <f>'Leave Record'!H195</f>
        <v>0</v>
      </c>
      <c r="H193" s="23">
        <f t="shared" si="20"/>
        <v>1</v>
      </c>
      <c r="I193" s="23">
        <f t="shared" si="21"/>
        <v>0</v>
      </c>
      <c r="J193" s="21" t="e">
        <f t="shared" si="26"/>
        <v>#N/A</v>
      </c>
      <c r="K193" s="23">
        <f>'Leave Record'!I195</f>
        <v>0</v>
      </c>
      <c r="Q193">
        <f t="shared" si="22"/>
        <v>0</v>
      </c>
      <c r="R193" s="15" t="e">
        <f t="shared" si="23"/>
        <v>#N/A</v>
      </c>
    </row>
    <row r="194" spans="1:18" x14ac:dyDescent="0.25">
      <c r="A194" s="8">
        <f t="shared" si="24"/>
        <v>1</v>
      </c>
      <c r="B194" s="8">
        <f>IF(K194=$P$13,'Rule 12'!$M$4,F194-1)</f>
        <v>-1</v>
      </c>
      <c r="C194" s="23">
        <f t="shared" si="18"/>
        <v>-1</v>
      </c>
      <c r="D194" s="21">
        <f t="shared" si="19"/>
        <v>-8.3333333333333329E-2</v>
      </c>
      <c r="E194" s="21" t="e">
        <f t="shared" si="25"/>
        <v>#N/A</v>
      </c>
      <c r="F194" s="8">
        <f>'Leave Record'!G196</f>
        <v>0</v>
      </c>
      <c r="G194" s="8">
        <f>'Leave Record'!H196</f>
        <v>0</v>
      </c>
      <c r="H194" s="23">
        <f t="shared" si="20"/>
        <v>1</v>
      </c>
      <c r="I194" s="23">
        <f t="shared" si="21"/>
        <v>0</v>
      </c>
      <c r="J194" s="21" t="e">
        <f t="shared" si="26"/>
        <v>#N/A</v>
      </c>
      <c r="K194" s="23">
        <f>'Leave Record'!I196</f>
        <v>0</v>
      </c>
      <c r="Q194">
        <f t="shared" si="22"/>
        <v>0</v>
      </c>
      <c r="R194" s="15" t="e">
        <f t="shared" si="23"/>
        <v>#N/A</v>
      </c>
    </row>
    <row r="195" spans="1:18" x14ac:dyDescent="0.25">
      <c r="A195" s="8">
        <f t="shared" si="24"/>
        <v>1</v>
      </c>
      <c r="B195" s="8">
        <f>IF(K195=$P$13,'Rule 12'!$M$4,F195-1)</f>
        <v>-1</v>
      </c>
      <c r="C195" s="23">
        <f t="shared" si="18"/>
        <v>-1</v>
      </c>
      <c r="D195" s="21">
        <f t="shared" si="19"/>
        <v>-8.3333333333333329E-2</v>
      </c>
      <c r="E195" s="21" t="e">
        <f t="shared" si="25"/>
        <v>#N/A</v>
      </c>
      <c r="F195" s="8">
        <f>'Leave Record'!G197</f>
        <v>0</v>
      </c>
      <c r="G195" s="8">
        <f>'Leave Record'!H197</f>
        <v>0</v>
      </c>
      <c r="H195" s="23">
        <f t="shared" si="20"/>
        <v>1</v>
      </c>
      <c r="I195" s="23">
        <f t="shared" si="21"/>
        <v>0</v>
      </c>
      <c r="J195" s="21" t="e">
        <f t="shared" si="26"/>
        <v>#N/A</v>
      </c>
      <c r="K195" s="23">
        <f>'Leave Record'!I197</f>
        <v>0</v>
      </c>
      <c r="Q195">
        <f t="shared" si="22"/>
        <v>0</v>
      </c>
      <c r="R195" s="15" t="e">
        <f t="shared" si="23"/>
        <v>#N/A</v>
      </c>
    </row>
    <row r="196" spans="1:18" x14ac:dyDescent="0.25">
      <c r="A196" s="8">
        <f t="shared" si="24"/>
        <v>1</v>
      </c>
      <c r="B196" s="8">
        <f>IF(K196=$P$13,'Rule 12'!$M$4,F196-1)</f>
        <v>-1</v>
      </c>
      <c r="C196" s="23">
        <f t="shared" si="18"/>
        <v>-1</v>
      </c>
      <c r="D196" s="21">
        <f t="shared" si="19"/>
        <v>-8.3333333333333329E-2</v>
      </c>
      <c r="E196" s="21" t="e">
        <f t="shared" si="25"/>
        <v>#N/A</v>
      </c>
      <c r="F196" s="8">
        <f>'Leave Record'!G198</f>
        <v>0</v>
      </c>
      <c r="G196" s="8">
        <f>'Leave Record'!H198</f>
        <v>0</v>
      </c>
      <c r="H196" s="23">
        <f t="shared" si="20"/>
        <v>1</v>
      </c>
      <c r="I196" s="23">
        <f t="shared" si="21"/>
        <v>0</v>
      </c>
      <c r="J196" s="21" t="e">
        <f t="shared" si="26"/>
        <v>#N/A</v>
      </c>
      <c r="K196" s="23">
        <f>'Leave Record'!I198</f>
        <v>0</v>
      </c>
      <c r="Q196">
        <f t="shared" si="22"/>
        <v>0</v>
      </c>
      <c r="R196" s="15" t="e">
        <f t="shared" si="23"/>
        <v>#N/A</v>
      </c>
    </row>
    <row r="197" spans="1:18" x14ac:dyDescent="0.25">
      <c r="A197" s="8">
        <f t="shared" si="24"/>
        <v>1</v>
      </c>
      <c r="B197" s="8">
        <f>IF(K197=$P$13,'Rule 12'!$M$4,F197-1)</f>
        <v>-1</v>
      </c>
      <c r="C197" s="23">
        <f t="shared" si="18"/>
        <v>-1</v>
      </c>
      <c r="D197" s="21">
        <f t="shared" si="19"/>
        <v>-8.3333333333333329E-2</v>
      </c>
      <c r="E197" s="21" t="e">
        <f t="shared" si="25"/>
        <v>#N/A</v>
      </c>
      <c r="F197" s="8">
        <f>'Leave Record'!G199</f>
        <v>0</v>
      </c>
      <c r="G197" s="8">
        <f>'Leave Record'!H199</f>
        <v>0</v>
      </c>
      <c r="H197" s="23">
        <f t="shared" si="20"/>
        <v>1</v>
      </c>
      <c r="I197" s="23">
        <f t="shared" si="21"/>
        <v>0</v>
      </c>
      <c r="J197" s="21" t="e">
        <f t="shared" si="26"/>
        <v>#N/A</v>
      </c>
      <c r="K197" s="23">
        <f>'Leave Record'!I199</f>
        <v>0</v>
      </c>
      <c r="Q197">
        <f t="shared" si="22"/>
        <v>0</v>
      </c>
      <c r="R197" s="15" t="e">
        <f t="shared" si="23"/>
        <v>#N/A</v>
      </c>
    </row>
    <row r="198" spans="1:18" x14ac:dyDescent="0.25">
      <c r="A198" s="8">
        <f t="shared" si="24"/>
        <v>1</v>
      </c>
      <c r="B198" s="8">
        <f>IF(K198=$P$13,'Rule 12'!$M$4,F198-1)</f>
        <v>-1</v>
      </c>
      <c r="C198" s="23">
        <f>_xlfn.DAYS(B198+1,A198)</f>
        <v>-1</v>
      </c>
      <c r="D198" s="21">
        <f>C198/12</f>
        <v>-8.3333333333333329E-2</v>
      </c>
      <c r="E198" s="21" t="e">
        <f t="shared" si="25"/>
        <v>#N/A</v>
      </c>
      <c r="F198" s="8">
        <f>'Leave Record'!G200</f>
        <v>0</v>
      </c>
      <c r="G198" s="8">
        <f>'Leave Record'!H200</f>
        <v>0</v>
      </c>
      <c r="H198" s="23">
        <f>_xlfn.DAYS(G198+1,F198)</f>
        <v>1</v>
      </c>
      <c r="I198" s="23">
        <f>IF(K198=$P$14,H198,0)</f>
        <v>0</v>
      </c>
      <c r="J198" s="21" t="e">
        <f t="shared" si="26"/>
        <v>#N/A</v>
      </c>
      <c r="K198" s="23">
        <f>'Leave Record'!I200</f>
        <v>0</v>
      </c>
      <c r="Q198">
        <f>K198</f>
        <v>0</v>
      </c>
      <c r="R198" s="15" t="e">
        <f>J198</f>
        <v>#N/A</v>
      </c>
    </row>
    <row r="199" spans="1:18" x14ac:dyDescent="0.25">
      <c r="A199" s="8">
        <f>G198+1</f>
        <v>1</v>
      </c>
      <c r="B199" s="8">
        <f>IF(K199=$P$13,'Rule 12'!$M$4,F199-1)</f>
        <v>-1</v>
      </c>
      <c r="C199" s="23">
        <f>_xlfn.DAYS(B199+1,A199)</f>
        <v>-1</v>
      </c>
      <c r="D199" s="21">
        <f>C199/12</f>
        <v>-8.3333333333333329E-2</v>
      </c>
      <c r="E199" s="21" t="e">
        <f>J198+D199</f>
        <v>#N/A</v>
      </c>
      <c r="F199" s="8">
        <f>'Leave Record'!G201</f>
        <v>0</v>
      </c>
      <c r="G199" s="8">
        <f>'Leave Record'!H201</f>
        <v>0</v>
      </c>
      <c r="H199" s="23">
        <f>_xlfn.DAYS(G199+1,F199)</f>
        <v>1</v>
      </c>
      <c r="I199" s="23">
        <f>IF(K199=$P$14,H199,0)</f>
        <v>0</v>
      </c>
      <c r="J199" s="21" t="e">
        <f>E199-I199</f>
        <v>#N/A</v>
      </c>
      <c r="K199" s="23">
        <f>'Leave Record'!I201</f>
        <v>0</v>
      </c>
      <c r="Q199">
        <f>K199</f>
        <v>0</v>
      </c>
      <c r="R199" s="15" t="e">
        <f>J199</f>
        <v>#N/A</v>
      </c>
    </row>
    <row r="200" spans="1:18" x14ac:dyDescent="0.25">
      <c r="A200" s="8">
        <f>G199+1</f>
        <v>1</v>
      </c>
      <c r="B200" s="8">
        <f>IF(K200=$P$13,'Rule 12'!$M$4,F200-1)</f>
        <v>-1</v>
      </c>
      <c r="C200" s="23">
        <f>_xlfn.DAYS(B200+1,A200)</f>
        <v>-1</v>
      </c>
      <c r="D200" s="21">
        <f>C200/12</f>
        <v>-8.3333333333333329E-2</v>
      </c>
      <c r="E200" s="21" t="e">
        <f>J199+D200</f>
        <v>#N/A</v>
      </c>
      <c r="F200" s="8">
        <f>'Leave Record'!G202</f>
        <v>0</v>
      </c>
      <c r="G200" s="8">
        <f>'Leave Record'!H202</f>
        <v>0</v>
      </c>
      <c r="H200" s="23">
        <f>_xlfn.DAYS(G200+1,F200)</f>
        <v>1</v>
      </c>
      <c r="I200" s="23">
        <f>IF(K200=$P$14,H200,0)</f>
        <v>0</v>
      </c>
      <c r="J200" s="21" t="e">
        <f>E200-I200</f>
        <v>#N/A</v>
      </c>
      <c r="K200" s="23">
        <f>'Leave Record'!I202</f>
        <v>0</v>
      </c>
      <c r="Q200">
        <f>K200</f>
        <v>0</v>
      </c>
      <c r="R200" s="15" t="e">
        <f>J200</f>
        <v>#N/A</v>
      </c>
    </row>
    <row r="201" spans="1:18" x14ac:dyDescent="0.25">
      <c r="A201" s="38">
        <f t="shared" ref="A201:A264" si="27">G200+1</f>
        <v>1</v>
      </c>
      <c r="B201" s="38">
        <f>IF(K201=$P$13,'Rule 12'!$M$4,F201-1)</f>
        <v>-1</v>
      </c>
      <c r="C201" s="23">
        <f t="shared" ref="C201:C264" si="28">_xlfn.DAYS(B201+1,A201)</f>
        <v>-1</v>
      </c>
      <c r="D201" s="21">
        <f t="shared" ref="D201:D264" si="29">C201/12</f>
        <v>-8.3333333333333329E-2</v>
      </c>
      <c r="E201" s="21" t="e">
        <f t="shared" ref="E201:E264" si="30">J200+D201</f>
        <v>#N/A</v>
      </c>
      <c r="F201" s="38">
        <f>'Leave Record'!G203</f>
        <v>0</v>
      </c>
      <c r="G201" s="38">
        <f>'Leave Record'!H203</f>
        <v>0</v>
      </c>
      <c r="H201" s="23">
        <f t="shared" ref="H201:H264" si="31">_xlfn.DAYS(G201+1,F201)</f>
        <v>1</v>
      </c>
      <c r="I201" s="23">
        <f t="shared" ref="I201:I264" si="32">IF(K201=$P$14,H201,0)</f>
        <v>0</v>
      </c>
      <c r="J201" s="21" t="e">
        <f t="shared" ref="J201:J264" si="33">E201-I201</f>
        <v>#N/A</v>
      </c>
      <c r="K201" s="23">
        <f>'Leave Record'!I203</f>
        <v>0</v>
      </c>
    </row>
    <row r="202" spans="1:18" x14ac:dyDescent="0.25">
      <c r="A202" s="38">
        <f t="shared" si="27"/>
        <v>1</v>
      </c>
      <c r="B202" s="38">
        <f>IF(K202=$P$13,'Rule 12'!$M$4,F202-1)</f>
        <v>-1</v>
      </c>
      <c r="C202" s="23">
        <f t="shared" si="28"/>
        <v>-1</v>
      </c>
      <c r="D202" s="21">
        <f t="shared" si="29"/>
        <v>-8.3333333333333329E-2</v>
      </c>
      <c r="E202" s="21" t="e">
        <f t="shared" si="30"/>
        <v>#N/A</v>
      </c>
      <c r="F202" s="38">
        <f>'Leave Record'!G204</f>
        <v>0</v>
      </c>
      <c r="G202" s="38">
        <f>'Leave Record'!H204</f>
        <v>0</v>
      </c>
      <c r="H202" s="23">
        <f t="shared" si="31"/>
        <v>1</v>
      </c>
      <c r="I202" s="23">
        <f t="shared" si="32"/>
        <v>0</v>
      </c>
      <c r="J202" s="21" t="e">
        <f t="shared" si="33"/>
        <v>#N/A</v>
      </c>
      <c r="K202" s="23">
        <f>'Leave Record'!I204</f>
        <v>0</v>
      </c>
    </row>
    <row r="203" spans="1:18" x14ac:dyDescent="0.25">
      <c r="A203" s="38">
        <f t="shared" si="27"/>
        <v>1</v>
      </c>
      <c r="B203" s="38">
        <f>IF(K203=$P$13,'Rule 12'!$M$4,F203-1)</f>
        <v>-1</v>
      </c>
      <c r="C203" s="23">
        <f t="shared" si="28"/>
        <v>-1</v>
      </c>
      <c r="D203" s="21">
        <f t="shared" si="29"/>
        <v>-8.3333333333333329E-2</v>
      </c>
      <c r="E203" s="21" t="e">
        <f t="shared" si="30"/>
        <v>#N/A</v>
      </c>
      <c r="F203" s="38">
        <f>'Leave Record'!G205</f>
        <v>0</v>
      </c>
      <c r="G203" s="38">
        <f>'Leave Record'!H205</f>
        <v>0</v>
      </c>
      <c r="H203" s="23">
        <f t="shared" si="31"/>
        <v>1</v>
      </c>
      <c r="I203" s="23">
        <f t="shared" si="32"/>
        <v>0</v>
      </c>
      <c r="J203" s="21" t="e">
        <f t="shared" si="33"/>
        <v>#N/A</v>
      </c>
      <c r="K203" s="23">
        <f>'Leave Record'!I205</f>
        <v>0</v>
      </c>
    </row>
    <row r="204" spans="1:18" x14ac:dyDescent="0.25">
      <c r="A204" s="38">
        <f t="shared" si="27"/>
        <v>1</v>
      </c>
      <c r="B204" s="38">
        <f>IF(K204=$P$13,'Rule 12'!$M$4,F204-1)</f>
        <v>-1</v>
      </c>
      <c r="C204" s="23">
        <f t="shared" si="28"/>
        <v>-1</v>
      </c>
      <c r="D204" s="21">
        <f t="shared" si="29"/>
        <v>-8.3333333333333329E-2</v>
      </c>
      <c r="E204" s="21" t="e">
        <f t="shared" si="30"/>
        <v>#N/A</v>
      </c>
      <c r="F204" s="38">
        <f>'Leave Record'!G206</f>
        <v>0</v>
      </c>
      <c r="G204" s="38">
        <f>'Leave Record'!H206</f>
        <v>0</v>
      </c>
      <c r="H204" s="23">
        <f t="shared" si="31"/>
        <v>1</v>
      </c>
      <c r="I204" s="23">
        <f t="shared" si="32"/>
        <v>0</v>
      </c>
      <c r="J204" s="21" t="e">
        <f t="shared" si="33"/>
        <v>#N/A</v>
      </c>
      <c r="K204" s="23">
        <f>'Leave Record'!I206</f>
        <v>0</v>
      </c>
    </row>
    <row r="205" spans="1:18" x14ac:dyDescent="0.25">
      <c r="A205" s="38">
        <f t="shared" si="27"/>
        <v>1</v>
      </c>
      <c r="B205" s="38">
        <f>IF(K205=$P$13,'Rule 12'!$M$4,F205-1)</f>
        <v>-1</v>
      </c>
      <c r="C205" s="23">
        <f t="shared" si="28"/>
        <v>-1</v>
      </c>
      <c r="D205" s="21">
        <f t="shared" si="29"/>
        <v>-8.3333333333333329E-2</v>
      </c>
      <c r="E205" s="21" t="e">
        <f t="shared" si="30"/>
        <v>#N/A</v>
      </c>
      <c r="F205" s="38">
        <f>'Leave Record'!G207</f>
        <v>0</v>
      </c>
      <c r="G205" s="38">
        <f>'Leave Record'!H207</f>
        <v>0</v>
      </c>
      <c r="H205" s="23">
        <f t="shared" si="31"/>
        <v>1</v>
      </c>
      <c r="I205" s="23">
        <f t="shared" si="32"/>
        <v>0</v>
      </c>
      <c r="J205" s="21" t="e">
        <f t="shared" si="33"/>
        <v>#N/A</v>
      </c>
      <c r="K205" s="23">
        <f>'Leave Record'!I207</f>
        <v>0</v>
      </c>
    </row>
    <row r="206" spans="1:18" x14ac:dyDescent="0.25">
      <c r="A206" s="38">
        <f t="shared" si="27"/>
        <v>1</v>
      </c>
      <c r="B206" s="38">
        <f>IF(K206=$P$13,'Rule 12'!$M$4,F206-1)</f>
        <v>-1</v>
      </c>
      <c r="C206" s="23">
        <f t="shared" si="28"/>
        <v>-1</v>
      </c>
      <c r="D206" s="21">
        <f t="shared" si="29"/>
        <v>-8.3333333333333329E-2</v>
      </c>
      <c r="E206" s="21" t="e">
        <f t="shared" si="30"/>
        <v>#N/A</v>
      </c>
      <c r="F206" s="38">
        <f>'Leave Record'!G208</f>
        <v>0</v>
      </c>
      <c r="G206" s="38">
        <f>'Leave Record'!H208</f>
        <v>0</v>
      </c>
      <c r="H206" s="23">
        <f t="shared" si="31"/>
        <v>1</v>
      </c>
      <c r="I206" s="23">
        <f t="shared" si="32"/>
        <v>0</v>
      </c>
      <c r="J206" s="21" t="e">
        <f t="shared" si="33"/>
        <v>#N/A</v>
      </c>
      <c r="K206" s="23">
        <f>'Leave Record'!I208</f>
        <v>0</v>
      </c>
    </row>
    <row r="207" spans="1:18" x14ac:dyDescent="0.25">
      <c r="A207" s="38">
        <f t="shared" si="27"/>
        <v>1</v>
      </c>
      <c r="B207" s="38">
        <f>IF(K207=$P$13,'Rule 12'!$M$4,F207-1)</f>
        <v>-1</v>
      </c>
      <c r="C207" s="23">
        <f t="shared" si="28"/>
        <v>-1</v>
      </c>
      <c r="D207" s="21">
        <f t="shared" si="29"/>
        <v>-8.3333333333333329E-2</v>
      </c>
      <c r="E207" s="21" t="e">
        <f t="shared" si="30"/>
        <v>#N/A</v>
      </c>
      <c r="F207" s="38">
        <f>'Leave Record'!G209</f>
        <v>0</v>
      </c>
      <c r="G207" s="38">
        <f>'Leave Record'!H209</f>
        <v>0</v>
      </c>
      <c r="H207" s="23">
        <f t="shared" si="31"/>
        <v>1</v>
      </c>
      <c r="I207" s="23">
        <f t="shared" si="32"/>
        <v>0</v>
      </c>
      <c r="J207" s="21" t="e">
        <f t="shared" si="33"/>
        <v>#N/A</v>
      </c>
      <c r="K207" s="23">
        <f>'Leave Record'!I209</f>
        <v>0</v>
      </c>
    </row>
    <row r="208" spans="1:18" x14ac:dyDescent="0.25">
      <c r="A208" s="38">
        <f t="shared" si="27"/>
        <v>1</v>
      </c>
      <c r="B208" s="38">
        <f>IF(K208=$P$13,'Rule 12'!$M$4,F208-1)</f>
        <v>-1</v>
      </c>
      <c r="C208" s="23">
        <f t="shared" si="28"/>
        <v>-1</v>
      </c>
      <c r="D208" s="21">
        <f t="shared" si="29"/>
        <v>-8.3333333333333329E-2</v>
      </c>
      <c r="E208" s="21" t="e">
        <f t="shared" si="30"/>
        <v>#N/A</v>
      </c>
      <c r="F208" s="38">
        <f>'Leave Record'!G210</f>
        <v>0</v>
      </c>
      <c r="G208" s="38">
        <f>'Leave Record'!H210</f>
        <v>0</v>
      </c>
      <c r="H208" s="23">
        <f t="shared" si="31"/>
        <v>1</v>
      </c>
      <c r="I208" s="23">
        <f t="shared" si="32"/>
        <v>0</v>
      </c>
      <c r="J208" s="21" t="e">
        <f t="shared" si="33"/>
        <v>#N/A</v>
      </c>
      <c r="K208" s="23">
        <f>'Leave Record'!I210</f>
        <v>0</v>
      </c>
    </row>
    <row r="209" spans="1:11" x14ac:dyDescent="0.25">
      <c r="A209" s="38">
        <f t="shared" si="27"/>
        <v>1</v>
      </c>
      <c r="B209" s="38">
        <f>IF(K209=$P$13,'Rule 12'!$M$4,F209-1)</f>
        <v>-1</v>
      </c>
      <c r="C209" s="23">
        <f t="shared" si="28"/>
        <v>-1</v>
      </c>
      <c r="D209" s="21">
        <f t="shared" si="29"/>
        <v>-8.3333333333333329E-2</v>
      </c>
      <c r="E209" s="21" t="e">
        <f t="shared" si="30"/>
        <v>#N/A</v>
      </c>
      <c r="F209" s="38">
        <f>'Leave Record'!G211</f>
        <v>0</v>
      </c>
      <c r="G209" s="38">
        <f>'Leave Record'!H211</f>
        <v>0</v>
      </c>
      <c r="H209" s="23">
        <f t="shared" si="31"/>
        <v>1</v>
      </c>
      <c r="I209" s="23">
        <f t="shared" si="32"/>
        <v>0</v>
      </c>
      <c r="J209" s="21" t="e">
        <f t="shared" si="33"/>
        <v>#N/A</v>
      </c>
      <c r="K209" s="23">
        <f>'Leave Record'!I211</f>
        <v>0</v>
      </c>
    </row>
    <row r="210" spans="1:11" x14ac:dyDescent="0.25">
      <c r="A210" s="38">
        <f t="shared" si="27"/>
        <v>1</v>
      </c>
      <c r="B210" s="38">
        <f>IF(K210=$P$13,'Rule 12'!$M$4,F210-1)</f>
        <v>-1</v>
      </c>
      <c r="C210" s="23">
        <f t="shared" si="28"/>
        <v>-1</v>
      </c>
      <c r="D210" s="21">
        <f t="shared" si="29"/>
        <v>-8.3333333333333329E-2</v>
      </c>
      <c r="E210" s="21" t="e">
        <f t="shared" si="30"/>
        <v>#N/A</v>
      </c>
      <c r="F210" s="38">
        <f>'Leave Record'!G212</f>
        <v>0</v>
      </c>
      <c r="G210" s="38">
        <f>'Leave Record'!H212</f>
        <v>0</v>
      </c>
      <c r="H210" s="23">
        <f t="shared" si="31"/>
        <v>1</v>
      </c>
      <c r="I210" s="23">
        <f t="shared" si="32"/>
        <v>0</v>
      </c>
      <c r="J210" s="21" t="e">
        <f t="shared" si="33"/>
        <v>#N/A</v>
      </c>
      <c r="K210" s="23">
        <f>'Leave Record'!I212</f>
        <v>0</v>
      </c>
    </row>
    <row r="211" spans="1:11" x14ac:dyDescent="0.25">
      <c r="A211" s="38">
        <f t="shared" si="27"/>
        <v>1</v>
      </c>
      <c r="B211" s="38">
        <f>IF(K211=$P$13,'Rule 12'!$M$4,F211-1)</f>
        <v>-1</v>
      </c>
      <c r="C211" s="23">
        <f t="shared" si="28"/>
        <v>-1</v>
      </c>
      <c r="D211" s="21">
        <f t="shared" si="29"/>
        <v>-8.3333333333333329E-2</v>
      </c>
      <c r="E211" s="21" t="e">
        <f t="shared" si="30"/>
        <v>#N/A</v>
      </c>
      <c r="F211" s="38">
        <f>'Leave Record'!G213</f>
        <v>0</v>
      </c>
      <c r="G211" s="38">
        <f>'Leave Record'!H213</f>
        <v>0</v>
      </c>
      <c r="H211" s="23">
        <f t="shared" si="31"/>
        <v>1</v>
      </c>
      <c r="I211" s="23">
        <f t="shared" si="32"/>
        <v>0</v>
      </c>
      <c r="J211" s="21" t="e">
        <f t="shared" si="33"/>
        <v>#N/A</v>
      </c>
      <c r="K211" s="23">
        <f>'Leave Record'!I213</f>
        <v>0</v>
      </c>
    </row>
    <row r="212" spans="1:11" x14ac:dyDescent="0.25">
      <c r="A212" s="38">
        <f t="shared" si="27"/>
        <v>1</v>
      </c>
      <c r="B212" s="38">
        <f>IF(K212=$P$13,'Rule 12'!$M$4,F212-1)</f>
        <v>-1</v>
      </c>
      <c r="C212" s="23">
        <f t="shared" si="28"/>
        <v>-1</v>
      </c>
      <c r="D212" s="21">
        <f t="shared" si="29"/>
        <v>-8.3333333333333329E-2</v>
      </c>
      <c r="E212" s="21" t="e">
        <f t="shared" si="30"/>
        <v>#N/A</v>
      </c>
      <c r="F212" s="38">
        <f>'Leave Record'!G214</f>
        <v>0</v>
      </c>
      <c r="G212" s="38">
        <f>'Leave Record'!H214</f>
        <v>0</v>
      </c>
      <c r="H212" s="23">
        <f t="shared" si="31"/>
        <v>1</v>
      </c>
      <c r="I212" s="23">
        <f t="shared" si="32"/>
        <v>0</v>
      </c>
      <c r="J212" s="21" t="e">
        <f t="shared" si="33"/>
        <v>#N/A</v>
      </c>
      <c r="K212" s="23">
        <f>'Leave Record'!I214</f>
        <v>0</v>
      </c>
    </row>
    <row r="213" spans="1:11" x14ac:dyDescent="0.25">
      <c r="A213" s="38">
        <f t="shared" si="27"/>
        <v>1</v>
      </c>
      <c r="B213" s="38">
        <f>IF(K213=$P$13,'Rule 12'!$M$4,F213-1)</f>
        <v>-1</v>
      </c>
      <c r="C213" s="23">
        <f t="shared" si="28"/>
        <v>-1</v>
      </c>
      <c r="D213" s="21">
        <f t="shared" si="29"/>
        <v>-8.3333333333333329E-2</v>
      </c>
      <c r="E213" s="21" t="e">
        <f t="shared" si="30"/>
        <v>#N/A</v>
      </c>
      <c r="F213" s="38">
        <f>'Leave Record'!G215</f>
        <v>0</v>
      </c>
      <c r="G213" s="38">
        <f>'Leave Record'!H215</f>
        <v>0</v>
      </c>
      <c r="H213" s="23">
        <f t="shared" si="31"/>
        <v>1</v>
      </c>
      <c r="I213" s="23">
        <f t="shared" si="32"/>
        <v>0</v>
      </c>
      <c r="J213" s="21" t="e">
        <f t="shared" si="33"/>
        <v>#N/A</v>
      </c>
      <c r="K213" s="23">
        <f>'Leave Record'!I215</f>
        <v>0</v>
      </c>
    </row>
    <row r="214" spans="1:11" x14ac:dyDescent="0.25">
      <c r="A214" s="38">
        <f t="shared" si="27"/>
        <v>1</v>
      </c>
      <c r="B214" s="38">
        <f>IF(K214=$P$13,'Rule 12'!$M$4,F214-1)</f>
        <v>-1</v>
      </c>
      <c r="C214" s="23">
        <f t="shared" si="28"/>
        <v>-1</v>
      </c>
      <c r="D214" s="21">
        <f t="shared" si="29"/>
        <v>-8.3333333333333329E-2</v>
      </c>
      <c r="E214" s="21" t="e">
        <f t="shared" si="30"/>
        <v>#N/A</v>
      </c>
      <c r="F214" s="38">
        <f>'Leave Record'!G216</f>
        <v>0</v>
      </c>
      <c r="G214" s="38">
        <f>'Leave Record'!H216</f>
        <v>0</v>
      </c>
      <c r="H214" s="23">
        <f t="shared" si="31"/>
        <v>1</v>
      </c>
      <c r="I214" s="23">
        <f t="shared" si="32"/>
        <v>0</v>
      </c>
      <c r="J214" s="21" t="e">
        <f t="shared" si="33"/>
        <v>#N/A</v>
      </c>
      <c r="K214" s="23">
        <f>'Leave Record'!I216</f>
        <v>0</v>
      </c>
    </row>
    <row r="215" spans="1:11" x14ac:dyDescent="0.25">
      <c r="A215" s="38">
        <f t="shared" si="27"/>
        <v>1</v>
      </c>
      <c r="B215" s="38">
        <f>IF(K215=$P$13,'Rule 12'!$M$4,F215-1)</f>
        <v>-1</v>
      </c>
      <c r="C215" s="23">
        <f t="shared" si="28"/>
        <v>-1</v>
      </c>
      <c r="D215" s="21">
        <f t="shared" si="29"/>
        <v>-8.3333333333333329E-2</v>
      </c>
      <c r="E215" s="21" t="e">
        <f t="shared" si="30"/>
        <v>#N/A</v>
      </c>
      <c r="F215" s="38">
        <f>'Leave Record'!G217</f>
        <v>0</v>
      </c>
      <c r="G215" s="38">
        <f>'Leave Record'!H217</f>
        <v>0</v>
      </c>
      <c r="H215" s="23">
        <f t="shared" si="31"/>
        <v>1</v>
      </c>
      <c r="I215" s="23">
        <f t="shared" si="32"/>
        <v>0</v>
      </c>
      <c r="J215" s="21" t="e">
        <f t="shared" si="33"/>
        <v>#N/A</v>
      </c>
      <c r="K215" s="23">
        <f>'Leave Record'!I217</f>
        <v>0</v>
      </c>
    </row>
    <row r="216" spans="1:11" x14ac:dyDescent="0.25">
      <c r="A216" s="38">
        <f t="shared" si="27"/>
        <v>1</v>
      </c>
      <c r="B216" s="38">
        <f>IF(K216=$P$13,'Rule 12'!$M$4,F216-1)</f>
        <v>-1</v>
      </c>
      <c r="C216" s="23">
        <f t="shared" si="28"/>
        <v>-1</v>
      </c>
      <c r="D216" s="21">
        <f t="shared" si="29"/>
        <v>-8.3333333333333329E-2</v>
      </c>
      <c r="E216" s="21" t="e">
        <f t="shared" si="30"/>
        <v>#N/A</v>
      </c>
      <c r="F216" s="38">
        <f>'Leave Record'!G218</f>
        <v>0</v>
      </c>
      <c r="G216" s="38">
        <f>'Leave Record'!H218</f>
        <v>0</v>
      </c>
      <c r="H216" s="23">
        <f t="shared" si="31"/>
        <v>1</v>
      </c>
      <c r="I216" s="23">
        <f t="shared" si="32"/>
        <v>0</v>
      </c>
      <c r="J216" s="21" t="e">
        <f t="shared" si="33"/>
        <v>#N/A</v>
      </c>
      <c r="K216" s="23">
        <f>'Leave Record'!I218</f>
        <v>0</v>
      </c>
    </row>
    <row r="217" spans="1:11" x14ac:dyDescent="0.25">
      <c r="A217" s="38">
        <f t="shared" si="27"/>
        <v>1</v>
      </c>
      <c r="B217" s="38">
        <f>IF(K217=$P$13,'Rule 12'!$M$4,F217-1)</f>
        <v>-1</v>
      </c>
      <c r="C217" s="23">
        <f t="shared" si="28"/>
        <v>-1</v>
      </c>
      <c r="D217" s="21">
        <f t="shared" si="29"/>
        <v>-8.3333333333333329E-2</v>
      </c>
      <c r="E217" s="21" t="e">
        <f t="shared" si="30"/>
        <v>#N/A</v>
      </c>
      <c r="F217" s="38">
        <f>'Leave Record'!G219</f>
        <v>0</v>
      </c>
      <c r="G217" s="38">
        <f>'Leave Record'!H219</f>
        <v>0</v>
      </c>
      <c r="H217" s="23">
        <f t="shared" si="31"/>
        <v>1</v>
      </c>
      <c r="I217" s="23">
        <f t="shared" si="32"/>
        <v>0</v>
      </c>
      <c r="J217" s="21" t="e">
        <f t="shared" si="33"/>
        <v>#N/A</v>
      </c>
      <c r="K217" s="23">
        <f>'Leave Record'!I219</f>
        <v>0</v>
      </c>
    </row>
    <row r="218" spans="1:11" x14ac:dyDescent="0.25">
      <c r="A218" s="38">
        <f t="shared" si="27"/>
        <v>1</v>
      </c>
      <c r="B218" s="38">
        <f>IF(K218=$P$13,'Rule 12'!$M$4,F218-1)</f>
        <v>-1</v>
      </c>
      <c r="C218" s="23">
        <f t="shared" si="28"/>
        <v>-1</v>
      </c>
      <c r="D218" s="21">
        <f t="shared" si="29"/>
        <v>-8.3333333333333329E-2</v>
      </c>
      <c r="E218" s="21" t="e">
        <f t="shared" si="30"/>
        <v>#N/A</v>
      </c>
      <c r="F218" s="38">
        <f>'Leave Record'!G220</f>
        <v>0</v>
      </c>
      <c r="G218" s="38">
        <f>'Leave Record'!H220</f>
        <v>0</v>
      </c>
      <c r="H218" s="23">
        <f t="shared" si="31"/>
        <v>1</v>
      </c>
      <c r="I218" s="23">
        <f t="shared" si="32"/>
        <v>0</v>
      </c>
      <c r="J218" s="21" t="e">
        <f t="shared" si="33"/>
        <v>#N/A</v>
      </c>
      <c r="K218" s="23">
        <f>'Leave Record'!I220</f>
        <v>0</v>
      </c>
    </row>
    <row r="219" spans="1:11" x14ac:dyDescent="0.25">
      <c r="A219" s="38">
        <f t="shared" si="27"/>
        <v>1</v>
      </c>
      <c r="B219" s="38">
        <f>IF(K219=$P$13,'Rule 12'!$M$4,F219-1)</f>
        <v>-1</v>
      </c>
      <c r="C219" s="23">
        <f t="shared" si="28"/>
        <v>-1</v>
      </c>
      <c r="D219" s="21">
        <f t="shared" si="29"/>
        <v>-8.3333333333333329E-2</v>
      </c>
      <c r="E219" s="21" t="e">
        <f t="shared" si="30"/>
        <v>#N/A</v>
      </c>
      <c r="F219" s="38">
        <f>'Leave Record'!G221</f>
        <v>0</v>
      </c>
      <c r="G219" s="38">
        <f>'Leave Record'!H221</f>
        <v>0</v>
      </c>
      <c r="H219" s="23">
        <f t="shared" si="31"/>
        <v>1</v>
      </c>
      <c r="I219" s="23">
        <f t="shared" si="32"/>
        <v>0</v>
      </c>
      <c r="J219" s="21" t="e">
        <f t="shared" si="33"/>
        <v>#N/A</v>
      </c>
      <c r="K219" s="23">
        <f>'Leave Record'!I221</f>
        <v>0</v>
      </c>
    </row>
    <row r="220" spans="1:11" x14ac:dyDescent="0.25">
      <c r="A220" s="38">
        <f t="shared" si="27"/>
        <v>1</v>
      </c>
      <c r="B220" s="38">
        <f>IF(K220=$P$13,'Rule 12'!$M$4,F220-1)</f>
        <v>-1</v>
      </c>
      <c r="C220" s="23">
        <f t="shared" si="28"/>
        <v>-1</v>
      </c>
      <c r="D220" s="21">
        <f t="shared" si="29"/>
        <v>-8.3333333333333329E-2</v>
      </c>
      <c r="E220" s="21" t="e">
        <f t="shared" si="30"/>
        <v>#N/A</v>
      </c>
      <c r="F220" s="38">
        <f>'Leave Record'!G222</f>
        <v>0</v>
      </c>
      <c r="G220" s="38">
        <f>'Leave Record'!H222</f>
        <v>0</v>
      </c>
      <c r="H220" s="23">
        <f t="shared" si="31"/>
        <v>1</v>
      </c>
      <c r="I220" s="23">
        <f t="shared" si="32"/>
        <v>0</v>
      </c>
      <c r="J220" s="21" t="e">
        <f t="shared" si="33"/>
        <v>#N/A</v>
      </c>
      <c r="K220" s="23">
        <f>'Leave Record'!I222</f>
        <v>0</v>
      </c>
    </row>
    <row r="221" spans="1:11" x14ac:dyDescent="0.25">
      <c r="A221" s="38">
        <f t="shared" si="27"/>
        <v>1</v>
      </c>
      <c r="B221" s="38">
        <f>IF(K221=$P$13,'Rule 12'!$M$4,F221-1)</f>
        <v>-1</v>
      </c>
      <c r="C221" s="23">
        <f t="shared" si="28"/>
        <v>-1</v>
      </c>
      <c r="D221" s="21">
        <f t="shared" si="29"/>
        <v>-8.3333333333333329E-2</v>
      </c>
      <c r="E221" s="21" t="e">
        <f t="shared" si="30"/>
        <v>#N/A</v>
      </c>
      <c r="F221" s="38">
        <f>'Leave Record'!G223</f>
        <v>0</v>
      </c>
      <c r="G221" s="38">
        <f>'Leave Record'!H223</f>
        <v>0</v>
      </c>
      <c r="H221" s="23">
        <f t="shared" si="31"/>
        <v>1</v>
      </c>
      <c r="I221" s="23">
        <f t="shared" si="32"/>
        <v>0</v>
      </c>
      <c r="J221" s="21" t="e">
        <f t="shared" si="33"/>
        <v>#N/A</v>
      </c>
      <c r="K221" s="23">
        <f>'Leave Record'!I223</f>
        <v>0</v>
      </c>
    </row>
    <row r="222" spans="1:11" x14ac:dyDescent="0.25">
      <c r="A222" s="38">
        <f t="shared" si="27"/>
        <v>1</v>
      </c>
      <c r="B222" s="38">
        <f>IF(K222=$P$13,'Rule 12'!$M$4,F222-1)</f>
        <v>-1</v>
      </c>
      <c r="C222" s="23">
        <f t="shared" si="28"/>
        <v>-1</v>
      </c>
      <c r="D222" s="21">
        <f t="shared" si="29"/>
        <v>-8.3333333333333329E-2</v>
      </c>
      <c r="E222" s="21" t="e">
        <f t="shared" si="30"/>
        <v>#N/A</v>
      </c>
      <c r="F222" s="38">
        <f>'Leave Record'!G224</f>
        <v>0</v>
      </c>
      <c r="G222" s="38">
        <f>'Leave Record'!H224</f>
        <v>0</v>
      </c>
      <c r="H222" s="23">
        <f t="shared" si="31"/>
        <v>1</v>
      </c>
      <c r="I222" s="23">
        <f t="shared" si="32"/>
        <v>0</v>
      </c>
      <c r="J222" s="21" t="e">
        <f t="shared" si="33"/>
        <v>#N/A</v>
      </c>
      <c r="K222" s="23">
        <f>'Leave Record'!I224</f>
        <v>0</v>
      </c>
    </row>
    <row r="223" spans="1:11" x14ac:dyDescent="0.25">
      <c r="A223" s="38">
        <f t="shared" si="27"/>
        <v>1</v>
      </c>
      <c r="B223" s="38">
        <f>IF(K223=$P$13,'Rule 12'!$M$4,F223-1)</f>
        <v>-1</v>
      </c>
      <c r="C223" s="23">
        <f t="shared" si="28"/>
        <v>-1</v>
      </c>
      <c r="D223" s="21">
        <f t="shared" si="29"/>
        <v>-8.3333333333333329E-2</v>
      </c>
      <c r="E223" s="21" t="e">
        <f t="shared" si="30"/>
        <v>#N/A</v>
      </c>
      <c r="F223" s="38">
        <f>'Leave Record'!G225</f>
        <v>0</v>
      </c>
      <c r="G223" s="38">
        <f>'Leave Record'!H225</f>
        <v>0</v>
      </c>
      <c r="H223" s="23">
        <f t="shared" si="31"/>
        <v>1</v>
      </c>
      <c r="I223" s="23">
        <f t="shared" si="32"/>
        <v>0</v>
      </c>
      <c r="J223" s="21" t="e">
        <f t="shared" si="33"/>
        <v>#N/A</v>
      </c>
      <c r="K223" s="23">
        <f>'Leave Record'!I225</f>
        <v>0</v>
      </c>
    </row>
    <row r="224" spans="1:11" x14ac:dyDescent="0.25">
      <c r="A224" s="38">
        <f t="shared" si="27"/>
        <v>1</v>
      </c>
      <c r="B224" s="38">
        <f>IF(K224=$P$13,'Rule 12'!$M$4,F224-1)</f>
        <v>-1</v>
      </c>
      <c r="C224" s="23">
        <f t="shared" si="28"/>
        <v>-1</v>
      </c>
      <c r="D224" s="21">
        <f t="shared" si="29"/>
        <v>-8.3333333333333329E-2</v>
      </c>
      <c r="E224" s="21" t="e">
        <f t="shared" si="30"/>
        <v>#N/A</v>
      </c>
      <c r="F224" s="38">
        <f>'Leave Record'!G226</f>
        <v>0</v>
      </c>
      <c r="G224" s="38">
        <f>'Leave Record'!H226</f>
        <v>0</v>
      </c>
      <c r="H224" s="23">
        <f t="shared" si="31"/>
        <v>1</v>
      </c>
      <c r="I224" s="23">
        <f t="shared" si="32"/>
        <v>0</v>
      </c>
      <c r="J224" s="21" t="e">
        <f t="shared" si="33"/>
        <v>#N/A</v>
      </c>
      <c r="K224" s="23">
        <f>'Leave Record'!I226</f>
        <v>0</v>
      </c>
    </row>
    <row r="225" spans="1:11" x14ac:dyDescent="0.25">
      <c r="A225" s="38">
        <f t="shared" si="27"/>
        <v>1</v>
      </c>
      <c r="B225" s="38">
        <f>IF(K225=$P$13,'Rule 12'!$M$4,F225-1)</f>
        <v>-1</v>
      </c>
      <c r="C225" s="23">
        <f t="shared" si="28"/>
        <v>-1</v>
      </c>
      <c r="D225" s="21">
        <f t="shared" si="29"/>
        <v>-8.3333333333333329E-2</v>
      </c>
      <c r="E225" s="21" t="e">
        <f t="shared" si="30"/>
        <v>#N/A</v>
      </c>
      <c r="F225" s="38">
        <f>'Leave Record'!G227</f>
        <v>0</v>
      </c>
      <c r="G225" s="38">
        <f>'Leave Record'!H227</f>
        <v>0</v>
      </c>
      <c r="H225" s="23">
        <f t="shared" si="31"/>
        <v>1</v>
      </c>
      <c r="I225" s="23">
        <f t="shared" si="32"/>
        <v>0</v>
      </c>
      <c r="J225" s="21" t="e">
        <f t="shared" si="33"/>
        <v>#N/A</v>
      </c>
      <c r="K225" s="23">
        <f>'Leave Record'!I227</f>
        <v>0</v>
      </c>
    </row>
    <row r="226" spans="1:11" x14ac:dyDescent="0.25">
      <c r="A226" s="38">
        <f t="shared" si="27"/>
        <v>1</v>
      </c>
      <c r="B226" s="38">
        <f>IF(K226=$P$13,'Rule 12'!$M$4,F226-1)</f>
        <v>-1</v>
      </c>
      <c r="C226" s="23">
        <f t="shared" si="28"/>
        <v>-1</v>
      </c>
      <c r="D226" s="21">
        <f t="shared" si="29"/>
        <v>-8.3333333333333329E-2</v>
      </c>
      <c r="E226" s="21" t="e">
        <f t="shared" si="30"/>
        <v>#N/A</v>
      </c>
      <c r="F226" s="38">
        <f>'Leave Record'!G228</f>
        <v>0</v>
      </c>
      <c r="G226" s="38">
        <f>'Leave Record'!H228</f>
        <v>0</v>
      </c>
      <c r="H226" s="23">
        <f t="shared" si="31"/>
        <v>1</v>
      </c>
      <c r="I226" s="23">
        <f t="shared" si="32"/>
        <v>0</v>
      </c>
      <c r="J226" s="21" t="e">
        <f t="shared" si="33"/>
        <v>#N/A</v>
      </c>
      <c r="K226" s="23">
        <f>'Leave Record'!I228</f>
        <v>0</v>
      </c>
    </row>
    <row r="227" spans="1:11" x14ac:dyDescent="0.25">
      <c r="A227" s="38">
        <f t="shared" si="27"/>
        <v>1</v>
      </c>
      <c r="B227" s="38">
        <f>IF(K227=$P$13,'Rule 12'!$M$4,F227-1)</f>
        <v>-1</v>
      </c>
      <c r="C227" s="23">
        <f t="shared" si="28"/>
        <v>-1</v>
      </c>
      <c r="D227" s="21">
        <f t="shared" si="29"/>
        <v>-8.3333333333333329E-2</v>
      </c>
      <c r="E227" s="21" t="e">
        <f t="shared" si="30"/>
        <v>#N/A</v>
      </c>
      <c r="F227" s="38">
        <f>'Leave Record'!G229</f>
        <v>0</v>
      </c>
      <c r="G227" s="38">
        <f>'Leave Record'!H229</f>
        <v>0</v>
      </c>
      <c r="H227" s="23">
        <f t="shared" si="31"/>
        <v>1</v>
      </c>
      <c r="I227" s="23">
        <f t="shared" si="32"/>
        <v>0</v>
      </c>
      <c r="J227" s="21" t="e">
        <f t="shared" si="33"/>
        <v>#N/A</v>
      </c>
      <c r="K227" s="23">
        <f>'Leave Record'!I229</f>
        <v>0</v>
      </c>
    </row>
    <row r="228" spans="1:11" x14ac:dyDescent="0.25">
      <c r="A228" s="38">
        <f t="shared" si="27"/>
        <v>1</v>
      </c>
      <c r="B228" s="38">
        <f>IF(K228=$P$13,'Rule 12'!$M$4,F228-1)</f>
        <v>-1</v>
      </c>
      <c r="C228" s="23">
        <f t="shared" si="28"/>
        <v>-1</v>
      </c>
      <c r="D228" s="21">
        <f t="shared" si="29"/>
        <v>-8.3333333333333329E-2</v>
      </c>
      <c r="E228" s="21" t="e">
        <f t="shared" si="30"/>
        <v>#N/A</v>
      </c>
      <c r="F228" s="38">
        <f>'Leave Record'!G230</f>
        <v>0</v>
      </c>
      <c r="G228" s="38">
        <f>'Leave Record'!H230</f>
        <v>0</v>
      </c>
      <c r="H228" s="23">
        <f t="shared" si="31"/>
        <v>1</v>
      </c>
      <c r="I228" s="23">
        <f t="shared" si="32"/>
        <v>0</v>
      </c>
      <c r="J228" s="21" t="e">
        <f t="shared" si="33"/>
        <v>#N/A</v>
      </c>
      <c r="K228" s="23">
        <f>'Leave Record'!I230</f>
        <v>0</v>
      </c>
    </row>
    <row r="229" spans="1:11" x14ac:dyDescent="0.25">
      <c r="A229" s="38">
        <f t="shared" si="27"/>
        <v>1</v>
      </c>
      <c r="B229" s="38">
        <f>IF(K229=$P$13,'Rule 12'!$M$4,F229-1)</f>
        <v>-1</v>
      </c>
      <c r="C229" s="23">
        <f t="shared" si="28"/>
        <v>-1</v>
      </c>
      <c r="D229" s="21">
        <f t="shared" si="29"/>
        <v>-8.3333333333333329E-2</v>
      </c>
      <c r="E229" s="21" t="e">
        <f t="shared" si="30"/>
        <v>#N/A</v>
      </c>
      <c r="F229" s="38">
        <f>'Leave Record'!G231</f>
        <v>0</v>
      </c>
      <c r="G229" s="38">
        <f>'Leave Record'!H231</f>
        <v>0</v>
      </c>
      <c r="H229" s="23">
        <f t="shared" si="31"/>
        <v>1</v>
      </c>
      <c r="I229" s="23">
        <f t="shared" si="32"/>
        <v>0</v>
      </c>
      <c r="J229" s="21" t="e">
        <f t="shared" si="33"/>
        <v>#N/A</v>
      </c>
      <c r="K229" s="23">
        <f>'Leave Record'!I231</f>
        <v>0</v>
      </c>
    </row>
    <row r="230" spans="1:11" x14ac:dyDescent="0.25">
      <c r="A230" s="38">
        <f t="shared" si="27"/>
        <v>1</v>
      </c>
      <c r="B230" s="38">
        <f>IF(K230=$P$13,'Rule 12'!$M$4,F230-1)</f>
        <v>-1</v>
      </c>
      <c r="C230" s="23">
        <f t="shared" si="28"/>
        <v>-1</v>
      </c>
      <c r="D230" s="21">
        <f t="shared" si="29"/>
        <v>-8.3333333333333329E-2</v>
      </c>
      <c r="E230" s="21" t="e">
        <f t="shared" si="30"/>
        <v>#N/A</v>
      </c>
      <c r="F230" s="38">
        <f>'Leave Record'!G232</f>
        <v>0</v>
      </c>
      <c r="G230" s="38">
        <f>'Leave Record'!H232</f>
        <v>0</v>
      </c>
      <c r="H230" s="23">
        <f t="shared" si="31"/>
        <v>1</v>
      </c>
      <c r="I230" s="23">
        <f t="shared" si="32"/>
        <v>0</v>
      </c>
      <c r="J230" s="21" t="e">
        <f t="shared" si="33"/>
        <v>#N/A</v>
      </c>
      <c r="K230" s="23">
        <f>'Leave Record'!I232</f>
        <v>0</v>
      </c>
    </row>
    <row r="231" spans="1:11" x14ac:dyDescent="0.25">
      <c r="A231" s="38">
        <f t="shared" si="27"/>
        <v>1</v>
      </c>
      <c r="B231" s="38">
        <f>IF(K231=$P$13,'Rule 12'!$M$4,F231-1)</f>
        <v>-1</v>
      </c>
      <c r="C231" s="23">
        <f t="shared" si="28"/>
        <v>-1</v>
      </c>
      <c r="D231" s="21">
        <f t="shared" si="29"/>
        <v>-8.3333333333333329E-2</v>
      </c>
      <c r="E231" s="21" t="e">
        <f t="shared" si="30"/>
        <v>#N/A</v>
      </c>
      <c r="F231" s="38">
        <f>'Leave Record'!G233</f>
        <v>0</v>
      </c>
      <c r="G231" s="38">
        <f>'Leave Record'!H233</f>
        <v>0</v>
      </c>
      <c r="H231" s="23">
        <f t="shared" si="31"/>
        <v>1</v>
      </c>
      <c r="I231" s="23">
        <f t="shared" si="32"/>
        <v>0</v>
      </c>
      <c r="J231" s="21" t="e">
        <f t="shared" si="33"/>
        <v>#N/A</v>
      </c>
      <c r="K231" s="23">
        <f>'Leave Record'!I233</f>
        <v>0</v>
      </c>
    </row>
    <row r="232" spans="1:11" x14ac:dyDescent="0.25">
      <c r="A232" s="38">
        <f t="shared" si="27"/>
        <v>1</v>
      </c>
      <c r="B232" s="38">
        <f>IF(K232=$P$13,'Rule 12'!$M$4,F232-1)</f>
        <v>-1</v>
      </c>
      <c r="C232" s="23">
        <f t="shared" si="28"/>
        <v>-1</v>
      </c>
      <c r="D232" s="21">
        <f t="shared" si="29"/>
        <v>-8.3333333333333329E-2</v>
      </c>
      <c r="E232" s="21" t="e">
        <f t="shared" si="30"/>
        <v>#N/A</v>
      </c>
      <c r="F232" s="38">
        <f>'Leave Record'!G234</f>
        <v>0</v>
      </c>
      <c r="G232" s="38">
        <f>'Leave Record'!H234</f>
        <v>0</v>
      </c>
      <c r="H232" s="23">
        <f t="shared" si="31"/>
        <v>1</v>
      </c>
      <c r="I232" s="23">
        <f t="shared" si="32"/>
        <v>0</v>
      </c>
      <c r="J232" s="21" t="e">
        <f t="shared" si="33"/>
        <v>#N/A</v>
      </c>
      <c r="K232" s="23">
        <f>'Leave Record'!I234</f>
        <v>0</v>
      </c>
    </row>
    <row r="233" spans="1:11" x14ac:dyDescent="0.25">
      <c r="A233" s="38">
        <f t="shared" si="27"/>
        <v>1</v>
      </c>
      <c r="B233" s="38">
        <f>IF(K233=$P$13,'Rule 12'!$M$4,F233-1)</f>
        <v>-1</v>
      </c>
      <c r="C233" s="23">
        <f t="shared" si="28"/>
        <v>-1</v>
      </c>
      <c r="D233" s="21">
        <f t="shared" si="29"/>
        <v>-8.3333333333333329E-2</v>
      </c>
      <c r="E233" s="21" t="e">
        <f t="shared" si="30"/>
        <v>#N/A</v>
      </c>
      <c r="F233" s="38">
        <f>'Leave Record'!G235</f>
        <v>0</v>
      </c>
      <c r="G233" s="38">
        <f>'Leave Record'!H235</f>
        <v>0</v>
      </c>
      <c r="H233" s="23">
        <f t="shared" si="31"/>
        <v>1</v>
      </c>
      <c r="I233" s="23">
        <f t="shared" si="32"/>
        <v>0</v>
      </c>
      <c r="J233" s="21" t="e">
        <f t="shared" si="33"/>
        <v>#N/A</v>
      </c>
      <c r="K233" s="23">
        <f>'Leave Record'!I235</f>
        <v>0</v>
      </c>
    </row>
    <row r="234" spans="1:11" x14ac:dyDescent="0.25">
      <c r="A234" s="38">
        <f t="shared" si="27"/>
        <v>1</v>
      </c>
      <c r="B234" s="38">
        <f>IF(K234=$P$13,'Rule 12'!$M$4,F234-1)</f>
        <v>-1</v>
      </c>
      <c r="C234" s="23">
        <f t="shared" si="28"/>
        <v>-1</v>
      </c>
      <c r="D234" s="21">
        <f t="shared" si="29"/>
        <v>-8.3333333333333329E-2</v>
      </c>
      <c r="E234" s="21" t="e">
        <f t="shared" si="30"/>
        <v>#N/A</v>
      </c>
      <c r="F234" s="38">
        <f>'Leave Record'!G236</f>
        <v>0</v>
      </c>
      <c r="G234" s="38">
        <f>'Leave Record'!H236</f>
        <v>0</v>
      </c>
      <c r="H234" s="23">
        <f t="shared" si="31"/>
        <v>1</v>
      </c>
      <c r="I234" s="23">
        <f t="shared" si="32"/>
        <v>0</v>
      </c>
      <c r="J234" s="21" t="e">
        <f t="shared" si="33"/>
        <v>#N/A</v>
      </c>
      <c r="K234" s="23">
        <f>'Leave Record'!I236</f>
        <v>0</v>
      </c>
    </row>
    <row r="235" spans="1:11" x14ac:dyDescent="0.25">
      <c r="A235" s="38">
        <f t="shared" si="27"/>
        <v>1</v>
      </c>
      <c r="B235" s="38">
        <f>IF(K235=$P$13,'Rule 12'!$M$4,F235-1)</f>
        <v>-1</v>
      </c>
      <c r="C235" s="23">
        <f t="shared" si="28"/>
        <v>-1</v>
      </c>
      <c r="D235" s="21">
        <f t="shared" si="29"/>
        <v>-8.3333333333333329E-2</v>
      </c>
      <c r="E235" s="21" t="e">
        <f t="shared" si="30"/>
        <v>#N/A</v>
      </c>
      <c r="F235" s="38">
        <f>'Leave Record'!G237</f>
        <v>0</v>
      </c>
      <c r="G235" s="38">
        <f>'Leave Record'!H237</f>
        <v>0</v>
      </c>
      <c r="H235" s="23">
        <f t="shared" si="31"/>
        <v>1</v>
      </c>
      <c r="I235" s="23">
        <f t="shared" si="32"/>
        <v>0</v>
      </c>
      <c r="J235" s="21" t="e">
        <f t="shared" si="33"/>
        <v>#N/A</v>
      </c>
      <c r="K235" s="23">
        <f>'Leave Record'!I237</f>
        <v>0</v>
      </c>
    </row>
    <row r="236" spans="1:11" x14ac:dyDescent="0.25">
      <c r="A236" s="38">
        <f t="shared" si="27"/>
        <v>1</v>
      </c>
      <c r="B236" s="38">
        <f>IF(K236=$P$13,'Rule 12'!$M$4,F236-1)</f>
        <v>-1</v>
      </c>
      <c r="C236" s="23">
        <f t="shared" si="28"/>
        <v>-1</v>
      </c>
      <c r="D236" s="21">
        <f t="shared" si="29"/>
        <v>-8.3333333333333329E-2</v>
      </c>
      <c r="E236" s="21" t="e">
        <f t="shared" si="30"/>
        <v>#N/A</v>
      </c>
      <c r="F236" s="38">
        <f>'Leave Record'!G238</f>
        <v>0</v>
      </c>
      <c r="G236" s="38">
        <f>'Leave Record'!H238</f>
        <v>0</v>
      </c>
      <c r="H236" s="23">
        <f t="shared" si="31"/>
        <v>1</v>
      </c>
      <c r="I236" s="23">
        <f t="shared" si="32"/>
        <v>0</v>
      </c>
      <c r="J236" s="21" t="e">
        <f t="shared" si="33"/>
        <v>#N/A</v>
      </c>
      <c r="K236" s="23">
        <f>'Leave Record'!I238</f>
        <v>0</v>
      </c>
    </row>
    <row r="237" spans="1:11" x14ac:dyDescent="0.25">
      <c r="A237" s="38">
        <f t="shared" si="27"/>
        <v>1</v>
      </c>
      <c r="B237" s="38">
        <f>IF(K237=$P$13,'Rule 12'!$M$4,F237-1)</f>
        <v>-1</v>
      </c>
      <c r="C237" s="23">
        <f t="shared" si="28"/>
        <v>-1</v>
      </c>
      <c r="D237" s="21">
        <f t="shared" si="29"/>
        <v>-8.3333333333333329E-2</v>
      </c>
      <c r="E237" s="21" t="e">
        <f t="shared" si="30"/>
        <v>#N/A</v>
      </c>
      <c r="F237" s="38">
        <f>'Leave Record'!G239</f>
        <v>0</v>
      </c>
      <c r="G237" s="38">
        <f>'Leave Record'!H239</f>
        <v>0</v>
      </c>
      <c r="H237" s="23">
        <f t="shared" si="31"/>
        <v>1</v>
      </c>
      <c r="I237" s="23">
        <f t="shared" si="32"/>
        <v>0</v>
      </c>
      <c r="J237" s="21" t="e">
        <f t="shared" si="33"/>
        <v>#N/A</v>
      </c>
      <c r="K237" s="23">
        <f>'Leave Record'!I239</f>
        <v>0</v>
      </c>
    </row>
    <row r="238" spans="1:11" x14ac:dyDescent="0.25">
      <c r="A238" s="38">
        <f t="shared" si="27"/>
        <v>1</v>
      </c>
      <c r="B238" s="38">
        <f>IF(K238=$P$13,'Rule 12'!$M$4,F238-1)</f>
        <v>-1</v>
      </c>
      <c r="C238" s="23">
        <f t="shared" si="28"/>
        <v>-1</v>
      </c>
      <c r="D238" s="21">
        <f t="shared" si="29"/>
        <v>-8.3333333333333329E-2</v>
      </c>
      <c r="E238" s="21" t="e">
        <f t="shared" si="30"/>
        <v>#N/A</v>
      </c>
      <c r="F238" s="38">
        <f>'Leave Record'!G240</f>
        <v>0</v>
      </c>
      <c r="G238" s="38">
        <f>'Leave Record'!H240</f>
        <v>0</v>
      </c>
      <c r="H238" s="23">
        <f t="shared" si="31"/>
        <v>1</v>
      </c>
      <c r="I238" s="23">
        <f t="shared" si="32"/>
        <v>0</v>
      </c>
      <c r="J238" s="21" t="e">
        <f t="shared" si="33"/>
        <v>#N/A</v>
      </c>
      <c r="K238" s="23">
        <f>'Leave Record'!I240</f>
        <v>0</v>
      </c>
    </row>
    <row r="239" spans="1:11" x14ac:dyDescent="0.25">
      <c r="A239" s="38">
        <f t="shared" si="27"/>
        <v>1</v>
      </c>
      <c r="B239" s="38">
        <f>IF(K239=$P$13,'Rule 12'!$M$4,F239-1)</f>
        <v>-1</v>
      </c>
      <c r="C239" s="23">
        <f t="shared" si="28"/>
        <v>-1</v>
      </c>
      <c r="D239" s="21">
        <f t="shared" si="29"/>
        <v>-8.3333333333333329E-2</v>
      </c>
      <c r="E239" s="21" t="e">
        <f t="shared" si="30"/>
        <v>#N/A</v>
      </c>
      <c r="F239" s="38">
        <f>'Leave Record'!G241</f>
        <v>0</v>
      </c>
      <c r="G239" s="38">
        <f>'Leave Record'!H241</f>
        <v>0</v>
      </c>
      <c r="H239" s="23">
        <f t="shared" si="31"/>
        <v>1</v>
      </c>
      <c r="I239" s="23">
        <f t="shared" si="32"/>
        <v>0</v>
      </c>
      <c r="J239" s="21" t="e">
        <f t="shared" si="33"/>
        <v>#N/A</v>
      </c>
      <c r="K239" s="23">
        <f>'Leave Record'!I241</f>
        <v>0</v>
      </c>
    </row>
    <row r="240" spans="1:11" x14ac:dyDescent="0.25">
      <c r="A240" s="38">
        <f t="shared" si="27"/>
        <v>1</v>
      </c>
      <c r="B240" s="38">
        <f>IF(K240=$P$13,'Rule 12'!$M$4,F240-1)</f>
        <v>-1</v>
      </c>
      <c r="C240" s="23">
        <f t="shared" si="28"/>
        <v>-1</v>
      </c>
      <c r="D240" s="21">
        <f t="shared" si="29"/>
        <v>-8.3333333333333329E-2</v>
      </c>
      <c r="E240" s="21" t="e">
        <f t="shared" si="30"/>
        <v>#N/A</v>
      </c>
      <c r="F240" s="38">
        <f>'Leave Record'!G242</f>
        <v>0</v>
      </c>
      <c r="G240" s="38">
        <f>'Leave Record'!H242</f>
        <v>0</v>
      </c>
      <c r="H240" s="23">
        <f t="shared" si="31"/>
        <v>1</v>
      </c>
      <c r="I240" s="23">
        <f t="shared" si="32"/>
        <v>0</v>
      </c>
      <c r="J240" s="21" t="e">
        <f t="shared" si="33"/>
        <v>#N/A</v>
      </c>
      <c r="K240" s="23">
        <f>'Leave Record'!I242</f>
        <v>0</v>
      </c>
    </row>
    <row r="241" spans="1:11" x14ac:dyDescent="0.25">
      <c r="A241" s="38">
        <f t="shared" si="27"/>
        <v>1</v>
      </c>
      <c r="B241" s="38">
        <f>IF(K241=$P$13,'Rule 12'!$M$4,F241-1)</f>
        <v>-1</v>
      </c>
      <c r="C241" s="23">
        <f t="shared" si="28"/>
        <v>-1</v>
      </c>
      <c r="D241" s="21">
        <f t="shared" si="29"/>
        <v>-8.3333333333333329E-2</v>
      </c>
      <c r="E241" s="21" t="e">
        <f t="shared" si="30"/>
        <v>#N/A</v>
      </c>
      <c r="F241" s="38">
        <f>'Leave Record'!G243</f>
        <v>0</v>
      </c>
      <c r="G241" s="38">
        <f>'Leave Record'!H243</f>
        <v>0</v>
      </c>
      <c r="H241" s="23">
        <f t="shared" si="31"/>
        <v>1</v>
      </c>
      <c r="I241" s="23">
        <f t="shared" si="32"/>
        <v>0</v>
      </c>
      <c r="J241" s="21" t="e">
        <f t="shared" si="33"/>
        <v>#N/A</v>
      </c>
      <c r="K241" s="23">
        <f>'Leave Record'!I243</f>
        <v>0</v>
      </c>
    </row>
    <row r="242" spans="1:11" x14ac:dyDescent="0.25">
      <c r="A242" s="38">
        <f t="shared" si="27"/>
        <v>1</v>
      </c>
      <c r="B242" s="38">
        <f>IF(K242=$P$13,'Rule 12'!$M$4,F242-1)</f>
        <v>-1</v>
      </c>
      <c r="C242" s="23">
        <f t="shared" si="28"/>
        <v>-1</v>
      </c>
      <c r="D242" s="21">
        <f t="shared" si="29"/>
        <v>-8.3333333333333329E-2</v>
      </c>
      <c r="E242" s="21" t="e">
        <f t="shared" si="30"/>
        <v>#N/A</v>
      </c>
      <c r="F242" s="38">
        <f>'Leave Record'!G244</f>
        <v>0</v>
      </c>
      <c r="G242" s="38">
        <f>'Leave Record'!H244</f>
        <v>0</v>
      </c>
      <c r="H242" s="23">
        <f t="shared" si="31"/>
        <v>1</v>
      </c>
      <c r="I242" s="23">
        <f t="shared" si="32"/>
        <v>0</v>
      </c>
      <c r="J242" s="21" t="e">
        <f t="shared" si="33"/>
        <v>#N/A</v>
      </c>
      <c r="K242" s="23">
        <f>'Leave Record'!I244</f>
        <v>0</v>
      </c>
    </row>
    <row r="243" spans="1:11" x14ac:dyDescent="0.25">
      <c r="A243" s="38">
        <f t="shared" si="27"/>
        <v>1</v>
      </c>
      <c r="B243" s="38">
        <f>IF(K243=$P$13,'Rule 12'!$M$4,F243-1)</f>
        <v>-1</v>
      </c>
      <c r="C243" s="23">
        <f t="shared" si="28"/>
        <v>-1</v>
      </c>
      <c r="D243" s="21">
        <f t="shared" si="29"/>
        <v>-8.3333333333333329E-2</v>
      </c>
      <c r="E243" s="21" t="e">
        <f t="shared" si="30"/>
        <v>#N/A</v>
      </c>
      <c r="F243" s="38">
        <f>'Leave Record'!G245</f>
        <v>0</v>
      </c>
      <c r="G243" s="38">
        <f>'Leave Record'!H245</f>
        <v>0</v>
      </c>
      <c r="H243" s="23">
        <f t="shared" si="31"/>
        <v>1</v>
      </c>
      <c r="I243" s="23">
        <f t="shared" si="32"/>
        <v>0</v>
      </c>
      <c r="J243" s="21" t="e">
        <f t="shared" si="33"/>
        <v>#N/A</v>
      </c>
      <c r="K243" s="23">
        <f>'Leave Record'!I245</f>
        <v>0</v>
      </c>
    </row>
    <row r="244" spans="1:11" x14ac:dyDescent="0.25">
      <c r="A244" s="38">
        <f t="shared" si="27"/>
        <v>1</v>
      </c>
      <c r="B244" s="38">
        <f>IF(K244=$P$13,'Rule 12'!$M$4,F244-1)</f>
        <v>-1</v>
      </c>
      <c r="C244" s="23">
        <f t="shared" si="28"/>
        <v>-1</v>
      </c>
      <c r="D244" s="21">
        <f t="shared" si="29"/>
        <v>-8.3333333333333329E-2</v>
      </c>
      <c r="E244" s="21" t="e">
        <f t="shared" si="30"/>
        <v>#N/A</v>
      </c>
      <c r="F244" s="38">
        <f>'Leave Record'!G246</f>
        <v>0</v>
      </c>
      <c r="G244" s="38">
        <f>'Leave Record'!H246</f>
        <v>0</v>
      </c>
      <c r="H244" s="23">
        <f t="shared" si="31"/>
        <v>1</v>
      </c>
      <c r="I244" s="23">
        <f t="shared" si="32"/>
        <v>0</v>
      </c>
      <c r="J244" s="21" t="e">
        <f t="shared" si="33"/>
        <v>#N/A</v>
      </c>
      <c r="K244" s="23">
        <f>'Leave Record'!I246</f>
        <v>0</v>
      </c>
    </row>
    <row r="245" spans="1:11" x14ac:dyDescent="0.25">
      <c r="A245" s="38">
        <f t="shared" si="27"/>
        <v>1</v>
      </c>
      <c r="B245" s="38">
        <f>IF(K245=$P$13,'Rule 12'!$M$4,F245-1)</f>
        <v>-1</v>
      </c>
      <c r="C245" s="23">
        <f t="shared" si="28"/>
        <v>-1</v>
      </c>
      <c r="D245" s="21">
        <f t="shared" si="29"/>
        <v>-8.3333333333333329E-2</v>
      </c>
      <c r="E245" s="21" t="e">
        <f t="shared" si="30"/>
        <v>#N/A</v>
      </c>
      <c r="F245" s="38">
        <f>'Leave Record'!G247</f>
        <v>0</v>
      </c>
      <c r="G245" s="38">
        <f>'Leave Record'!H247</f>
        <v>0</v>
      </c>
      <c r="H245" s="23">
        <f t="shared" si="31"/>
        <v>1</v>
      </c>
      <c r="I245" s="23">
        <f t="shared" si="32"/>
        <v>0</v>
      </c>
      <c r="J245" s="21" t="e">
        <f t="shared" si="33"/>
        <v>#N/A</v>
      </c>
      <c r="K245" s="23">
        <f>'Leave Record'!I247</f>
        <v>0</v>
      </c>
    </row>
    <row r="246" spans="1:11" x14ac:dyDescent="0.25">
      <c r="A246" s="38">
        <f t="shared" si="27"/>
        <v>1</v>
      </c>
      <c r="B246" s="38">
        <f>IF(K246=$P$13,'Rule 12'!$M$4,F246-1)</f>
        <v>-1</v>
      </c>
      <c r="C246" s="23">
        <f t="shared" si="28"/>
        <v>-1</v>
      </c>
      <c r="D246" s="21">
        <f t="shared" si="29"/>
        <v>-8.3333333333333329E-2</v>
      </c>
      <c r="E246" s="21" t="e">
        <f t="shared" si="30"/>
        <v>#N/A</v>
      </c>
      <c r="F246" s="38">
        <f>'Leave Record'!G248</f>
        <v>0</v>
      </c>
      <c r="G246" s="38">
        <f>'Leave Record'!H248</f>
        <v>0</v>
      </c>
      <c r="H246" s="23">
        <f t="shared" si="31"/>
        <v>1</v>
      </c>
      <c r="I246" s="23">
        <f t="shared" si="32"/>
        <v>0</v>
      </c>
      <c r="J246" s="21" t="e">
        <f t="shared" si="33"/>
        <v>#N/A</v>
      </c>
      <c r="K246" s="23">
        <f>'Leave Record'!I248</f>
        <v>0</v>
      </c>
    </row>
    <row r="247" spans="1:11" x14ac:dyDescent="0.25">
      <c r="A247" s="38">
        <f t="shared" si="27"/>
        <v>1</v>
      </c>
      <c r="B247" s="38">
        <f>IF(K247=$P$13,'Rule 12'!$M$4,F247-1)</f>
        <v>-1</v>
      </c>
      <c r="C247" s="23">
        <f t="shared" si="28"/>
        <v>-1</v>
      </c>
      <c r="D247" s="21">
        <f t="shared" si="29"/>
        <v>-8.3333333333333329E-2</v>
      </c>
      <c r="E247" s="21" t="e">
        <f t="shared" si="30"/>
        <v>#N/A</v>
      </c>
      <c r="F247" s="38">
        <f>'Leave Record'!G249</f>
        <v>0</v>
      </c>
      <c r="G247" s="38">
        <f>'Leave Record'!H249</f>
        <v>0</v>
      </c>
      <c r="H247" s="23">
        <f t="shared" si="31"/>
        <v>1</v>
      </c>
      <c r="I247" s="23">
        <f t="shared" si="32"/>
        <v>0</v>
      </c>
      <c r="J247" s="21" t="e">
        <f t="shared" si="33"/>
        <v>#N/A</v>
      </c>
      <c r="K247" s="23">
        <f>'Leave Record'!I249</f>
        <v>0</v>
      </c>
    </row>
    <row r="248" spans="1:11" x14ac:dyDescent="0.25">
      <c r="A248" s="38">
        <f t="shared" si="27"/>
        <v>1</v>
      </c>
      <c r="B248" s="38">
        <f>IF(K248=$P$13,'Rule 12'!$M$4,F248-1)</f>
        <v>-1</v>
      </c>
      <c r="C248" s="23">
        <f t="shared" si="28"/>
        <v>-1</v>
      </c>
      <c r="D248" s="21">
        <f t="shared" si="29"/>
        <v>-8.3333333333333329E-2</v>
      </c>
      <c r="E248" s="21" t="e">
        <f t="shared" si="30"/>
        <v>#N/A</v>
      </c>
      <c r="F248" s="38">
        <f>'Leave Record'!G250</f>
        <v>0</v>
      </c>
      <c r="G248" s="38">
        <f>'Leave Record'!H250</f>
        <v>0</v>
      </c>
      <c r="H248" s="23">
        <f t="shared" si="31"/>
        <v>1</v>
      </c>
      <c r="I248" s="23">
        <f t="shared" si="32"/>
        <v>0</v>
      </c>
      <c r="J248" s="21" t="e">
        <f t="shared" si="33"/>
        <v>#N/A</v>
      </c>
      <c r="K248" s="23">
        <f>'Leave Record'!I250</f>
        <v>0</v>
      </c>
    </row>
    <row r="249" spans="1:11" x14ac:dyDescent="0.25">
      <c r="A249" s="38">
        <f t="shared" si="27"/>
        <v>1</v>
      </c>
      <c r="B249" s="38">
        <f>IF(K249=$P$13,'Rule 12'!$M$4,F249-1)</f>
        <v>-1</v>
      </c>
      <c r="C249" s="23">
        <f t="shared" si="28"/>
        <v>-1</v>
      </c>
      <c r="D249" s="21">
        <f t="shared" si="29"/>
        <v>-8.3333333333333329E-2</v>
      </c>
      <c r="E249" s="21" t="e">
        <f t="shared" si="30"/>
        <v>#N/A</v>
      </c>
      <c r="F249" s="38">
        <f>'Leave Record'!G251</f>
        <v>0</v>
      </c>
      <c r="G249" s="38">
        <f>'Leave Record'!H251</f>
        <v>0</v>
      </c>
      <c r="H249" s="23">
        <f t="shared" si="31"/>
        <v>1</v>
      </c>
      <c r="I249" s="23">
        <f t="shared" si="32"/>
        <v>0</v>
      </c>
      <c r="J249" s="21" t="e">
        <f t="shared" si="33"/>
        <v>#N/A</v>
      </c>
      <c r="K249" s="23">
        <f>'Leave Record'!I251</f>
        <v>0</v>
      </c>
    </row>
    <row r="250" spans="1:11" x14ac:dyDescent="0.25">
      <c r="A250" s="38">
        <f t="shared" si="27"/>
        <v>1</v>
      </c>
      <c r="B250" s="38">
        <f>IF(K250=$P$13,'Rule 12'!$M$4,F250-1)</f>
        <v>-1</v>
      </c>
      <c r="C250" s="23">
        <f t="shared" si="28"/>
        <v>-1</v>
      </c>
      <c r="D250" s="21">
        <f t="shared" si="29"/>
        <v>-8.3333333333333329E-2</v>
      </c>
      <c r="E250" s="21" t="e">
        <f t="shared" si="30"/>
        <v>#N/A</v>
      </c>
      <c r="F250" s="38">
        <f>'Leave Record'!G252</f>
        <v>0</v>
      </c>
      <c r="G250" s="38">
        <f>'Leave Record'!H252</f>
        <v>0</v>
      </c>
      <c r="H250" s="23">
        <f t="shared" si="31"/>
        <v>1</v>
      </c>
      <c r="I250" s="23">
        <f t="shared" si="32"/>
        <v>0</v>
      </c>
      <c r="J250" s="21" t="e">
        <f t="shared" si="33"/>
        <v>#N/A</v>
      </c>
      <c r="K250" s="23">
        <f>'Leave Record'!I252</f>
        <v>0</v>
      </c>
    </row>
    <row r="251" spans="1:11" x14ac:dyDescent="0.25">
      <c r="A251" s="38">
        <f t="shared" si="27"/>
        <v>1</v>
      </c>
      <c r="B251" s="38">
        <f>IF(K251=$P$13,'Rule 12'!$M$4,F251-1)</f>
        <v>-1</v>
      </c>
      <c r="C251" s="23">
        <f t="shared" si="28"/>
        <v>-1</v>
      </c>
      <c r="D251" s="21">
        <f t="shared" si="29"/>
        <v>-8.3333333333333329E-2</v>
      </c>
      <c r="E251" s="21" t="e">
        <f t="shared" si="30"/>
        <v>#N/A</v>
      </c>
      <c r="F251" s="38">
        <f>'Leave Record'!G253</f>
        <v>0</v>
      </c>
      <c r="G251" s="38">
        <f>'Leave Record'!H253</f>
        <v>0</v>
      </c>
      <c r="H251" s="23">
        <f t="shared" si="31"/>
        <v>1</v>
      </c>
      <c r="I251" s="23">
        <f t="shared" si="32"/>
        <v>0</v>
      </c>
      <c r="J251" s="21" t="e">
        <f t="shared" si="33"/>
        <v>#N/A</v>
      </c>
      <c r="K251" s="23">
        <f>'Leave Record'!I253</f>
        <v>0</v>
      </c>
    </row>
    <row r="252" spans="1:11" x14ac:dyDescent="0.25">
      <c r="A252" s="38">
        <f t="shared" si="27"/>
        <v>1</v>
      </c>
      <c r="B252" s="38">
        <f>IF(K252=$P$13,'Rule 12'!$M$4,F252-1)</f>
        <v>-1</v>
      </c>
      <c r="C252" s="23">
        <f t="shared" si="28"/>
        <v>-1</v>
      </c>
      <c r="D252" s="21">
        <f t="shared" si="29"/>
        <v>-8.3333333333333329E-2</v>
      </c>
      <c r="E252" s="21" t="e">
        <f t="shared" si="30"/>
        <v>#N/A</v>
      </c>
      <c r="F252" s="38">
        <f>'Leave Record'!G254</f>
        <v>0</v>
      </c>
      <c r="G252" s="38">
        <f>'Leave Record'!H254</f>
        <v>0</v>
      </c>
      <c r="H252" s="23">
        <f t="shared" si="31"/>
        <v>1</v>
      </c>
      <c r="I252" s="23">
        <f t="shared" si="32"/>
        <v>0</v>
      </c>
      <c r="J252" s="21" t="e">
        <f t="shared" si="33"/>
        <v>#N/A</v>
      </c>
      <c r="K252" s="23">
        <f>'Leave Record'!I254</f>
        <v>0</v>
      </c>
    </row>
    <row r="253" spans="1:11" x14ac:dyDescent="0.25">
      <c r="A253" s="38">
        <f t="shared" si="27"/>
        <v>1</v>
      </c>
      <c r="B253" s="38">
        <f>IF(K253=$P$13,'Rule 12'!$M$4,F253-1)</f>
        <v>-1</v>
      </c>
      <c r="C253" s="23">
        <f t="shared" si="28"/>
        <v>-1</v>
      </c>
      <c r="D253" s="21">
        <f t="shared" si="29"/>
        <v>-8.3333333333333329E-2</v>
      </c>
      <c r="E253" s="21" t="e">
        <f t="shared" si="30"/>
        <v>#N/A</v>
      </c>
      <c r="F253" s="38">
        <f>'Leave Record'!G255</f>
        <v>0</v>
      </c>
      <c r="G253" s="38">
        <f>'Leave Record'!H255</f>
        <v>0</v>
      </c>
      <c r="H253" s="23">
        <f t="shared" si="31"/>
        <v>1</v>
      </c>
      <c r="I253" s="23">
        <f t="shared" si="32"/>
        <v>0</v>
      </c>
      <c r="J253" s="21" t="e">
        <f t="shared" si="33"/>
        <v>#N/A</v>
      </c>
      <c r="K253" s="23">
        <f>'Leave Record'!I255</f>
        <v>0</v>
      </c>
    </row>
    <row r="254" spans="1:11" x14ac:dyDescent="0.25">
      <c r="A254" s="38">
        <f t="shared" si="27"/>
        <v>1</v>
      </c>
      <c r="B254" s="38">
        <f>IF(K254=$P$13,'Rule 12'!$M$4,F254-1)</f>
        <v>-1</v>
      </c>
      <c r="C254" s="23">
        <f t="shared" si="28"/>
        <v>-1</v>
      </c>
      <c r="D254" s="21">
        <f t="shared" si="29"/>
        <v>-8.3333333333333329E-2</v>
      </c>
      <c r="E254" s="21" t="e">
        <f t="shared" si="30"/>
        <v>#N/A</v>
      </c>
      <c r="F254" s="38">
        <f>'Leave Record'!G256</f>
        <v>0</v>
      </c>
      <c r="G254" s="38">
        <f>'Leave Record'!H256</f>
        <v>0</v>
      </c>
      <c r="H254" s="23">
        <f t="shared" si="31"/>
        <v>1</v>
      </c>
      <c r="I254" s="23">
        <f t="shared" si="32"/>
        <v>0</v>
      </c>
      <c r="J254" s="21" t="e">
        <f t="shared" si="33"/>
        <v>#N/A</v>
      </c>
      <c r="K254" s="23">
        <f>'Leave Record'!I256</f>
        <v>0</v>
      </c>
    </row>
    <row r="255" spans="1:11" x14ac:dyDescent="0.25">
      <c r="A255" s="38">
        <f t="shared" si="27"/>
        <v>1</v>
      </c>
      <c r="B255" s="38">
        <f>IF(K255=$P$13,'Rule 12'!$M$4,F255-1)</f>
        <v>-1</v>
      </c>
      <c r="C255" s="23">
        <f t="shared" si="28"/>
        <v>-1</v>
      </c>
      <c r="D255" s="21">
        <f t="shared" si="29"/>
        <v>-8.3333333333333329E-2</v>
      </c>
      <c r="E255" s="21" t="e">
        <f t="shared" si="30"/>
        <v>#N/A</v>
      </c>
      <c r="F255" s="38">
        <f>'Leave Record'!G257</f>
        <v>0</v>
      </c>
      <c r="G255" s="38">
        <f>'Leave Record'!H257</f>
        <v>0</v>
      </c>
      <c r="H255" s="23">
        <f t="shared" si="31"/>
        <v>1</v>
      </c>
      <c r="I255" s="23">
        <f t="shared" si="32"/>
        <v>0</v>
      </c>
      <c r="J255" s="21" t="e">
        <f t="shared" si="33"/>
        <v>#N/A</v>
      </c>
      <c r="K255" s="23">
        <f>'Leave Record'!I257</f>
        <v>0</v>
      </c>
    </row>
    <row r="256" spans="1:11" x14ac:dyDescent="0.25">
      <c r="A256" s="38">
        <f t="shared" si="27"/>
        <v>1</v>
      </c>
      <c r="B256" s="38">
        <f>IF(K256=$P$13,'Rule 12'!$M$4,F256-1)</f>
        <v>-1</v>
      </c>
      <c r="C256" s="23">
        <f t="shared" si="28"/>
        <v>-1</v>
      </c>
      <c r="D256" s="21">
        <f t="shared" si="29"/>
        <v>-8.3333333333333329E-2</v>
      </c>
      <c r="E256" s="21" t="e">
        <f t="shared" si="30"/>
        <v>#N/A</v>
      </c>
      <c r="F256" s="38">
        <f>'Leave Record'!G258</f>
        <v>0</v>
      </c>
      <c r="G256" s="38">
        <f>'Leave Record'!H258</f>
        <v>0</v>
      </c>
      <c r="H256" s="23">
        <f t="shared" si="31"/>
        <v>1</v>
      </c>
      <c r="I256" s="23">
        <f t="shared" si="32"/>
        <v>0</v>
      </c>
      <c r="J256" s="21" t="e">
        <f t="shared" si="33"/>
        <v>#N/A</v>
      </c>
      <c r="K256" s="23">
        <f>'Leave Record'!I258</f>
        <v>0</v>
      </c>
    </row>
    <row r="257" spans="1:11" x14ac:dyDescent="0.25">
      <c r="A257" s="38">
        <f t="shared" si="27"/>
        <v>1</v>
      </c>
      <c r="B257" s="38">
        <f>IF(K257=$P$13,'Rule 12'!$M$4,F257-1)</f>
        <v>-1</v>
      </c>
      <c r="C257" s="23">
        <f t="shared" si="28"/>
        <v>-1</v>
      </c>
      <c r="D257" s="21">
        <f t="shared" si="29"/>
        <v>-8.3333333333333329E-2</v>
      </c>
      <c r="E257" s="21" t="e">
        <f t="shared" si="30"/>
        <v>#N/A</v>
      </c>
      <c r="F257" s="38">
        <f>'Leave Record'!G259</f>
        <v>0</v>
      </c>
      <c r="G257" s="38">
        <f>'Leave Record'!H259</f>
        <v>0</v>
      </c>
      <c r="H257" s="23">
        <f t="shared" si="31"/>
        <v>1</v>
      </c>
      <c r="I257" s="23">
        <f t="shared" si="32"/>
        <v>0</v>
      </c>
      <c r="J257" s="21" t="e">
        <f t="shared" si="33"/>
        <v>#N/A</v>
      </c>
      <c r="K257" s="23">
        <f>'Leave Record'!I259</f>
        <v>0</v>
      </c>
    </row>
    <row r="258" spans="1:11" x14ac:dyDescent="0.25">
      <c r="A258" s="38">
        <f t="shared" si="27"/>
        <v>1</v>
      </c>
      <c r="B258" s="38">
        <f>IF(K258=$P$13,'Rule 12'!$M$4,F258-1)</f>
        <v>-1</v>
      </c>
      <c r="C258" s="23">
        <f t="shared" si="28"/>
        <v>-1</v>
      </c>
      <c r="D258" s="21">
        <f t="shared" si="29"/>
        <v>-8.3333333333333329E-2</v>
      </c>
      <c r="E258" s="21" t="e">
        <f t="shared" si="30"/>
        <v>#N/A</v>
      </c>
      <c r="F258" s="38">
        <f>'Leave Record'!G260</f>
        <v>0</v>
      </c>
      <c r="G258" s="38">
        <f>'Leave Record'!H260</f>
        <v>0</v>
      </c>
      <c r="H258" s="23">
        <f t="shared" si="31"/>
        <v>1</v>
      </c>
      <c r="I258" s="23">
        <f t="shared" si="32"/>
        <v>0</v>
      </c>
      <c r="J258" s="21" t="e">
        <f t="shared" si="33"/>
        <v>#N/A</v>
      </c>
      <c r="K258" s="23">
        <f>'Leave Record'!I260</f>
        <v>0</v>
      </c>
    </row>
    <row r="259" spans="1:11" x14ac:dyDescent="0.25">
      <c r="A259" s="38">
        <f t="shared" si="27"/>
        <v>1</v>
      </c>
      <c r="B259" s="38">
        <f>IF(K259=$P$13,'Rule 12'!$M$4,F259-1)</f>
        <v>-1</v>
      </c>
      <c r="C259" s="23">
        <f t="shared" si="28"/>
        <v>-1</v>
      </c>
      <c r="D259" s="21">
        <f t="shared" si="29"/>
        <v>-8.3333333333333329E-2</v>
      </c>
      <c r="E259" s="21" t="e">
        <f t="shared" si="30"/>
        <v>#N/A</v>
      </c>
      <c r="F259" s="38">
        <f>'Leave Record'!G261</f>
        <v>0</v>
      </c>
      <c r="G259" s="38">
        <f>'Leave Record'!H261</f>
        <v>0</v>
      </c>
      <c r="H259" s="23">
        <f t="shared" si="31"/>
        <v>1</v>
      </c>
      <c r="I259" s="23">
        <f t="shared" si="32"/>
        <v>0</v>
      </c>
      <c r="J259" s="21" t="e">
        <f t="shared" si="33"/>
        <v>#N/A</v>
      </c>
      <c r="K259" s="23">
        <f>'Leave Record'!I261</f>
        <v>0</v>
      </c>
    </row>
    <row r="260" spans="1:11" x14ac:dyDescent="0.25">
      <c r="A260" s="38">
        <f t="shared" si="27"/>
        <v>1</v>
      </c>
      <c r="B260" s="38">
        <f>IF(K260=$P$13,'Rule 12'!$M$4,F260-1)</f>
        <v>-1</v>
      </c>
      <c r="C260" s="23">
        <f t="shared" si="28"/>
        <v>-1</v>
      </c>
      <c r="D260" s="21">
        <f t="shared" si="29"/>
        <v>-8.3333333333333329E-2</v>
      </c>
      <c r="E260" s="21" t="e">
        <f t="shared" si="30"/>
        <v>#N/A</v>
      </c>
      <c r="F260" s="38">
        <f>'Leave Record'!G262</f>
        <v>0</v>
      </c>
      <c r="G260" s="38">
        <f>'Leave Record'!H262</f>
        <v>0</v>
      </c>
      <c r="H260" s="23">
        <f t="shared" si="31"/>
        <v>1</v>
      </c>
      <c r="I260" s="23">
        <f t="shared" si="32"/>
        <v>0</v>
      </c>
      <c r="J260" s="21" t="e">
        <f t="shared" si="33"/>
        <v>#N/A</v>
      </c>
      <c r="K260" s="23">
        <f>'Leave Record'!I262</f>
        <v>0</v>
      </c>
    </row>
    <row r="261" spans="1:11" x14ac:dyDescent="0.25">
      <c r="A261" s="38">
        <f t="shared" si="27"/>
        <v>1</v>
      </c>
      <c r="B261" s="38">
        <f>IF(K261=$P$13,'Rule 12'!$M$4,F261-1)</f>
        <v>-1</v>
      </c>
      <c r="C261" s="23">
        <f t="shared" si="28"/>
        <v>-1</v>
      </c>
      <c r="D261" s="21">
        <f t="shared" si="29"/>
        <v>-8.3333333333333329E-2</v>
      </c>
      <c r="E261" s="21" t="e">
        <f t="shared" si="30"/>
        <v>#N/A</v>
      </c>
      <c r="F261" s="38">
        <f>'Leave Record'!G263</f>
        <v>0</v>
      </c>
      <c r="G261" s="38">
        <f>'Leave Record'!H263</f>
        <v>0</v>
      </c>
      <c r="H261" s="23">
        <f t="shared" si="31"/>
        <v>1</v>
      </c>
      <c r="I261" s="23">
        <f t="shared" si="32"/>
        <v>0</v>
      </c>
      <c r="J261" s="21" t="e">
        <f t="shared" si="33"/>
        <v>#N/A</v>
      </c>
      <c r="K261" s="23">
        <f>'Leave Record'!I263</f>
        <v>0</v>
      </c>
    </row>
    <row r="262" spans="1:11" x14ac:dyDescent="0.25">
      <c r="A262" s="38">
        <f t="shared" si="27"/>
        <v>1</v>
      </c>
      <c r="B262" s="38">
        <f>IF(K262=$P$13,'Rule 12'!$M$4,F262-1)</f>
        <v>-1</v>
      </c>
      <c r="C262" s="23">
        <f t="shared" si="28"/>
        <v>-1</v>
      </c>
      <c r="D262" s="21">
        <f t="shared" si="29"/>
        <v>-8.3333333333333329E-2</v>
      </c>
      <c r="E262" s="21" t="e">
        <f t="shared" si="30"/>
        <v>#N/A</v>
      </c>
      <c r="F262" s="38">
        <f>'Leave Record'!G264</f>
        <v>0</v>
      </c>
      <c r="G262" s="38">
        <f>'Leave Record'!H264</f>
        <v>0</v>
      </c>
      <c r="H262" s="23">
        <f t="shared" si="31"/>
        <v>1</v>
      </c>
      <c r="I262" s="23">
        <f t="shared" si="32"/>
        <v>0</v>
      </c>
      <c r="J262" s="21" t="e">
        <f t="shared" si="33"/>
        <v>#N/A</v>
      </c>
      <c r="K262" s="23">
        <f>'Leave Record'!I264</f>
        <v>0</v>
      </c>
    </row>
    <row r="263" spans="1:11" x14ac:dyDescent="0.25">
      <c r="A263" s="38">
        <f t="shared" si="27"/>
        <v>1</v>
      </c>
      <c r="B263" s="38">
        <f>IF(K263=$P$13,'Rule 12'!$M$4,F263-1)</f>
        <v>-1</v>
      </c>
      <c r="C263" s="23">
        <f t="shared" si="28"/>
        <v>-1</v>
      </c>
      <c r="D263" s="21">
        <f t="shared" si="29"/>
        <v>-8.3333333333333329E-2</v>
      </c>
      <c r="E263" s="21" t="e">
        <f t="shared" si="30"/>
        <v>#N/A</v>
      </c>
      <c r="F263" s="38">
        <f>'Leave Record'!G265</f>
        <v>0</v>
      </c>
      <c r="G263" s="38">
        <f>'Leave Record'!H265</f>
        <v>0</v>
      </c>
      <c r="H263" s="23">
        <f t="shared" si="31"/>
        <v>1</v>
      </c>
      <c r="I263" s="23">
        <f t="shared" si="32"/>
        <v>0</v>
      </c>
      <c r="J263" s="21" t="e">
        <f t="shared" si="33"/>
        <v>#N/A</v>
      </c>
      <c r="K263" s="23">
        <f>'Leave Record'!I265</f>
        <v>0</v>
      </c>
    </row>
    <row r="264" spans="1:11" x14ac:dyDescent="0.25">
      <c r="A264" s="38">
        <f t="shared" si="27"/>
        <v>1</v>
      </c>
      <c r="B264" s="38">
        <f>IF(K264=$P$13,'Rule 12'!$M$4,F264-1)</f>
        <v>-1</v>
      </c>
      <c r="C264" s="23">
        <f t="shared" si="28"/>
        <v>-1</v>
      </c>
      <c r="D264" s="21">
        <f t="shared" si="29"/>
        <v>-8.3333333333333329E-2</v>
      </c>
      <c r="E264" s="21" t="e">
        <f t="shared" si="30"/>
        <v>#N/A</v>
      </c>
      <c r="F264" s="38">
        <f>'Leave Record'!G266</f>
        <v>0</v>
      </c>
      <c r="G264" s="38">
        <f>'Leave Record'!H266</f>
        <v>0</v>
      </c>
      <c r="H264" s="23">
        <f t="shared" si="31"/>
        <v>1</v>
      </c>
      <c r="I264" s="23">
        <f t="shared" si="32"/>
        <v>0</v>
      </c>
      <c r="J264" s="21" t="e">
        <f t="shared" si="33"/>
        <v>#N/A</v>
      </c>
      <c r="K264" s="23">
        <f>'Leave Record'!I266</f>
        <v>0</v>
      </c>
    </row>
    <row r="265" spans="1:11" x14ac:dyDescent="0.25">
      <c r="A265" s="38">
        <f t="shared" ref="A265:A328" si="34">G264+1</f>
        <v>1</v>
      </c>
      <c r="B265" s="38">
        <f>IF(K265=$P$13,'Rule 12'!$M$4,F265-1)</f>
        <v>-1</v>
      </c>
      <c r="C265" s="23">
        <f t="shared" ref="C265:C328" si="35">_xlfn.DAYS(B265+1,A265)</f>
        <v>-1</v>
      </c>
      <c r="D265" s="21">
        <f t="shared" ref="D265:D328" si="36">C265/12</f>
        <v>-8.3333333333333329E-2</v>
      </c>
      <c r="E265" s="21" t="e">
        <f t="shared" ref="E265:E328" si="37">J264+D265</f>
        <v>#N/A</v>
      </c>
      <c r="F265" s="38">
        <f>'Leave Record'!G267</f>
        <v>0</v>
      </c>
      <c r="G265" s="38">
        <f>'Leave Record'!H267</f>
        <v>0</v>
      </c>
      <c r="H265" s="23">
        <f t="shared" ref="H265:H328" si="38">_xlfn.DAYS(G265+1,F265)</f>
        <v>1</v>
      </c>
      <c r="I265" s="23">
        <f t="shared" ref="I265:I328" si="39">IF(K265=$P$14,H265,0)</f>
        <v>0</v>
      </c>
      <c r="J265" s="21" t="e">
        <f t="shared" ref="J265:J328" si="40">E265-I265</f>
        <v>#N/A</v>
      </c>
      <c r="K265" s="23">
        <f>'Leave Record'!I267</f>
        <v>0</v>
      </c>
    </row>
    <row r="266" spans="1:11" x14ac:dyDescent="0.25">
      <c r="A266" s="38">
        <f t="shared" si="34"/>
        <v>1</v>
      </c>
      <c r="B266" s="38">
        <f>IF(K266=$P$13,'Rule 12'!$M$4,F266-1)</f>
        <v>-1</v>
      </c>
      <c r="C266" s="23">
        <f t="shared" si="35"/>
        <v>-1</v>
      </c>
      <c r="D266" s="21">
        <f t="shared" si="36"/>
        <v>-8.3333333333333329E-2</v>
      </c>
      <c r="E266" s="21" t="e">
        <f t="shared" si="37"/>
        <v>#N/A</v>
      </c>
      <c r="F266" s="38">
        <f>'Leave Record'!G268</f>
        <v>0</v>
      </c>
      <c r="G266" s="38">
        <f>'Leave Record'!H268</f>
        <v>0</v>
      </c>
      <c r="H266" s="23">
        <f t="shared" si="38"/>
        <v>1</v>
      </c>
      <c r="I266" s="23">
        <f t="shared" si="39"/>
        <v>0</v>
      </c>
      <c r="J266" s="21" t="e">
        <f t="shared" si="40"/>
        <v>#N/A</v>
      </c>
      <c r="K266" s="23">
        <f>'Leave Record'!I268</f>
        <v>0</v>
      </c>
    </row>
    <row r="267" spans="1:11" x14ac:dyDescent="0.25">
      <c r="A267" s="38">
        <f t="shared" si="34"/>
        <v>1</v>
      </c>
      <c r="B267" s="38">
        <f>IF(K267=$P$13,'Rule 12'!$M$4,F267-1)</f>
        <v>-1</v>
      </c>
      <c r="C267" s="23">
        <f t="shared" si="35"/>
        <v>-1</v>
      </c>
      <c r="D267" s="21">
        <f t="shared" si="36"/>
        <v>-8.3333333333333329E-2</v>
      </c>
      <c r="E267" s="21" t="e">
        <f t="shared" si="37"/>
        <v>#N/A</v>
      </c>
      <c r="F267" s="38">
        <f>'Leave Record'!G269</f>
        <v>0</v>
      </c>
      <c r="G267" s="38">
        <f>'Leave Record'!H269</f>
        <v>0</v>
      </c>
      <c r="H267" s="23">
        <f t="shared" si="38"/>
        <v>1</v>
      </c>
      <c r="I267" s="23">
        <f t="shared" si="39"/>
        <v>0</v>
      </c>
      <c r="J267" s="21" t="e">
        <f t="shared" si="40"/>
        <v>#N/A</v>
      </c>
      <c r="K267" s="23">
        <f>'Leave Record'!I269</f>
        <v>0</v>
      </c>
    </row>
    <row r="268" spans="1:11" x14ac:dyDescent="0.25">
      <c r="A268" s="38">
        <f t="shared" si="34"/>
        <v>1</v>
      </c>
      <c r="B268" s="38">
        <f>IF(K268=$P$13,'Rule 12'!$M$4,F268-1)</f>
        <v>-1</v>
      </c>
      <c r="C268" s="23">
        <f t="shared" si="35"/>
        <v>-1</v>
      </c>
      <c r="D268" s="21">
        <f t="shared" si="36"/>
        <v>-8.3333333333333329E-2</v>
      </c>
      <c r="E268" s="21" t="e">
        <f t="shared" si="37"/>
        <v>#N/A</v>
      </c>
      <c r="F268" s="38">
        <f>'Leave Record'!G270</f>
        <v>0</v>
      </c>
      <c r="G268" s="38">
        <f>'Leave Record'!H270</f>
        <v>0</v>
      </c>
      <c r="H268" s="23">
        <f t="shared" si="38"/>
        <v>1</v>
      </c>
      <c r="I268" s="23">
        <f t="shared" si="39"/>
        <v>0</v>
      </c>
      <c r="J268" s="21" t="e">
        <f t="shared" si="40"/>
        <v>#N/A</v>
      </c>
      <c r="K268" s="23">
        <f>'Leave Record'!I270</f>
        <v>0</v>
      </c>
    </row>
    <row r="269" spans="1:11" x14ac:dyDescent="0.25">
      <c r="A269" s="38">
        <f t="shared" si="34"/>
        <v>1</v>
      </c>
      <c r="B269" s="38">
        <f>IF(K269=$P$13,'Rule 12'!$M$4,F269-1)</f>
        <v>-1</v>
      </c>
      <c r="C269" s="23">
        <f t="shared" si="35"/>
        <v>-1</v>
      </c>
      <c r="D269" s="21">
        <f t="shared" si="36"/>
        <v>-8.3333333333333329E-2</v>
      </c>
      <c r="E269" s="21" t="e">
        <f t="shared" si="37"/>
        <v>#N/A</v>
      </c>
      <c r="F269" s="38">
        <f>'Leave Record'!G271</f>
        <v>0</v>
      </c>
      <c r="G269" s="38">
        <f>'Leave Record'!H271</f>
        <v>0</v>
      </c>
      <c r="H269" s="23">
        <f t="shared" si="38"/>
        <v>1</v>
      </c>
      <c r="I269" s="23">
        <f t="shared" si="39"/>
        <v>0</v>
      </c>
      <c r="J269" s="21" t="e">
        <f t="shared" si="40"/>
        <v>#N/A</v>
      </c>
      <c r="K269" s="23">
        <f>'Leave Record'!I271</f>
        <v>0</v>
      </c>
    </row>
    <row r="270" spans="1:11" x14ac:dyDescent="0.25">
      <c r="A270" s="38">
        <f t="shared" si="34"/>
        <v>1</v>
      </c>
      <c r="B270" s="38">
        <f>IF(K270=$P$13,'Rule 12'!$M$4,F270-1)</f>
        <v>-1</v>
      </c>
      <c r="C270" s="23">
        <f t="shared" si="35"/>
        <v>-1</v>
      </c>
      <c r="D270" s="21">
        <f t="shared" si="36"/>
        <v>-8.3333333333333329E-2</v>
      </c>
      <c r="E270" s="21" t="e">
        <f t="shared" si="37"/>
        <v>#N/A</v>
      </c>
      <c r="F270" s="38">
        <f>'Leave Record'!G272</f>
        <v>0</v>
      </c>
      <c r="G270" s="38">
        <f>'Leave Record'!H272</f>
        <v>0</v>
      </c>
      <c r="H270" s="23">
        <f t="shared" si="38"/>
        <v>1</v>
      </c>
      <c r="I270" s="23">
        <f t="shared" si="39"/>
        <v>0</v>
      </c>
      <c r="J270" s="21" t="e">
        <f t="shared" si="40"/>
        <v>#N/A</v>
      </c>
      <c r="K270" s="23">
        <f>'Leave Record'!I272</f>
        <v>0</v>
      </c>
    </row>
    <row r="271" spans="1:11" x14ac:dyDescent="0.25">
      <c r="A271" s="38">
        <f t="shared" si="34"/>
        <v>1</v>
      </c>
      <c r="B271" s="38">
        <f>IF(K271=$P$13,'Rule 12'!$M$4,F271-1)</f>
        <v>-1</v>
      </c>
      <c r="C271" s="23">
        <f t="shared" si="35"/>
        <v>-1</v>
      </c>
      <c r="D271" s="21">
        <f t="shared" si="36"/>
        <v>-8.3333333333333329E-2</v>
      </c>
      <c r="E271" s="21" t="e">
        <f t="shared" si="37"/>
        <v>#N/A</v>
      </c>
      <c r="F271" s="38">
        <f>'Leave Record'!G273</f>
        <v>0</v>
      </c>
      <c r="G271" s="38">
        <f>'Leave Record'!H273</f>
        <v>0</v>
      </c>
      <c r="H271" s="23">
        <f t="shared" si="38"/>
        <v>1</v>
      </c>
      <c r="I271" s="23">
        <f t="shared" si="39"/>
        <v>0</v>
      </c>
      <c r="J271" s="21" t="e">
        <f t="shared" si="40"/>
        <v>#N/A</v>
      </c>
      <c r="K271" s="23">
        <f>'Leave Record'!I273</f>
        <v>0</v>
      </c>
    </row>
    <row r="272" spans="1:11" x14ac:dyDescent="0.25">
      <c r="A272" s="38">
        <f t="shared" si="34"/>
        <v>1</v>
      </c>
      <c r="B272" s="38">
        <f>IF(K272=$P$13,'Rule 12'!$M$4,F272-1)</f>
        <v>-1</v>
      </c>
      <c r="C272" s="23">
        <f t="shared" si="35"/>
        <v>-1</v>
      </c>
      <c r="D272" s="21">
        <f t="shared" si="36"/>
        <v>-8.3333333333333329E-2</v>
      </c>
      <c r="E272" s="21" t="e">
        <f t="shared" si="37"/>
        <v>#N/A</v>
      </c>
      <c r="F272" s="38">
        <f>'Leave Record'!G274</f>
        <v>0</v>
      </c>
      <c r="G272" s="38">
        <f>'Leave Record'!H274</f>
        <v>0</v>
      </c>
      <c r="H272" s="23">
        <f t="shared" si="38"/>
        <v>1</v>
      </c>
      <c r="I272" s="23">
        <f t="shared" si="39"/>
        <v>0</v>
      </c>
      <c r="J272" s="21" t="e">
        <f t="shared" si="40"/>
        <v>#N/A</v>
      </c>
      <c r="K272" s="23">
        <f>'Leave Record'!I274</f>
        <v>0</v>
      </c>
    </row>
    <row r="273" spans="1:11" x14ac:dyDescent="0.25">
      <c r="A273" s="38">
        <f t="shared" si="34"/>
        <v>1</v>
      </c>
      <c r="B273" s="38">
        <f>IF(K273=$P$13,'Rule 12'!$M$4,F273-1)</f>
        <v>-1</v>
      </c>
      <c r="C273" s="23">
        <f t="shared" si="35"/>
        <v>-1</v>
      </c>
      <c r="D273" s="21">
        <f t="shared" si="36"/>
        <v>-8.3333333333333329E-2</v>
      </c>
      <c r="E273" s="21" t="e">
        <f t="shared" si="37"/>
        <v>#N/A</v>
      </c>
      <c r="F273" s="38">
        <f>'Leave Record'!G275</f>
        <v>0</v>
      </c>
      <c r="G273" s="38">
        <f>'Leave Record'!H275</f>
        <v>0</v>
      </c>
      <c r="H273" s="23">
        <f t="shared" si="38"/>
        <v>1</v>
      </c>
      <c r="I273" s="23">
        <f t="shared" si="39"/>
        <v>0</v>
      </c>
      <c r="J273" s="21" t="e">
        <f t="shared" si="40"/>
        <v>#N/A</v>
      </c>
      <c r="K273" s="23">
        <f>'Leave Record'!I275</f>
        <v>0</v>
      </c>
    </row>
    <row r="274" spans="1:11" x14ac:dyDescent="0.25">
      <c r="A274" s="38">
        <f t="shared" si="34"/>
        <v>1</v>
      </c>
      <c r="B274" s="38">
        <f>IF(K274=$P$13,'Rule 12'!$M$4,F274-1)</f>
        <v>-1</v>
      </c>
      <c r="C274" s="23">
        <f t="shared" si="35"/>
        <v>-1</v>
      </c>
      <c r="D274" s="21">
        <f t="shared" si="36"/>
        <v>-8.3333333333333329E-2</v>
      </c>
      <c r="E274" s="21" t="e">
        <f t="shared" si="37"/>
        <v>#N/A</v>
      </c>
      <c r="F274" s="38">
        <f>'Leave Record'!G276</f>
        <v>0</v>
      </c>
      <c r="G274" s="38">
        <f>'Leave Record'!H276</f>
        <v>0</v>
      </c>
      <c r="H274" s="23">
        <f t="shared" si="38"/>
        <v>1</v>
      </c>
      <c r="I274" s="23">
        <f t="shared" si="39"/>
        <v>0</v>
      </c>
      <c r="J274" s="21" t="e">
        <f t="shared" si="40"/>
        <v>#N/A</v>
      </c>
      <c r="K274" s="23">
        <f>'Leave Record'!I276</f>
        <v>0</v>
      </c>
    </row>
    <row r="275" spans="1:11" x14ac:dyDescent="0.25">
      <c r="A275" s="38">
        <f t="shared" si="34"/>
        <v>1</v>
      </c>
      <c r="B275" s="38">
        <f>IF(K275=$P$13,'Rule 12'!$M$4,F275-1)</f>
        <v>-1</v>
      </c>
      <c r="C275" s="23">
        <f t="shared" si="35"/>
        <v>-1</v>
      </c>
      <c r="D275" s="21">
        <f t="shared" si="36"/>
        <v>-8.3333333333333329E-2</v>
      </c>
      <c r="E275" s="21" t="e">
        <f t="shared" si="37"/>
        <v>#N/A</v>
      </c>
      <c r="F275" s="38">
        <f>'Leave Record'!G277</f>
        <v>0</v>
      </c>
      <c r="G275" s="38">
        <f>'Leave Record'!H277</f>
        <v>0</v>
      </c>
      <c r="H275" s="23">
        <f t="shared" si="38"/>
        <v>1</v>
      </c>
      <c r="I275" s="23">
        <f t="shared" si="39"/>
        <v>0</v>
      </c>
      <c r="J275" s="21" t="e">
        <f t="shared" si="40"/>
        <v>#N/A</v>
      </c>
      <c r="K275" s="23">
        <f>'Leave Record'!I277</f>
        <v>0</v>
      </c>
    </row>
    <row r="276" spans="1:11" x14ac:dyDescent="0.25">
      <c r="A276" s="38">
        <f t="shared" si="34"/>
        <v>1</v>
      </c>
      <c r="B276" s="38">
        <f>IF(K276=$P$13,'Rule 12'!$M$4,F276-1)</f>
        <v>-1</v>
      </c>
      <c r="C276" s="23">
        <f t="shared" si="35"/>
        <v>-1</v>
      </c>
      <c r="D276" s="21">
        <f t="shared" si="36"/>
        <v>-8.3333333333333329E-2</v>
      </c>
      <c r="E276" s="21" t="e">
        <f t="shared" si="37"/>
        <v>#N/A</v>
      </c>
      <c r="F276" s="38">
        <f>'Leave Record'!G278</f>
        <v>0</v>
      </c>
      <c r="G276" s="38">
        <f>'Leave Record'!H278</f>
        <v>0</v>
      </c>
      <c r="H276" s="23">
        <f t="shared" si="38"/>
        <v>1</v>
      </c>
      <c r="I276" s="23">
        <f t="shared" si="39"/>
        <v>0</v>
      </c>
      <c r="J276" s="21" t="e">
        <f t="shared" si="40"/>
        <v>#N/A</v>
      </c>
      <c r="K276" s="23">
        <f>'Leave Record'!I278</f>
        <v>0</v>
      </c>
    </row>
    <row r="277" spans="1:11" x14ac:dyDescent="0.25">
      <c r="A277" s="38">
        <f t="shared" si="34"/>
        <v>1</v>
      </c>
      <c r="B277" s="38">
        <f>IF(K277=$P$13,'Rule 12'!$M$4,F277-1)</f>
        <v>-1</v>
      </c>
      <c r="C277" s="23">
        <f t="shared" si="35"/>
        <v>-1</v>
      </c>
      <c r="D277" s="21">
        <f t="shared" si="36"/>
        <v>-8.3333333333333329E-2</v>
      </c>
      <c r="E277" s="21" t="e">
        <f t="shared" si="37"/>
        <v>#N/A</v>
      </c>
      <c r="F277" s="38">
        <f>'Leave Record'!G279</f>
        <v>0</v>
      </c>
      <c r="G277" s="38">
        <f>'Leave Record'!H279</f>
        <v>0</v>
      </c>
      <c r="H277" s="23">
        <f t="shared" si="38"/>
        <v>1</v>
      </c>
      <c r="I277" s="23">
        <f t="shared" si="39"/>
        <v>0</v>
      </c>
      <c r="J277" s="21" t="e">
        <f t="shared" si="40"/>
        <v>#N/A</v>
      </c>
      <c r="K277" s="23">
        <f>'Leave Record'!I279</f>
        <v>0</v>
      </c>
    </row>
    <row r="278" spans="1:11" x14ac:dyDescent="0.25">
      <c r="A278" s="38">
        <f t="shared" si="34"/>
        <v>1</v>
      </c>
      <c r="B278" s="38">
        <f>IF(K278=$P$13,'Rule 12'!$M$4,F278-1)</f>
        <v>-1</v>
      </c>
      <c r="C278" s="23">
        <f t="shared" si="35"/>
        <v>-1</v>
      </c>
      <c r="D278" s="21">
        <f t="shared" si="36"/>
        <v>-8.3333333333333329E-2</v>
      </c>
      <c r="E278" s="21" t="e">
        <f t="shared" si="37"/>
        <v>#N/A</v>
      </c>
      <c r="F278" s="38">
        <f>'Leave Record'!G280</f>
        <v>0</v>
      </c>
      <c r="G278" s="38">
        <f>'Leave Record'!H280</f>
        <v>0</v>
      </c>
      <c r="H278" s="23">
        <f t="shared" si="38"/>
        <v>1</v>
      </c>
      <c r="I278" s="23">
        <f t="shared" si="39"/>
        <v>0</v>
      </c>
      <c r="J278" s="21" t="e">
        <f t="shared" si="40"/>
        <v>#N/A</v>
      </c>
      <c r="K278" s="23">
        <f>'Leave Record'!I280</f>
        <v>0</v>
      </c>
    </row>
    <row r="279" spans="1:11" x14ac:dyDescent="0.25">
      <c r="A279" s="38">
        <f t="shared" si="34"/>
        <v>1</v>
      </c>
      <c r="B279" s="38">
        <f>IF(K279=$P$13,'Rule 12'!$M$4,F279-1)</f>
        <v>-1</v>
      </c>
      <c r="C279" s="23">
        <f t="shared" si="35"/>
        <v>-1</v>
      </c>
      <c r="D279" s="21">
        <f t="shared" si="36"/>
        <v>-8.3333333333333329E-2</v>
      </c>
      <c r="E279" s="21" t="e">
        <f t="shared" si="37"/>
        <v>#N/A</v>
      </c>
      <c r="F279" s="38">
        <f>'Leave Record'!G281</f>
        <v>0</v>
      </c>
      <c r="G279" s="38">
        <f>'Leave Record'!H281</f>
        <v>0</v>
      </c>
      <c r="H279" s="23">
        <f t="shared" si="38"/>
        <v>1</v>
      </c>
      <c r="I279" s="23">
        <f t="shared" si="39"/>
        <v>0</v>
      </c>
      <c r="J279" s="21" t="e">
        <f t="shared" si="40"/>
        <v>#N/A</v>
      </c>
      <c r="K279" s="23">
        <f>'Leave Record'!I281</f>
        <v>0</v>
      </c>
    </row>
    <row r="280" spans="1:11" x14ac:dyDescent="0.25">
      <c r="A280" s="38">
        <f t="shared" si="34"/>
        <v>1</v>
      </c>
      <c r="B280" s="38">
        <f>IF(K280=$P$13,'Rule 12'!$M$4,F280-1)</f>
        <v>-1</v>
      </c>
      <c r="C280" s="23">
        <f t="shared" si="35"/>
        <v>-1</v>
      </c>
      <c r="D280" s="21">
        <f t="shared" si="36"/>
        <v>-8.3333333333333329E-2</v>
      </c>
      <c r="E280" s="21" t="e">
        <f t="shared" si="37"/>
        <v>#N/A</v>
      </c>
      <c r="F280" s="38">
        <f>'Leave Record'!G282</f>
        <v>0</v>
      </c>
      <c r="G280" s="38">
        <f>'Leave Record'!H282</f>
        <v>0</v>
      </c>
      <c r="H280" s="23">
        <f t="shared" si="38"/>
        <v>1</v>
      </c>
      <c r="I280" s="23">
        <f t="shared" si="39"/>
        <v>0</v>
      </c>
      <c r="J280" s="21" t="e">
        <f t="shared" si="40"/>
        <v>#N/A</v>
      </c>
      <c r="K280" s="23">
        <f>'Leave Record'!I282</f>
        <v>0</v>
      </c>
    </row>
    <row r="281" spans="1:11" x14ac:dyDescent="0.25">
      <c r="A281" s="38">
        <f t="shared" si="34"/>
        <v>1</v>
      </c>
      <c r="B281" s="38">
        <f>IF(K281=$P$13,'Rule 12'!$M$4,F281-1)</f>
        <v>-1</v>
      </c>
      <c r="C281" s="23">
        <f t="shared" si="35"/>
        <v>-1</v>
      </c>
      <c r="D281" s="21">
        <f t="shared" si="36"/>
        <v>-8.3333333333333329E-2</v>
      </c>
      <c r="E281" s="21" t="e">
        <f t="shared" si="37"/>
        <v>#N/A</v>
      </c>
      <c r="F281" s="38">
        <f>'Leave Record'!G283</f>
        <v>0</v>
      </c>
      <c r="G281" s="38">
        <f>'Leave Record'!H283</f>
        <v>0</v>
      </c>
      <c r="H281" s="23">
        <f t="shared" si="38"/>
        <v>1</v>
      </c>
      <c r="I281" s="23">
        <f t="shared" si="39"/>
        <v>0</v>
      </c>
      <c r="J281" s="21" t="e">
        <f t="shared" si="40"/>
        <v>#N/A</v>
      </c>
      <c r="K281" s="23">
        <f>'Leave Record'!I283</f>
        <v>0</v>
      </c>
    </row>
    <row r="282" spans="1:11" x14ac:dyDescent="0.25">
      <c r="A282" s="38">
        <f t="shared" si="34"/>
        <v>1</v>
      </c>
      <c r="B282" s="38">
        <f>IF(K282=$P$13,'Rule 12'!$M$4,F282-1)</f>
        <v>-1</v>
      </c>
      <c r="C282" s="23">
        <f t="shared" si="35"/>
        <v>-1</v>
      </c>
      <c r="D282" s="21">
        <f t="shared" si="36"/>
        <v>-8.3333333333333329E-2</v>
      </c>
      <c r="E282" s="21" t="e">
        <f t="shared" si="37"/>
        <v>#N/A</v>
      </c>
      <c r="F282" s="38">
        <f>'Leave Record'!G284</f>
        <v>0</v>
      </c>
      <c r="G282" s="38">
        <f>'Leave Record'!H284</f>
        <v>0</v>
      </c>
      <c r="H282" s="23">
        <f t="shared" si="38"/>
        <v>1</v>
      </c>
      <c r="I282" s="23">
        <f t="shared" si="39"/>
        <v>0</v>
      </c>
      <c r="J282" s="21" t="e">
        <f t="shared" si="40"/>
        <v>#N/A</v>
      </c>
      <c r="K282" s="23">
        <f>'Leave Record'!I284</f>
        <v>0</v>
      </c>
    </row>
    <row r="283" spans="1:11" x14ac:dyDescent="0.25">
      <c r="A283" s="38">
        <f t="shared" si="34"/>
        <v>1</v>
      </c>
      <c r="B283" s="38">
        <f>IF(K283=$P$13,'Rule 12'!$M$4,F283-1)</f>
        <v>-1</v>
      </c>
      <c r="C283" s="23">
        <f t="shared" si="35"/>
        <v>-1</v>
      </c>
      <c r="D283" s="21">
        <f t="shared" si="36"/>
        <v>-8.3333333333333329E-2</v>
      </c>
      <c r="E283" s="21" t="e">
        <f t="shared" si="37"/>
        <v>#N/A</v>
      </c>
      <c r="F283" s="38">
        <f>'Leave Record'!G285</f>
        <v>0</v>
      </c>
      <c r="G283" s="38">
        <f>'Leave Record'!H285</f>
        <v>0</v>
      </c>
      <c r="H283" s="23">
        <f t="shared" si="38"/>
        <v>1</v>
      </c>
      <c r="I283" s="23">
        <f t="shared" si="39"/>
        <v>0</v>
      </c>
      <c r="J283" s="21" t="e">
        <f t="shared" si="40"/>
        <v>#N/A</v>
      </c>
      <c r="K283" s="23">
        <f>'Leave Record'!I285</f>
        <v>0</v>
      </c>
    </row>
    <row r="284" spans="1:11" x14ac:dyDescent="0.25">
      <c r="A284" s="38">
        <f t="shared" si="34"/>
        <v>1</v>
      </c>
      <c r="B284" s="38">
        <f>IF(K284=$P$13,'Rule 12'!$M$4,F284-1)</f>
        <v>-1</v>
      </c>
      <c r="C284" s="23">
        <f t="shared" si="35"/>
        <v>-1</v>
      </c>
      <c r="D284" s="21">
        <f t="shared" si="36"/>
        <v>-8.3333333333333329E-2</v>
      </c>
      <c r="E284" s="21" t="e">
        <f t="shared" si="37"/>
        <v>#N/A</v>
      </c>
      <c r="F284" s="38">
        <f>'Leave Record'!G286</f>
        <v>0</v>
      </c>
      <c r="G284" s="38">
        <f>'Leave Record'!H286</f>
        <v>0</v>
      </c>
      <c r="H284" s="23">
        <f t="shared" si="38"/>
        <v>1</v>
      </c>
      <c r="I284" s="23">
        <f t="shared" si="39"/>
        <v>0</v>
      </c>
      <c r="J284" s="21" t="e">
        <f t="shared" si="40"/>
        <v>#N/A</v>
      </c>
      <c r="K284" s="23">
        <f>'Leave Record'!I286</f>
        <v>0</v>
      </c>
    </row>
    <row r="285" spans="1:11" x14ac:dyDescent="0.25">
      <c r="A285" s="38">
        <f t="shared" si="34"/>
        <v>1</v>
      </c>
      <c r="B285" s="38">
        <f>IF(K285=$P$13,'Rule 12'!$M$4,F285-1)</f>
        <v>-1</v>
      </c>
      <c r="C285" s="23">
        <f t="shared" si="35"/>
        <v>-1</v>
      </c>
      <c r="D285" s="21">
        <f t="shared" si="36"/>
        <v>-8.3333333333333329E-2</v>
      </c>
      <c r="E285" s="21" t="e">
        <f t="shared" si="37"/>
        <v>#N/A</v>
      </c>
      <c r="F285" s="38">
        <f>'Leave Record'!G287</f>
        <v>0</v>
      </c>
      <c r="G285" s="38">
        <f>'Leave Record'!H287</f>
        <v>0</v>
      </c>
      <c r="H285" s="23">
        <f t="shared" si="38"/>
        <v>1</v>
      </c>
      <c r="I285" s="23">
        <f t="shared" si="39"/>
        <v>0</v>
      </c>
      <c r="J285" s="21" t="e">
        <f t="shared" si="40"/>
        <v>#N/A</v>
      </c>
      <c r="K285" s="23">
        <f>'Leave Record'!I287</f>
        <v>0</v>
      </c>
    </row>
    <row r="286" spans="1:11" x14ac:dyDescent="0.25">
      <c r="A286" s="38">
        <f t="shared" si="34"/>
        <v>1</v>
      </c>
      <c r="B286" s="38">
        <f>IF(K286=$P$13,'Rule 12'!$M$4,F286-1)</f>
        <v>-1</v>
      </c>
      <c r="C286" s="23">
        <f t="shared" si="35"/>
        <v>-1</v>
      </c>
      <c r="D286" s="21">
        <f t="shared" si="36"/>
        <v>-8.3333333333333329E-2</v>
      </c>
      <c r="E286" s="21" t="e">
        <f t="shared" si="37"/>
        <v>#N/A</v>
      </c>
      <c r="F286" s="38">
        <f>'Leave Record'!G288</f>
        <v>0</v>
      </c>
      <c r="G286" s="38">
        <f>'Leave Record'!H288</f>
        <v>0</v>
      </c>
      <c r="H286" s="23">
        <f t="shared" si="38"/>
        <v>1</v>
      </c>
      <c r="I286" s="23">
        <f t="shared" si="39"/>
        <v>0</v>
      </c>
      <c r="J286" s="21" t="e">
        <f t="shared" si="40"/>
        <v>#N/A</v>
      </c>
      <c r="K286" s="23">
        <f>'Leave Record'!I288</f>
        <v>0</v>
      </c>
    </row>
    <row r="287" spans="1:11" x14ac:dyDescent="0.25">
      <c r="A287" s="38">
        <f t="shared" si="34"/>
        <v>1</v>
      </c>
      <c r="B287" s="38">
        <f>IF(K287=$P$13,'Rule 12'!$M$4,F287-1)</f>
        <v>-1</v>
      </c>
      <c r="C287" s="23">
        <f t="shared" si="35"/>
        <v>-1</v>
      </c>
      <c r="D287" s="21">
        <f t="shared" si="36"/>
        <v>-8.3333333333333329E-2</v>
      </c>
      <c r="E287" s="21" t="e">
        <f t="shared" si="37"/>
        <v>#N/A</v>
      </c>
      <c r="F287" s="38">
        <f>'Leave Record'!G289</f>
        <v>0</v>
      </c>
      <c r="G287" s="38">
        <f>'Leave Record'!H289</f>
        <v>0</v>
      </c>
      <c r="H287" s="23">
        <f t="shared" si="38"/>
        <v>1</v>
      </c>
      <c r="I287" s="23">
        <f t="shared" si="39"/>
        <v>0</v>
      </c>
      <c r="J287" s="21" t="e">
        <f t="shared" si="40"/>
        <v>#N/A</v>
      </c>
      <c r="K287" s="23">
        <f>'Leave Record'!I289</f>
        <v>0</v>
      </c>
    </row>
    <row r="288" spans="1:11" x14ac:dyDescent="0.25">
      <c r="A288" s="38">
        <f t="shared" si="34"/>
        <v>1</v>
      </c>
      <c r="B288" s="38">
        <f>IF(K288=$P$13,'Rule 12'!$M$4,F288-1)</f>
        <v>-1</v>
      </c>
      <c r="C288" s="23">
        <f t="shared" si="35"/>
        <v>-1</v>
      </c>
      <c r="D288" s="21">
        <f t="shared" si="36"/>
        <v>-8.3333333333333329E-2</v>
      </c>
      <c r="E288" s="21" t="e">
        <f t="shared" si="37"/>
        <v>#N/A</v>
      </c>
      <c r="F288" s="38">
        <f>'Leave Record'!G290</f>
        <v>0</v>
      </c>
      <c r="G288" s="38">
        <f>'Leave Record'!H290</f>
        <v>0</v>
      </c>
      <c r="H288" s="23">
        <f t="shared" si="38"/>
        <v>1</v>
      </c>
      <c r="I288" s="23">
        <f t="shared" si="39"/>
        <v>0</v>
      </c>
      <c r="J288" s="21" t="e">
        <f t="shared" si="40"/>
        <v>#N/A</v>
      </c>
      <c r="K288" s="23">
        <f>'Leave Record'!I290</f>
        <v>0</v>
      </c>
    </row>
    <row r="289" spans="1:11" x14ac:dyDescent="0.25">
      <c r="A289" s="38">
        <f t="shared" si="34"/>
        <v>1</v>
      </c>
      <c r="B289" s="38">
        <f>IF(K289=$P$13,'Rule 12'!$M$4,F289-1)</f>
        <v>-1</v>
      </c>
      <c r="C289" s="23">
        <f t="shared" si="35"/>
        <v>-1</v>
      </c>
      <c r="D289" s="21">
        <f t="shared" si="36"/>
        <v>-8.3333333333333329E-2</v>
      </c>
      <c r="E289" s="21" t="e">
        <f t="shared" si="37"/>
        <v>#N/A</v>
      </c>
      <c r="F289" s="38">
        <f>'Leave Record'!G291</f>
        <v>0</v>
      </c>
      <c r="G289" s="38">
        <f>'Leave Record'!H291</f>
        <v>0</v>
      </c>
      <c r="H289" s="23">
        <f t="shared" si="38"/>
        <v>1</v>
      </c>
      <c r="I289" s="23">
        <f t="shared" si="39"/>
        <v>0</v>
      </c>
      <c r="J289" s="21" t="e">
        <f t="shared" si="40"/>
        <v>#N/A</v>
      </c>
      <c r="K289" s="23">
        <f>'Leave Record'!I291</f>
        <v>0</v>
      </c>
    </row>
    <row r="290" spans="1:11" x14ac:dyDescent="0.25">
      <c r="A290" s="38">
        <f t="shared" si="34"/>
        <v>1</v>
      </c>
      <c r="B290" s="38">
        <f>IF(K290=$P$13,'Rule 12'!$M$4,F290-1)</f>
        <v>-1</v>
      </c>
      <c r="C290" s="23">
        <f t="shared" si="35"/>
        <v>-1</v>
      </c>
      <c r="D290" s="21">
        <f t="shared" si="36"/>
        <v>-8.3333333333333329E-2</v>
      </c>
      <c r="E290" s="21" t="e">
        <f t="shared" si="37"/>
        <v>#N/A</v>
      </c>
      <c r="F290" s="38">
        <f>'Leave Record'!G292</f>
        <v>0</v>
      </c>
      <c r="G290" s="38">
        <f>'Leave Record'!H292</f>
        <v>0</v>
      </c>
      <c r="H290" s="23">
        <f t="shared" si="38"/>
        <v>1</v>
      </c>
      <c r="I290" s="23">
        <f t="shared" si="39"/>
        <v>0</v>
      </c>
      <c r="J290" s="21" t="e">
        <f t="shared" si="40"/>
        <v>#N/A</v>
      </c>
      <c r="K290" s="23">
        <f>'Leave Record'!I292</f>
        <v>0</v>
      </c>
    </row>
    <row r="291" spans="1:11" x14ac:dyDescent="0.25">
      <c r="A291" s="38">
        <f t="shared" si="34"/>
        <v>1</v>
      </c>
      <c r="B291" s="38">
        <f>IF(K291=$P$13,'Rule 12'!$M$4,F291-1)</f>
        <v>-1</v>
      </c>
      <c r="C291" s="23">
        <f t="shared" si="35"/>
        <v>-1</v>
      </c>
      <c r="D291" s="21">
        <f t="shared" si="36"/>
        <v>-8.3333333333333329E-2</v>
      </c>
      <c r="E291" s="21" t="e">
        <f t="shared" si="37"/>
        <v>#N/A</v>
      </c>
      <c r="F291" s="38">
        <f>'Leave Record'!G293</f>
        <v>0</v>
      </c>
      <c r="G291" s="38">
        <f>'Leave Record'!H293</f>
        <v>0</v>
      </c>
      <c r="H291" s="23">
        <f t="shared" si="38"/>
        <v>1</v>
      </c>
      <c r="I291" s="23">
        <f t="shared" si="39"/>
        <v>0</v>
      </c>
      <c r="J291" s="21" t="e">
        <f t="shared" si="40"/>
        <v>#N/A</v>
      </c>
      <c r="K291" s="23">
        <f>'Leave Record'!I293</f>
        <v>0</v>
      </c>
    </row>
    <row r="292" spans="1:11" x14ac:dyDescent="0.25">
      <c r="A292" s="38">
        <f t="shared" si="34"/>
        <v>1</v>
      </c>
      <c r="B292" s="38">
        <f>IF(K292=$P$13,'Rule 12'!$M$4,F292-1)</f>
        <v>-1</v>
      </c>
      <c r="C292" s="23">
        <f t="shared" si="35"/>
        <v>-1</v>
      </c>
      <c r="D292" s="21">
        <f t="shared" si="36"/>
        <v>-8.3333333333333329E-2</v>
      </c>
      <c r="E292" s="21" t="e">
        <f t="shared" si="37"/>
        <v>#N/A</v>
      </c>
      <c r="F292" s="38">
        <f>'Leave Record'!G294</f>
        <v>0</v>
      </c>
      <c r="G292" s="38">
        <f>'Leave Record'!H294</f>
        <v>0</v>
      </c>
      <c r="H292" s="23">
        <f t="shared" si="38"/>
        <v>1</v>
      </c>
      <c r="I292" s="23">
        <f t="shared" si="39"/>
        <v>0</v>
      </c>
      <c r="J292" s="21" t="e">
        <f t="shared" si="40"/>
        <v>#N/A</v>
      </c>
      <c r="K292" s="23">
        <f>'Leave Record'!I294</f>
        <v>0</v>
      </c>
    </row>
    <row r="293" spans="1:11" x14ac:dyDescent="0.25">
      <c r="A293" s="38">
        <f t="shared" si="34"/>
        <v>1</v>
      </c>
      <c r="B293" s="38">
        <f>IF(K293=$P$13,'Rule 12'!$M$4,F293-1)</f>
        <v>-1</v>
      </c>
      <c r="C293" s="23">
        <f t="shared" si="35"/>
        <v>-1</v>
      </c>
      <c r="D293" s="21">
        <f t="shared" si="36"/>
        <v>-8.3333333333333329E-2</v>
      </c>
      <c r="E293" s="21" t="e">
        <f t="shared" si="37"/>
        <v>#N/A</v>
      </c>
      <c r="F293" s="38">
        <f>'Leave Record'!G295</f>
        <v>0</v>
      </c>
      <c r="G293" s="38">
        <f>'Leave Record'!H295</f>
        <v>0</v>
      </c>
      <c r="H293" s="23">
        <f t="shared" si="38"/>
        <v>1</v>
      </c>
      <c r="I293" s="23">
        <f t="shared" si="39"/>
        <v>0</v>
      </c>
      <c r="J293" s="21" t="e">
        <f t="shared" si="40"/>
        <v>#N/A</v>
      </c>
      <c r="K293" s="23">
        <f>'Leave Record'!I295</f>
        <v>0</v>
      </c>
    </row>
    <row r="294" spans="1:11" x14ac:dyDescent="0.25">
      <c r="A294" s="38">
        <f t="shared" si="34"/>
        <v>1</v>
      </c>
      <c r="B294" s="38">
        <f>IF(K294=$P$13,'Rule 12'!$M$4,F294-1)</f>
        <v>-1</v>
      </c>
      <c r="C294" s="23">
        <f t="shared" si="35"/>
        <v>-1</v>
      </c>
      <c r="D294" s="21">
        <f t="shared" si="36"/>
        <v>-8.3333333333333329E-2</v>
      </c>
      <c r="E294" s="21" t="e">
        <f t="shared" si="37"/>
        <v>#N/A</v>
      </c>
      <c r="F294" s="38">
        <f>'Leave Record'!G296</f>
        <v>0</v>
      </c>
      <c r="G294" s="38">
        <f>'Leave Record'!H296</f>
        <v>0</v>
      </c>
      <c r="H294" s="23">
        <f t="shared" si="38"/>
        <v>1</v>
      </c>
      <c r="I294" s="23">
        <f t="shared" si="39"/>
        <v>0</v>
      </c>
      <c r="J294" s="21" t="e">
        <f t="shared" si="40"/>
        <v>#N/A</v>
      </c>
      <c r="K294" s="23">
        <f>'Leave Record'!I296</f>
        <v>0</v>
      </c>
    </row>
    <row r="295" spans="1:11" x14ac:dyDescent="0.25">
      <c r="A295" s="38">
        <f t="shared" si="34"/>
        <v>1</v>
      </c>
      <c r="B295" s="38">
        <f>IF(K295=$P$13,'Rule 12'!$M$4,F295-1)</f>
        <v>-1</v>
      </c>
      <c r="C295" s="23">
        <f t="shared" si="35"/>
        <v>-1</v>
      </c>
      <c r="D295" s="21">
        <f t="shared" si="36"/>
        <v>-8.3333333333333329E-2</v>
      </c>
      <c r="E295" s="21" t="e">
        <f t="shared" si="37"/>
        <v>#N/A</v>
      </c>
      <c r="F295" s="38">
        <f>'Leave Record'!G297</f>
        <v>0</v>
      </c>
      <c r="G295" s="38">
        <f>'Leave Record'!H297</f>
        <v>0</v>
      </c>
      <c r="H295" s="23">
        <f t="shared" si="38"/>
        <v>1</v>
      </c>
      <c r="I295" s="23">
        <f t="shared" si="39"/>
        <v>0</v>
      </c>
      <c r="J295" s="21" t="e">
        <f t="shared" si="40"/>
        <v>#N/A</v>
      </c>
      <c r="K295" s="23">
        <f>'Leave Record'!I297</f>
        <v>0</v>
      </c>
    </row>
    <row r="296" spans="1:11" x14ac:dyDescent="0.25">
      <c r="A296" s="38">
        <f t="shared" si="34"/>
        <v>1</v>
      </c>
      <c r="B296" s="38">
        <f>IF(K296=$P$13,'Rule 12'!$M$4,F296-1)</f>
        <v>-1</v>
      </c>
      <c r="C296" s="23">
        <f t="shared" si="35"/>
        <v>-1</v>
      </c>
      <c r="D296" s="21">
        <f t="shared" si="36"/>
        <v>-8.3333333333333329E-2</v>
      </c>
      <c r="E296" s="21" t="e">
        <f t="shared" si="37"/>
        <v>#N/A</v>
      </c>
      <c r="F296" s="38">
        <f>'Leave Record'!G298</f>
        <v>0</v>
      </c>
      <c r="G296" s="38">
        <f>'Leave Record'!H298</f>
        <v>0</v>
      </c>
      <c r="H296" s="23">
        <f t="shared" si="38"/>
        <v>1</v>
      </c>
      <c r="I296" s="23">
        <f t="shared" si="39"/>
        <v>0</v>
      </c>
      <c r="J296" s="21" t="e">
        <f t="shared" si="40"/>
        <v>#N/A</v>
      </c>
      <c r="K296" s="23">
        <f>'Leave Record'!I298</f>
        <v>0</v>
      </c>
    </row>
    <row r="297" spans="1:11" x14ac:dyDescent="0.25">
      <c r="A297" s="38">
        <f t="shared" si="34"/>
        <v>1</v>
      </c>
      <c r="B297" s="38">
        <f>IF(K297=$P$13,'Rule 12'!$M$4,F297-1)</f>
        <v>-1</v>
      </c>
      <c r="C297" s="23">
        <f t="shared" si="35"/>
        <v>-1</v>
      </c>
      <c r="D297" s="21">
        <f t="shared" si="36"/>
        <v>-8.3333333333333329E-2</v>
      </c>
      <c r="E297" s="21" t="e">
        <f t="shared" si="37"/>
        <v>#N/A</v>
      </c>
      <c r="F297" s="38">
        <f>'Leave Record'!G299</f>
        <v>0</v>
      </c>
      <c r="G297" s="38">
        <f>'Leave Record'!H299</f>
        <v>0</v>
      </c>
      <c r="H297" s="23">
        <f t="shared" si="38"/>
        <v>1</v>
      </c>
      <c r="I297" s="23">
        <f t="shared" si="39"/>
        <v>0</v>
      </c>
      <c r="J297" s="21" t="e">
        <f t="shared" si="40"/>
        <v>#N/A</v>
      </c>
      <c r="K297" s="23">
        <f>'Leave Record'!I299</f>
        <v>0</v>
      </c>
    </row>
    <row r="298" spans="1:11" x14ac:dyDescent="0.25">
      <c r="A298" s="38">
        <f t="shared" si="34"/>
        <v>1</v>
      </c>
      <c r="B298" s="38">
        <f>IF(K298=$P$13,'Rule 12'!$M$4,F298-1)</f>
        <v>-1</v>
      </c>
      <c r="C298" s="23">
        <f t="shared" si="35"/>
        <v>-1</v>
      </c>
      <c r="D298" s="21">
        <f t="shared" si="36"/>
        <v>-8.3333333333333329E-2</v>
      </c>
      <c r="E298" s="21" t="e">
        <f t="shared" si="37"/>
        <v>#N/A</v>
      </c>
      <c r="F298" s="38">
        <f>'Leave Record'!G300</f>
        <v>0</v>
      </c>
      <c r="G298" s="38">
        <f>'Leave Record'!H300</f>
        <v>0</v>
      </c>
      <c r="H298" s="23">
        <f t="shared" si="38"/>
        <v>1</v>
      </c>
      <c r="I298" s="23">
        <f t="shared" si="39"/>
        <v>0</v>
      </c>
      <c r="J298" s="21" t="e">
        <f t="shared" si="40"/>
        <v>#N/A</v>
      </c>
      <c r="K298" s="23">
        <f>'Leave Record'!I300</f>
        <v>0</v>
      </c>
    </row>
    <row r="299" spans="1:11" x14ac:dyDescent="0.25">
      <c r="A299" s="38">
        <f t="shared" si="34"/>
        <v>1</v>
      </c>
      <c r="B299" s="38">
        <f>IF(K299=$P$13,'Rule 12'!$M$4,F299-1)</f>
        <v>-1</v>
      </c>
      <c r="C299" s="23">
        <f t="shared" si="35"/>
        <v>-1</v>
      </c>
      <c r="D299" s="21">
        <f t="shared" si="36"/>
        <v>-8.3333333333333329E-2</v>
      </c>
      <c r="E299" s="21" t="e">
        <f t="shared" si="37"/>
        <v>#N/A</v>
      </c>
      <c r="F299" s="38">
        <f>'Leave Record'!G301</f>
        <v>0</v>
      </c>
      <c r="G299" s="38">
        <f>'Leave Record'!H301</f>
        <v>0</v>
      </c>
      <c r="H299" s="23">
        <f t="shared" si="38"/>
        <v>1</v>
      </c>
      <c r="I299" s="23">
        <f t="shared" si="39"/>
        <v>0</v>
      </c>
      <c r="J299" s="21" t="e">
        <f t="shared" si="40"/>
        <v>#N/A</v>
      </c>
      <c r="K299" s="23">
        <f>'Leave Record'!I301</f>
        <v>0</v>
      </c>
    </row>
    <row r="300" spans="1:11" x14ac:dyDescent="0.25">
      <c r="A300" s="38">
        <f t="shared" si="34"/>
        <v>1</v>
      </c>
      <c r="B300" s="38">
        <f>IF(K300=$P$13,'Rule 12'!$M$4,F300-1)</f>
        <v>-1</v>
      </c>
      <c r="C300" s="23">
        <f t="shared" si="35"/>
        <v>-1</v>
      </c>
      <c r="D300" s="21">
        <f t="shared" si="36"/>
        <v>-8.3333333333333329E-2</v>
      </c>
      <c r="E300" s="21" t="e">
        <f t="shared" si="37"/>
        <v>#N/A</v>
      </c>
      <c r="F300" s="38">
        <f>'Leave Record'!G302</f>
        <v>0</v>
      </c>
      <c r="G300" s="38">
        <f>'Leave Record'!H302</f>
        <v>0</v>
      </c>
      <c r="H300" s="23">
        <f t="shared" si="38"/>
        <v>1</v>
      </c>
      <c r="I300" s="23">
        <f t="shared" si="39"/>
        <v>0</v>
      </c>
      <c r="J300" s="21" t="e">
        <f t="shared" si="40"/>
        <v>#N/A</v>
      </c>
      <c r="K300" s="23">
        <f>'Leave Record'!I302</f>
        <v>0</v>
      </c>
    </row>
    <row r="301" spans="1:11" x14ac:dyDescent="0.25">
      <c r="A301" s="38">
        <f t="shared" si="34"/>
        <v>1</v>
      </c>
      <c r="B301" s="38">
        <f>IF(K301=$P$13,'Rule 12'!$M$4,F301-1)</f>
        <v>-1</v>
      </c>
      <c r="C301" s="23">
        <f t="shared" si="35"/>
        <v>-1</v>
      </c>
      <c r="D301" s="21">
        <f t="shared" si="36"/>
        <v>-8.3333333333333329E-2</v>
      </c>
      <c r="E301" s="21" t="e">
        <f t="shared" si="37"/>
        <v>#N/A</v>
      </c>
      <c r="F301" s="38">
        <f>'Leave Record'!G303</f>
        <v>0</v>
      </c>
      <c r="G301" s="38">
        <f>'Leave Record'!H303</f>
        <v>0</v>
      </c>
      <c r="H301" s="23">
        <f t="shared" si="38"/>
        <v>1</v>
      </c>
      <c r="I301" s="23">
        <f t="shared" si="39"/>
        <v>0</v>
      </c>
      <c r="J301" s="21" t="e">
        <f t="shared" si="40"/>
        <v>#N/A</v>
      </c>
      <c r="K301" s="23">
        <f>'Leave Record'!I303</f>
        <v>0</v>
      </c>
    </row>
    <row r="302" spans="1:11" x14ac:dyDescent="0.25">
      <c r="A302" s="38">
        <f t="shared" si="34"/>
        <v>1</v>
      </c>
      <c r="B302" s="38">
        <f>IF(K302=$P$13,'Rule 12'!$M$4,F302-1)</f>
        <v>-1</v>
      </c>
      <c r="C302" s="23">
        <f t="shared" si="35"/>
        <v>-1</v>
      </c>
      <c r="D302" s="21">
        <f t="shared" si="36"/>
        <v>-8.3333333333333329E-2</v>
      </c>
      <c r="E302" s="21" t="e">
        <f t="shared" si="37"/>
        <v>#N/A</v>
      </c>
      <c r="F302" s="38">
        <f>'Leave Record'!G304</f>
        <v>0</v>
      </c>
      <c r="G302" s="38">
        <f>'Leave Record'!H304</f>
        <v>0</v>
      </c>
      <c r="H302" s="23">
        <f t="shared" si="38"/>
        <v>1</v>
      </c>
      <c r="I302" s="23">
        <f t="shared" si="39"/>
        <v>0</v>
      </c>
      <c r="J302" s="21" t="e">
        <f t="shared" si="40"/>
        <v>#N/A</v>
      </c>
      <c r="K302" s="23">
        <f>'Leave Record'!I304</f>
        <v>0</v>
      </c>
    </row>
    <row r="303" spans="1:11" x14ac:dyDescent="0.25">
      <c r="A303" s="38">
        <f t="shared" si="34"/>
        <v>1</v>
      </c>
      <c r="B303" s="38">
        <f>IF(K303=$P$13,'Rule 12'!$M$4,F303-1)</f>
        <v>-1</v>
      </c>
      <c r="C303" s="23">
        <f t="shared" si="35"/>
        <v>-1</v>
      </c>
      <c r="D303" s="21">
        <f t="shared" si="36"/>
        <v>-8.3333333333333329E-2</v>
      </c>
      <c r="E303" s="21" t="e">
        <f t="shared" si="37"/>
        <v>#N/A</v>
      </c>
      <c r="F303" s="38">
        <f>'Leave Record'!G305</f>
        <v>0</v>
      </c>
      <c r="G303" s="38">
        <f>'Leave Record'!H305</f>
        <v>0</v>
      </c>
      <c r="H303" s="23">
        <f t="shared" si="38"/>
        <v>1</v>
      </c>
      <c r="I303" s="23">
        <f t="shared" si="39"/>
        <v>0</v>
      </c>
      <c r="J303" s="21" t="e">
        <f t="shared" si="40"/>
        <v>#N/A</v>
      </c>
      <c r="K303" s="23">
        <f>'Leave Record'!I305</f>
        <v>0</v>
      </c>
    </row>
    <row r="304" spans="1:11" x14ac:dyDescent="0.25">
      <c r="A304" s="38">
        <f t="shared" si="34"/>
        <v>1</v>
      </c>
      <c r="B304" s="38">
        <f>IF(K304=$P$13,'Rule 12'!$M$4,F304-1)</f>
        <v>-1</v>
      </c>
      <c r="C304" s="23">
        <f t="shared" si="35"/>
        <v>-1</v>
      </c>
      <c r="D304" s="21">
        <f t="shared" si="36"/>
        <v>-8.3333333333333329E-2</v>
      </c>
      <c r="E304" s="21" t="e">
        <f t="shared" si="37"/>
        <v>#N/A</v>
      </c>
      <c r="F304" s="38">
        <f>'Leave Record'!G306</f>
        <v>0</v>
      </c>
      <c r="G304" s="38">
        <f>'Leave Record'!H306</f>
        <v>0</v>
      </c>
      <c r="H304" s="23">
        <f t="shared" si="38"/>
        <v>1</v>
      </c>
      <c r="I304" s="23">
        <f t="shared" si="39"/>
        <v>0</v>
      </c>
      <c r="J304" s="21" t="e">
        <f t="shared" si="40"/>
        <v>#N/A</v>
      </c>
      <c r="K304" s="23">
        <f>'Leave Record'!I306</f>
        <v>0</v>
      </c>
    </row>
    <row r="305" spans="1:11" x14ac:dyDescent="0.25">
      <c r="A305" s="38">
        <f t="shared" si="34"/>
        <v>1</v>
      </c>
      <c r="B305" s="38">
        <f>IF(K305=$P$13,'Rule 12'!$M$4,F305-1)</f>
        <v>-1</v>
      </c>
      <c r="C305" s="23">
        <f t="shared" si="35"/>
        <v>-1</v>
      </c>
      <c r="D305" s="21">
        <f t="shared" si="36"/>
        <v>-8.3333333333333329E-2</v>
      </c>
      <c r="E305" s="21" t="e">
        <f t="shared" si="37"/>
        <v>#N/A</v>
      </c>
      <c r="F305" s="38">
        <f>'Leave Record'!G307</f>
        <v>0</v>
      </c>
      <c r="G305" s="38">
        <f>'Leave Record'!H307</f>
        <v>0</v>
      </c>
      <c r="H305" s="23">
        <f t="shared" si="38"/>
        <v>1</v>
      </c>
      <c r="I305" s="23">
        <f t="shared" si="39"/>
        <v>0</v>
      </c>
      <c r="J305" s="21" t="e">
        <f t="shared" si="40"/>
        <v>#N/A</v>
      </c>
      <c r="K305" s="23">
        <f>'Leave Record'!I307</f>
        <v>0</v>
      </c>
    </row>
    <row r="306" spans="1:11" x14ac:dyDescent="0.25">
      <c r="A306" s="38">
        <f t="shared" si="34"/>
        <v>1</v>
      </c>
      <c r="B306" s="38">
        <f>IF(K306=$P$13,'Rule 12'!$M$4,F306-1)</f>
        <v>-1</v>
      </c>
      <c r="C306" s="23">
        <f t="shared" si="35"/>
        <v>-1</v>
      </c>
      <c r="D306" s="21">
        <f t="shared" si="36"/>
        <v>-8.3333333333333329E-2</v>
      </c>
      <c r="E306" s="21" t="e">
        <f t="shared" si="37"/>
        <v>#N/A</v>
      </c>
      <c r="F306" s="38">
        <f>'Leave Record'!G308</f>
        <v>0</v>
      </c>
      <c r="G306" s="38">
        <f>'Leave Record'!H308</f>
        <v>0</v>
      </c>
      <c r="H306" s="23">
        <f t="shared" si="38"/>
        <v>1</v>
      </c>
      <c r="I306" s="23">
        <f t="shared" si="39"/>
        <v>0</v>
      </c>
      <c r="J306" s="21" t="e">
        <f t="shared" si="40"/>
        <v>#N/A</v>
      </c>
      <c r="K306" s="23">
        <f>'Leave Record'!I308</f>
        <v>0</v>
      </c>
    </row>
    <row r="307" spans="1:11" x14ac:dyDescent="0.25">
      <c r="A307" s="38">
        <f t="shared" si="34"/>
        <v>1</v>
      </c>
      <c r="B307" s="38">
        <f>IF(K307=$P$13,'Rule 12'!$M$4,F307-1)</f>
        <v>-1</v>
      </c>
      <c r="C307" s="23">
        <f t="shared" si="35"/>
        <v>-1</v>
      </c>
      <c r="D307" s="21">
        <f t="shared" si="36"/>
        <v>-8.3333333333333329E-2</v>
      </c>
      <c r="E307" s="21" t="e">
        <f t="shared" si="37"/>
        <v>#N/A</v>
      </c>
      <c r="F307" s="38">
        <f>'Leave Record'!G309</f>
        <v>0</v>
      </c>
      <c r="G307" s="38">
        <f>'Leave Record'!H309</f>
        <v>0</v>
      </c>
      <c r="H307" s="23">
        <f t="shared" si="38"/>
        <v>1</v>
      </c>
      <c r="I307" s="23">
        <f t="shared" si="39"/>
        <v>0</v>
      </c>
      <c r="J307" s="21" t="e">
        <f t="shared" si="40"/>
        <v>#N/A</v>
      </c>
      <c r="K307" s="23">
        <f>'Leave Record'!I309</f>
        <v>0</v>
      </c>
    </row>
    <row r="308" spans="1:11" x14ac:dyDescent="0.25">
      <c r="A308" s="38">
        <f t="shared" si="34"/>
        <v>1</v>
      </c>
      <c r="B308" s="38">
        <f>IF(K308=$P$13,'Rule 12'!$M$4,F308-1)</f>
        <v>-1</v>
      </c>
      <c r="C308" s="23">
        <f t="shared" si="35"/>
        <v>-1</v>
      </c>
      <c r="D308" s="21">
        <f t="shared" si="36"/>
        <v>-8.3333333333333329E-2</v>
      </c>
      <c r="E308" s="21" t="e">
        <f t="shared" si="37"/>
        <v>#N/A</v>
      </c>
      <c r="F308" s="38">
        <f>'Leave Record'!G310</f>
        <v>0</v>
      </c>
      <c r="G308" s="38">
        <f>'Leave Record'!H310</f>
        <v>0</v>
      </c>
      <c r="H308" s="23">
        <f t="shared" si="38"/>
        <v>1</v>
      </c>
      <c r="I308" s="23">
        <f t="shared" si="39"/>
        <v>0</v>
      </c>
      <c r="J308" s="21" t="e">
        <f t="shared" si="40"/>
        <v>#N/A</v>
      </c>
      <c r="K308" s="23">
        <f>'Leave Record'!I310</f>
        <v>0</v>
      </c>
    </row>
    <row r="309" spans="1:11" x14ac:dyDescent="0.25">
      <c r="A309" s="38">
        <f t="shared" si="34"/>
        <v>1</v>
      </c>
      <c r="B309" s="38">
        <f>IF(K309=$P$13,'Rule 12'!$M$4,F309-1)</f>
        <v>-1</v>
      </c>
      <c r="C309" s="23">
        <f t="shared" si="35"/>
        <v>-1</v>
      </c>
      <c r="D309" s="21">
        <f t="shared" si="36"/>
        <v>-8.3333333333333329E-2</v>
      </c>
      <c r="E309" s="21" t="e">
        <f t="shared" si="37"/>
        <v>#N/A</v>
      </c>
      <c r="F309" s="38">
        <f>'Leave Record'!G311</f>
        <v>0</v>
      </c>
      <c r="G309" s="38">
        <f>'Leave Record'!H311</f>
        <v>0</v>
      </c>
      <c r="H309" s="23">
        <f t="shared" si="38"/>
        <v>1</v>
      </c>
      <c r="I309" s="23">
        <f t="shared" si="39"/>
        <v>0</v>
      </c>
      <c r="J309" s="21" t="e">
        <f t="shared" si="40"/>
        <v>#N/A</v>
      </c>
      <c r="K309" s="23">
        <f>'Leave Record'!I311</f>
        <v>0</v>
      </c>
    </row>
    <row r="310" spans="1:11" x14ac:dyDescent="0.25">
      <c r="A310" s="38">
        <f t="shared" si="34"/>
        <v>1</v>
      </c>
      <c r="B310" s="38">
        <f>IF(K310=$P$13,'Rule 12'!$M$4,F310-1)</f>
        <v>-1</v>
      </c>
      <c r="C310" s="23">
        <f t="shared" si="35"/>
        <v>-1</v>
      </c>
      <c r="D310" s="21">
        <f t="shared" si="36"/>
        <v>-8.3333333333333329E-2</v>
      </c>
      <c r="E310" s="21" t="e">
        <f t="shared" si="37"/>
        <v>#N/A</v>
      </c>
      <c r="F310" s="38">
        <f>'Leave Record'!G312</f>
        <v>0</v>
      </c>
      <c r="G310" s="38">
        <f>'Leave Record'!H312</f>
        <v>0</v>
      </c>
      <c r="H310" s="23">
        <f t="shared" si="38"/>
        <v>1</v>
      </c>
      <c r="I310" s="23">
        <f t="shared" si="39"/>
        <v>0</v>
      </c>
      <c r="J310" s="21" t="e">
        <f t="shared" si="40"/>
        <v>#N/A</v>
      </c>
      <c r="K310" s="23">
        <f>'Leave Record'!I312</f>
        <v>0</v>
      </c>
    </row>
    <row r="311" spans="1:11" x14ac:dyDescent="0.25">
      <c r="A311" s="38">
        <f t="shared" si="34"/>
        <v>1</v>
      </c>
      <c r="B311" s="38">
        <f>IF(K311=$P$13,'Rule 12'!$M$4,F311-1)</f>
        <v>-1</v>
      </c>
      <c r="C311" s="23">
        <f t="shared" si="35"/>
        <v>-1</v>
      </c>
      <c r="D311" s="21">
        <f t="shared" si="36"/>
        <v>-8.3333333333333329E-2</v>
      </c>
      <c r="E311" s="21" t="e">
        <f t="shared" si="37"/>
        <v>#N/A</v>
      </c>
      <c r="F311" s="38">
        <f>'Leave Record'!G313</f>
        <v>0</v>
      </c>
      <c r="G311" s="38">
        <f>'Leave Record'!H313</f>
        <v>0</v>
      </c>
      <c r="H311" s="23">
        <f t="shared" si="38"/>
        <v>1</v>
      </c>
      <c r="I311" s="23">
        <f t="shared" si="39"/>
        <v>0</v>
      </c>
      <c r="J311" s="21" t="e">
        <f t="shared" si="40"/>
        <v>#N/A</v>
      </c>
      <c r="K311" s="23">
        <f>'Leave Record'!I313</f>
        <v>0</v>
      </c>
    </row>
    <row r="312" spans="1:11" x14ac:dyDescent="0.25">
      <c r="A312" s="38">
        <f t="shared" si="34"/>
        <v>1</v>
      </c>
      <c r="B312" s="38">
        <f>IF(K312=$P$13,'Rule 12'!$M$4,F312-1)</f>
        <v>-1</v>
      </c>
      <c r="C312" s="23">
        <f t="shared" si="35"/>
        <v>-1</v>
      </c>
      <c r="D312" s="21">
        <f t="shared" si="36"/>
        <v>-8.3333333333333329E-2</v>
      </c>
      <c r="E312" s="21" t="e">
        <f t="shared" si="37"/>
        <v>#N/A</v>
      </c>
      <c r="F312" s="38">
        <f>'Leave Record'!G314</f>
        <v>0</v>
      </c>
      <c r="G312" s="38">
        <f>'Leave Record'!H314</f>
        <v>0</v>
      </c>
      <c r="H312" s="23">
        <f t="shared" si="38"/>
        <v>1</v>
      </c>
      <c r="I312" s="23">
        <f t="shared" si="39"/>
        <v>0</v>
      </c>
      <c r="J312" s="21" t="e">
        <f t="shared" si="40"/>
        <v>#N/A</v>
      </c>
      <c r="K312" s="23">
        <f>'Leave Record'!I314</f>
        <v>0</v>
      </c>
    </row>
    <row r="313" spans="1:11" x14ac:dyDescent="0.25">
      <c r="A313" s="38">
        <f t="shared" si="34"/>
        <v>1</v>
      </c>
      <c r="B313" s="38">
        <f>IF(K313=$P$13,'Rule 12'!$M$4,F313-1)</f>
        <v>-1</v>
      </c>
      <c r="C313" s="23">
        <f t="shared" si="35"/>
        <v>-1</v>
      </c>
      <c r="D313" s="21">
        <f t="shared" si="36"/>
        <v>-8.3333333333333329E-2</v>
      </c>
      <c r="E313" s="21" t="e">
        <f t="shared" si="37"/>
        <v>#N/A</v>
      </c>
      <c r="F313" s="38">
        <f>'Leave Record'!G315</f>
        <v>0</v>
      </c>
      <c r="G313" s="38">
        <f>'Leave Record'!H315</f>
        <v>0</v>
      </c>
      <c r="H313" s="23">
        <f t="shared" si="38"/>
        <v>1</v>
      </c>
      <c r="I313" s="23">
        <f t="shared" si="39"/>
        <v>0</v>
      </c>
      <c r="J313" s="21" t="e">
        <f t="shared" si="40"/>
        <v>#N/A</v>
      </c>
      <c r="K313" s="23">
        <f>'Leave Record'!I315</f>
        <v>0</v>
      </c>
    </row>
    <row r="314" spans="1:11" x14ac:dyDescent="0.25">
      <c r="A314" s="38">
        <f t="shared" si="34"/>
        <v>1</v>
      </c>
      <c r="B314" s="38">
        <f>IF(K314=$P$13,'Rule 12'!$M$4,F314-1)</f>
        <v>-1</v>
      </c>
      <c r="C314" s="23">
        <f t="shared" si="35"/>
        <v>-1</v>
      </c>
      <c r="D314" s="21">
        <f t="shared" si="36"/>
        <v>-8.3333333333333329E-2</v>
      </c>
      <c r="E314" s="21" t="e">
        <f t="shared" si="37"/>
        <v>#N/A</v>
      </c>
      <c r="F314" s="38">
        <f>'Leave Record'!G316</f>
        <v>0</v>
      </c>
      <c r="G314" s="38">
        <f>'Leave Record'!H316</f>
        <v>0</v>
      </c>
      <c r="H314" s="23">
        <f t="shared" si="38"/>
        <v>1</v>
      </c>
      <c r="I314" s="23">
        <f t="shared" si="39"/>
        <v>0</v>
      </c>
      <c r="J314" s="21" t="e">
        <f t="shared" si="40"/>
        <v>#N/A</v>
      </c>
      <c r="K314" s="23">
        <f>'Leave Record'!I316</f>
        <v>0</v>
      </c>
    </row>
    <row r="315" spans="1:11" x14ac:dyDescent="0.25">
      <c r="A315" s="38">
        <f t="shared" si="34"/>
        <v>1</v>
      </c>
      <c r="B315" s="38">
        <f>IF(K315=$P$13,'Rule 12'!$M$4,F315-1)</f>
        <v>-1</v>
      </c>
      <c r="C315" s="23">
        <f t="shared" si="35"/>
        <v>-1</v>
      </c>
      <c r="D315" s="21">
        <f t="shared" si="36"/>
        <v>-8.3333333333333329E-2</v>
      </c>
      <c r="E315" s="21" t="e">
        <f t="shared" si="37"/>
        <v>#N/A</v>
      </c>
      <c r="F315" s="38">
        <f>'Leave Record'!G317</f>
        <v>0</v>
      </c>
      <c r="G315" s="38">
        <f>'Leave Record'!H317</f>
        <v>0</v>
      </c>
      <c r="H315" s="23">
        <f t="shared" si="38"/>
        <v>1</v>
      </c>
      <c r="I315" s="23">
        <f t="shared" si="39"/>
        <v>0</v>
      </c>
      <c r="J315" s="21" t="e">
        <f t="shared" si="40"/>
        <v>#N/A</v>
      </c>
      <c r="K315" s="23">
        <f>'Leave Record'!I317</f>
        <v>0</v>
      </c>
    </row>
    <row r="316" spans="1:11" x14ac:dyDescent="0.25">
      <c r="A316" s="38">
        <f t="shared" si="34"/>
        <v>1</v>
      </c>
      <c r="B316" s="38">
        <f>IF(K316=$P$13,'Rule 12'!$M$4,F316-1)</f>
        <v>-1</v>
      </c>
      <c r="C316" s="23">
        <f t="shared" si="35"/>
        <v>-1</v>
      </c>
      <c r="D316" s="21">
        <f t="shared" si="36"/>
        <v>-8.3333333333333329E-2</v>
      </c>
      <c r="E316" s="21" t="e">
        <f t="shared" si="37"/>
        <v>#N/A</v>
      </c>
      <c r="F316" s="38">
        <f>'Leave Record'!G318</f>
        <v>0</v>
      </c>
      <c r="G316" s="38">
        <f>'Leave Record'!H318</f>
        <v>0</v>
      </c>
      <c r="H316" s="23">
        <f t="shared" si="38"/>
        <v>1</v>
      </c>
      <c r="I316" s="23">
        <f t="shared" si="39"/>
        <v>0</v>
      </c>
      <c r="J316" s="21" t="e">
        <f t="shared" si="40"/>
        <v>#N/A</v>
      </c>
      <c r="K316" s="23">
        <f>'Leave Record'!I318</f>
        <v>0</v>
      </c>
    </row>
    <row r="317" spans="1:11" x14ac:dyDescent="0.25">
      <c r="A317" s="38">
        <f t="shared" si="34"/>
        <v>1</v>
      </c>
      <c r="B317" s="38">
        <f>IF(K317=$P$13,'Rule 12'!$M$4,F317-1)</f>
        <v>-1</v>
      </c>
      <c r="C317" s="23">
        <f t="shared" si="35"/>
        <v>-1</v>
      </c>
      <c r="D317" s="21">
        <f t="shared" si="36"/>
        <v>-8.3333333333333329E-2</v>
      </c>
      <c r="E317" s="21" t="e">
        <f t="shared" si="37"/>
        <v>#N/A</v>
      </c>
      <c r="F317" s="38">
        <f>'Leave Record'!G319</f>
        <v>0</v>
      </c>
      <c r="G317" s="38">
        <f>'Leave Record'!H319</f>
        <v>0</v>
      </c>
      <c r="H317" s="23">
        <f t="shared" si="38"/>
        <v>1</v>
      </c>
      <c r="I317" s="23">
        <f t="shared" si="39"/>
        <v>0</v>
      </c>
      <c r="J317" s="21" t="e">
        <f t="shared" si="40"/>
        <v>#N/A</v>
      </c>
      <c r="K317" s="23">
        <f>'Leave Record'!I319</f>
        <v>0</v>
      </c>
    </row>
    <row r="318" spans="1:11" x14ac:dyDescent="0.25">
      <c r="A318" s="38">
        <f t="shared" si="34"/>
        <v>1</v>
      </c>
      <c r="B318" s="38">
        <f>IF(K318=$P$13,'Rule 12'!$M$4,F318-1)</f>
        <v>-1</v>
      </c>
      <c r="C318" s="23">
        <f t="shared" si="35"/>
        <v>-1</v>
      </c>
      <c r="D318" s="21">
        <f t="shared" si="36"/>
        <v>-8.3333333333333329E-2</v>
      </c>
      <c r="E318" s="21" t="e">
        <f t="shared" si="37"/>
        <v>#N/A</v>
      </c>
      <c r="F318" s="38">
        <f>'Leave Record'!G320</f>
        <v>0</v>
      </c>
      <c r="G318" s="38">
        <f>'Leave Record'!H320</f>
        <v>0</v>
      </c>
      <c r="H318" s="23">
        <f t="shared" si="38"/>
        <v>1</v>
      </c>
      <c r="I318" s="23">
        <f t="shared" si="39"/>
        <v>0</v>
      </c>
      <c r="J318" s="21" t="e">
        <f t="shared" si="40"/>
        <v>#N/A</v>
      </c>
      <c r="K318" s="23">
        <f>'Leave Record'!I320</f>
        <v>0</v>
      </c>
    </row>
    <row r="319" spans="1:11" x14ac:dyDescent="0.25">
      <c r="A319" s="38">
        <f t="shared" si="34"/>
        <v>1</v>
      </c>
      <c r="B319" s="38">
        <f>IF(K319=$P$13,'Rule 12'!$M$4,F319-1)</f>
        <v>-1</v>
      </c>
      <c r="C319" s="23">
        <f t="shared" si="35"/>
        <v>-1</v>
      </c>
      <c r="D319" s="21">
        <f t="shared" si="36"/>
        <v>-8.3333333333333329E-2</v>
      </c>
      <c r="E319" s="21" t="e">
        <f t="shared" si="37"/>
        <v>#N/A</v>
      </c>
      <c r="F319" s="38">
        <f>'Leave Record'!G321</f>
        <v>0</v>
      </c>
      <c r="G319" s="38">
        <f>'Leave Record'!H321</f>
        <v>0</v>
      </c>
      <c r="H319" s="23">
        <f t="shared" si="38"/>
        <v>1</v>
      </c>
      <c r="I319" s="23">
        <f t="shared" si="39"/>
        <v>0</v>
      </c>
      <c r="J319" s="21" t="e">
        <f t="shared" si="40"/>
        <v>#N/A</v>
      </c>
      <c r="K319" s="23">
        <f>'Leave Record'!I321</f>
        <v>0</v>
      </c>
    </row>
    <row r="320" spans="1:11" x14ac:dyDescent="0.25">
      <c r="A320" s="38">
        <f t="shared" si="34"/>
        <v>1</v>
      </c>
      <c r="B320" s="38">
        <f>IF(K320=$P$13,'Rule 12'!$M$4,F320-1)</f>
        <v>-1</v>
      </c>
      <c r="C320" s="23">
        <f t="shared" si="35"/>
        <v>-1</v>
      </c>
      <c r="D320" s="21">
        <f t="shared" si="36"/>
        <v>-8.3333333333333329E-2</v>
      </c>
      <c r="E320" s="21" t="e">
        <f t="shared" si="37"/>
        <v>#N/A</v>
      </c>
      <c r="F320" s="38">
        <f>'Leave Record'!G322</f>
        <v>0</v>
      </c>
      <c r="G320" s="38">
        <f>'Leave Record'!H322</f>
        <v>0</v>
      </c>
      <c r="H320" s="23">
        <f t="shared" si="38"/>
        <v>1</v>
      </c>
      <c r="I320" s="23">
        <f t="shared" si="39"/>
        <v>0</v>
      </c>
      <c r="J320" s="21" t="e">
        <f t="shared" si="40"/>
        <v>#N/A</v>
      </c>
      <c r="K320" s="23">
        <f>'Leave Record'!I322</f>
        <v>0</v>
      </c>
    </row>
    <row r="321" spans="1:11" x14ac:dyDescent="0.25">
      <c r="A321" s="38">
        <f t="shared" si="34"/>
        <v>1</v>
      </c>
      <c r="B321" s="38">
        <f>IF(K321=$P$13,'Rule 12'!$M$4,F321-1)</f>
        <v>-1</v>
      </c>
      <c r="C321" s="23">
        <f t="shared" si="35"/>
        <v>-1</v>
      </c>
      <c r="D321" s="21">
        <f t="shared" si="36"/>
        <v>-8.3333333333333329E-2</v>
      </c>
      <c r="E321" s="21" t="e">
        <f t="shared" si="37"/>
        <v>#N/A</v>
      </c>
      <c r="F321" s="38">
        <f>'Leave Record'!G323</f>
        <v>0</v>
      </c>
      <c r="G321" s="38">
        <f>'Leave Record'!H323</f>
        <v>0</v>
      </c>
      <c r="H321" s="23">
        <f t="shared" si="38"/>
        <v>1</v>
      </c>
      <c r="I321" s="23">
        <f t="shared" si="39"/>
        <v>0</v>
      </c>
      <c r="J321" s="21" t="e">
        <f t="shared" si="40"/>
        <v>#N/A</v>
      </c>
      <c r="K321" s="23">
        <f>'Leave Record'!I323</f>
        <v>0</v>
      </c>
    </row>
    <row r="322" spans="1:11" x14ac:dyDescent="0.25">
      <c r="A322" s="38">
        <f t="shared" si="34"/>
        <v>1</v>
      </c>
      <c r="B322" s="38">
        <f>IF(K322=$P$13,'Rule 12'!$M$4,F322-1)</f>
        <v>-1</v>
      </c>
      <c r="C322" s="23">
        <f t="shared" si="35"/>
        <v>-1</v>
      </c>
      <c r="D322" s="21">
        <f t="shared" si="36"/>
        <v>-8.3333333333333329E-2</v>
      </c>
      <c r="E322" s="21" t="e">
        <f t="shared" si="37"/>
        <v>#N/A</v>
      </c>
      <c r="F322" s="38">
        <f>'Leave Record'!G324</f>
        <v>0</v>
      </c>
      <c r="G322" s="38">
        <f>'Leave Record'!H324</f>
        <v>0</v>
      </c>
      <c r="H322" s="23">
        <f t="shared" si="38"/>
        <v>1</v>
      </c>
      <c r="I322" s="23">
        <f t="shared" si="39"/>
        <v>0</v>
      </c>
      <c r="J322" s="21" t="e">
        <f t="shared" si="40"/>
        <v>#N/A</v>
      </c>
      <c r="K322" s="23">
        <f>'Leave Record'!I324</f>
        <v>0</v>
      </c>
    </row>
    <row r="323" spans="1:11" x14ac:dyDescent="0.25">
      <c r="A323" s="38">
        <f t="shared" si="34"/>
        <v>1</v>
      </c>
      <c r="B323" s="38">
        <f>IF(K323=$P$13,'Rule 12'!$M$4,F323-1)</f>
        <v>-1</v>
      </c>
      <c r="C323" s="23">
        <f t="shared" si="35"/>
        <v>-1</v>
      </c>
      <c r="D323" s="21">
        <f t="shared" si="36"/>
        <v>-8.3333333333333329E-2</v>
      </c>
      <c r="E323" s="21" t="e">
        <f t="shared" si="37"/>
        <v>#N/A</v>
      </c>
      <c r="F323" s="38">
        <f>'Leave Record'!G325</f>
        <v>0</v>
      </c>
      <c r="G323" s="38">
        <f>'Leave Record'!H325</f>
        <v>0</v>
      </c>
      <c r="H323" s="23">
        <f t="shared" si="38"/>
        <v>1</v>
      </c>
      <c r="I323" s="23">
        <f t="shared" si="39"/>
        <v>0</v>
      </c>
      <c r="J323" s="21" t="e">
        <f t="shared" si="40"/>
        <v>#N/A</v>
      </c>
      <c r="K323" s="23">
        <f>'Leave Record'!I325</f>
        <v>0</v>
      </c>
    </row>
    <row r="324" spans="1:11" x14ac:dyDescent="0.25">
      <c r="A324" s="38">
        <f t="shared" si="34"/>
        <v>1</v>
      </c>
      <c r="B324" s="38">
        <f>IF(K324=$P$13,'Rule 12'!$M$4,F324-1)</f>
        <v>-1</v>
      </c>
      <c r="C324" s="23">
        <f t="shared" si="35"/>
        <v>-1</v>
      </c>
      <c r="D324" s="21">
        <f t="shared" si="36"/>
        <v>-8.3333333333333329E-2</v>
      </c>
      <c r="E324" s="21" t="e">
        <f t="shared" si="37"/>
        <v>#N/A</v>
      </c>
      <c r="F324" s="38">
        <f>'Leave Record'!G326</f>
        <v>0</v>
      </c>
      <c r="G324" s="38">
        <f>'Leave Record'!H326</f>
        <v>0</v>
      </c>
      <c r="H324" s="23">
        <f t="shared" si="38"/>
        <v>1</v>
      </c>
      <c r="I324" s="23">
        <f t="shared" si="39"/>
        <v>0</v>
      </c>
      <c r="J324" s="21" t="e">
        <f t="shared" si="40"/>
        <v>#N/A</v>
      </c>
      <c r="K324" s="23">
        <f>'Leave Record'!I326</f>
        <v>0</v>
      </c>
    </row>
    <row r="325" spans="1:11" x14ac:dyDescent="0.25">
      <c r="A325" s="38">
        <f t="shared" si="34"/>
        <v>1</v>
      </c>
      <c r="B325" s="38">
        <f>IF(K325=$P$13,'Rule 12'!$M$4,F325-1)</f>
        <v>-1</v>
      </c>
      <c r="C325" s="23">
        <f t="shared" si="35"/>
        <v>-1</v>
      </c>
      <c r="D325" s="21">
        <f t="shared" si="36"/>
        <v>-8.3333333333333329E-2</v>
      </c>
      <c r="E325" s="21" t="e">
        <f t="shared" si="37"/>
        <v>#N/A</v>
      </c>
      <c r="F325" s="38">
        <f>'Leave Record'!G327</f>
        <v>0</v>
      </c>
      <c r="G325" s="38">
        <f>'Leave Record'!H327</f>
        <v>0</v>
      </c>
      <c r="H325" s="23">
        <f t="shared" si="38"/>
        <v>1</v>
      </c>
      <c r="I325" s="23">
        <f t="shared" si="39"/>
        <v>0</v>
      </c>
      <c r="J325" s="21" t="e">
        <f t="shared" si="40"/>
        <v>#N/A</v>
      </c>
      <c r="K325" s="23">
        <f>'Leave Record'!I327</f>
        <v>0</v>
      </c>
    </row>
    <row r="326" spans="1:11" x14ac:dyDescent="0.25">
      <c r="A326" s="38">
        <f t="shared" si="34"/>
        <v>1</v>
      </c>
      <c r="B326" s="38">
        <f>IF(K326=$P$13,'Rule 12'!$M$4,F326-1)</f>
        <v>-1</v>
      </c>
      <c r="C326" s="23">
        <f t="shared" si="35"/>
        <v>-1</v>
      </c>
      <c r="D326" s="21">
        <f t="shared" si="36"/>
        <v>-8.3333333333333329E-2</v>
      </c>
      <c r="E326" s="21" t="e">
        <f t="shared" si="37"/>
        <v>#N/A</v>
      </c>
      <c r="F326" s="38">
        <f>'Leave Record'!G328</f>
        <v>0</v>
      </c>
      <c r="G326" s="38">
        <f>'Leave Record'!H328</f>
        <v>0</v>
      </c>
      <c r="H326" s="23">
        <f t="shared" si="38"/>
        <v>1</v>
      </c>
      <c r="I326" s="23">
        <f t="shared" si="39"/>
        <v>0</v>
      </c>
      <c r="J326" s="21" t="e">
        <f t="shared" si="40"/>
        <v>#N/A</v>
      </c>
      <c r="K326" s="23">
        <f>'Leave Record'!I328</f>
        <v>0</v>
      </c>
    </row>
    <row r="327" spans="1:11" x14ac:dyDescent="0.25">
      <c r="A327" s="38">
        <f t="shared" si="34"/>
        <v>1</v>
      </c>
      <c r="B327" s="38">
        <f>IF(K327=$P$13,'Rule 12'!$M$4,F327-1)</f>
        <v>-1</v>
      </c>
      <c r="C327" s="23">
        <f t="shared" si="35"/>
        <v>-1</v>
      </c>
      <c r="D327" s="21">
        <f t="shared" si="36"/>
        <v>-8.3333333333333329E-2</v>
      </c>
      <c r="E327" s="21" t="e">
        <f t="shared" si="37"/>
        <v>#N/A</v>
      </c>
      <c r="F327" s="38">
        <f>'Leave Record'!G329</f>
        <v>0</v>
      </c>
      <c r="G327" s="38">
        <f>'Leave Record'!H329</f>
        <v>0</v>
      </c>
      <c r="H327" s="23">
        <f t="shared" si="38"/>
        <v>1</v>
      </c>
      <c r="I327" s="23">
        <f t="shared" si="39"/>
        <v>0</v>
      </c>
      <c r="J327" s="21" t="e">
        <f t="shared" si="40"/>
        <v>#N/A</v>
      </c>
      <c r="K327" s="23">
        <f>'Leave Record'!I329</f>
        <v>0</v>
      </c>
    </row>
    <row r="328" spans="1:11" x14ac:dyDescent="0.25">
      <c r="A328" s="38">
        <f t="shared" si="34"/>
        <v>1</v>
      </c>
      <c r="B328" s="38">
        <f>IF(K328=$P$13,'Rule 12'!$M$4,F328-1)</f>
        <v>-1</v>
      </c>
      <c r="C328" s="23">
        <f t="shared" si="35"/>
        <v>-1</v>
      </c>
      <c r="D328" s="21">
        <f t="shared" si="36"/>
        <v>-8.3333333333333329E-2</v>
      </c>
      <c r="E328" s="21" t="e">
        <f t="shared" si="37"/>
        <v>#N/A</v>
      </c>
      <c r="F328" s="38">
        <f>'Leave Record'!G330</f>
        <v>0</v>
      </c>
      <c r="G328" s="38">
        <f>'Leave Record'!H330</f>
        <v>0</v>
      </c>
      <c r="H328" s="23">
        <f t="shared" si="38"/>
        <v>1</v>
      </c>
      <c r="I328" s="23">
        <f t="shared" si="39"/>
        <v>0</v>
      </c>
      <c r="J328" s="21" t="e">
        <f t="shared" si="40"/>
        <v>#N/A</v>
      </c>
      <c r="K328" s="23">
        <f>'Leave Record'!I330</f>
        <v>0</v>
      </c>
    </row>
    <row r="329" spans="1:11" x14ac:dyDescent="0.25">
      <c r="A329" s="38">
        <f t="shared" ref="A329:A392" si="41">G328+1</f>
        <v>1</v>
      </c>
      <c r="B329" s="38">
        <f>IF(K329=$P$13,'Rule 12'!$M$4,F329-1)</f>
        <v>-1</v>
      </c>
      <c r="C329" s="23">
        <f t="shared" ref="C329:C392" si="42">_xlfn.DAYS(B329+1,A329)</f>
        <v>-1</v>
      </c>
      <c r="D329" s="21">
        <f t="shared" ref="D329:D392" si="43">C329/12</f>
        <v>-8.3333333333333329E-2</v>
      </c>
      <c r="E329" s="21" t="e">
        <f t="shared" ref="E329:E392" si="44">J328+D329</f>
        <v>#N/A</v>
      </c>
      <c r="F329" s="38">
        <f>'Leave Record'!G331</f>
        <v>0</v>
      </c>
      <c r="G329" s="38">
        <f>'Leave Record'!H331</f>
        <v>0</v>
      </c>
      <c r="H329" s="23">
        <f t="shared" ref="H329:H392" si="45">_xlfn.DAYS(G329+1,F329)</f>
        <v>1</v>
      </c>
      <c r="I329" s="23">
        <f t="shared" ref="I329:I392" si="46">IF(K329=$P$14,H329,0)</f>
        <v>0</v>
      </c>
      <c r="J329" s="21" t="e">
        <f t="shared" ref="J329:J392" si="47">E329-I329</f>
        <v>#N/A</v>
      </c>
      <c r="K329" s="23">
        <f>'Leave Record'!I331</f>
        <v>0</v>
      </c>
    </row>
    <row r="330" spans="1:11" x14ac:dyDescent="0.25">
      <c r="A330" s="38">
        <f t="shared" si="41"/>
        <v>1</v>
      </c>
      <c r="B330" s="38">
        <f>IF(K330=$P$13,'Rule 12'!$M$4,F330-1)</f>
        <v>-1</v>
      </c>
      <c r="C330" s="23">
        <f t="shared" si="42"/>
        <v>-1</v>
      </c>
      <c r="D330" s="21">
        <f t="shared" si="43"/>
        <v>-8.3333333333333329E-2</v>
      </c>
      <c r="E330" s="21" t="e">
        <f t="shared" si="44"/>
        <v>#N/A</v>
      </c>
      <c r="F330" s="38">
        <f>'Leave Record'!G332</f>
        <v>0</v>
      </c>
      <c r="G330" s="38">
        <f>'Leave Record'!H332</f>
        <v>0</v>
      </c>
      <c r="H330" s="23">
        <f t="shared" si="45"/>
        <v>1</v>
      </c>
      <c r="I330" s="23">
        <f t="shared" si="46"/>
        <v>0</v>
      </c>
      <c r="J330" s="21" t="e">
        <f t="shared" si="47"/>
        <v>#N/A</v>
      </c>
      <c r="K330" s="23">
        <f>'Leave Record'!I332</f>
        <v>0</v>
      </c>
    </row>
    <row r="331" spans="1:11" x14ac:dyDescent="0.25">
      <c r="A331" s="38">
        <f t="shared" si="41"/>
        <v>1</v>
      </c>
      <c r="B331" s="38">
        <f>IF(K331=$P$13,'Rule 12'!$M$4,F331-1)</f>
        <v>-1</v>
      </c>
      <c r="C331" s="23">
        <f t="shared" si="42"/>
        <v>-1</v>
      </c>
      <c r="D331" s="21">
        <f t="shared" si="43"/>
        <v>-8.3333333333333329E-2</v>
      </c>
      <c r="E331" s="21" t="e">
        <f t="shared" si="44"/>
        <v>#N/A</v>
      </c>
      <c r="F331" s="38">
        <f>'Leave Record'!G333</f>
        <v>0</v>
      </c>
      <c r="G331" s="38">
        <f>'Leave Record'!H333</f>
        <v>0</v>
      </c>
      <c r="H331" s="23">
        <f t="shared" si="45"/>
        <v>1</v>
      </c>
      <c r="I331" s="23">
        <f t="shared" si="46"/>
        <v>0</v>
      </c>
      <c r="J331" s="21" t="e">
        <f t="shared" si="47"/>
        <v>#N/A</v>
      </c>
      <c r="K331" s="23">
        <f>'Leave Record'!I333</f>
        <v>0</v>
      </c>
    </row>
    <row r="332" spans="1:11" x14ac:dyDescent="0.25">
      <c r="A332" s="38">
        <f t="shared" si="41"/>
        <v>1</v>
      </c>
      <c r="B332" s="38">
        <f>IF(K332=$P$13,'Rule 12'!$M$4,F332-1)</f>
        <v>-1</v>
      </c>
      <c r="C332" s="23">
        <f t="shared" si="42"/>
        <v>-1</v>
      </c>
      <c r="D332" s="21">
        <f t="shared" si="43"/>
        <v>-8.3333333333333329E-2</v>
      </c>
      <c r="E332" s="21" t="e">
        <f t="shared" si="44"/>
        <v>#N/A</v>
      </c>
      <c r="F332" s="38">
        <f>'Leave Record'!G334</f>
        <v>0</v>
      </c>
      <c r="G332" s="38">
        <f>'Leave Record'!H334</f>
        <v>0</v>
      </c>
      <c r="H332" s="23">
        <f t="shared" si="45"/>
        <v>1</v>
      </c>
      <c r="I332" s="23">
        <f t="shared" si="46"/>
        <v>0</v>
      </c>
      <c r="J332" s="21" t="e">
        <f t="shared" si="47"/>
        <v>#N/A</v>
      </c>
      <c r="K332" s="23">
        <f>'Leave Record'!I334</f>
        <v>0</v>
      </c>
    </row>
    <row r="333" spans="1:11" x14ac:dyDescent="0.25">
      <c r="A333" s="38">
        <f t="shared" si="41"/>
        <v>1</v>
      </c>
      <c r="B333" s="38">
        <f>IF(K333=$P$13,'Rule 12'!$M$4,F333-1)</f>
        <v>-1</v>
      </c>
      <c r="C333" s="23">
        <f t="shared" si="42"/>
        <v>-1</v>
      </c>
      <c r="D333" s="21">
        <f t="shared" si="43"/>
        <v>-8.3333333333333329E-2</v>
      </c>
      <c r="E333" s="21" t="e">
        <f t="shared" si="44"/>
        <v>#N/A</v>
      </c>
      <c r="F333" s="38">
        <f>'Leave Record'!G335</f>
        <v>0</v>
      </c>
      <c r="G333" s="38">
        <f>'Leave Record'!H335</f>
        <v>0</v>
      </c>
      <c r="H333" s="23">
        <f t="shared" si="45"/>
        <v>1</v>
      </c>
      <c r="I333" s="23">
        <f t="shared" si="46"/>
        <v>0</v>
      </c>
      <c r="J333" s="21" t="e">
        <f t="shared" si="47"/>
        <v>#N/A</v>
      </c>
      <c r="K333" s="23">
        <f>'Leave Record'!I335</f>
        <v>0</v>
      </c>
    </row>
    <row r="334" spans="1:11" x14ac:dyDescent="0.25">
      <c r="A334" s="38">
        <f t="shared" si="41"/>
        <v>1</v>
      </c>
      <c r="B334" s="38">
        <f>IF(K334=$P$13,'Rule 12'!$M$4,F334-1)</f>
        <v>-1</v>
      </c>
      <c r="C334" s="23">
        <f t="shared" si="42"/>
        <v>-1</v>
      </c>
      <c r="D334" s="21">
        <f t="shared" si="43"/>
        <v>-8.3333333333333329E-2</v>
      </c>
      <c r="E334" s="21" t="e">
        <f t="shared" si="44"/>
        <v>#N/A</v>
      </c>
      <c r="F334" s="38">
        <f>'Leave Record'!G336</f>
        <v>0</v>
      </c>
      <c r="G334" s="38">
        <f>'Leave Record'!H336</f>
        <v>0</v>
      </c>
      <c r="H334" s="23">
        <f t="shared" si="45"/>
        <v>1</v>
      </c>
      <c r="I334" s="23">
        <f t="shared" si="46"/>
        <v>0</v>
      </c>
      <c r="J334" s="21" t="e">
        <f t="shared" si="47"/>
        <v>#N/A</v>
      </c>
      <c r="K334" s="23">
        <f>'Leave Record'!I336</f>
        <v>0</v>
      </c>
    </row>
    <row r="335" spans="1:11" x14ac:dyDescent="0.25">
      <c r="A335" s="38">
        <f t="shared" si="41"/>
        <v>1</v>
      </c>
      <c r="B335" s="38">
        <f>IF(K335=$P$13,'Rule 12'!$M$4,F335-1)</f>
        <v>-1</v>
      </c>
      <c r="C335" s="23">
        <f t="shared" si="42"/>
        <v>-1</v>
      </c>
      <c r="D335" s="21">
        <f t="shared" si="43"/>
        <v>-8.3333333333333329E-2</v>
      </c>
      <c r="E335" s="21" t="e">
        <f t="shared" si="44"/>
        <v>#N/A</v>
      </c>
      <c r="F335" s="38">
        <f>'Leave Record'!G337</f>
        <v>0</v>
      </c>
      <c r="G335" s="38">
        <f>'Leave Record'!H337</f>
        <v>0</v>
      </c>
      <c r="H335" s="23">
        <f t="shared" si="45"/>
        <v>1</v>
      </c>
      <c r="I335" s="23">
        <f t="shared" si="46"/>
        <v>0</v>
      </c>
      <c r="J335" s="21" t="e">
        <f t="shared" si="47"/>
        <v>#N/A</v>
      </c>
      <c r="K335" s="23">
        <f>'Leave Record'!I337</f>
        <v>0</v>
      </c>
    </row>
    <row r="336" spans="1:11" x14ac:dyDescent="0.25">
      <c r="A336" s="38">
        <f t="shared" si="41"/>
        <v>1</v>
      </c>
      <c r="B336" s="38">
        <f>IF(K336=$P$13,'Rule 12'!$M$4,F336-1)</f>
        <v>-1</v>
      </c>
      <c r="C336" s="23">
        <f t="shared" si="42"/>
        <v>-1</v>
      </c>
      <c r="D336" s="21">
        <f t="shared" si="43"/>
        <v>-8.3333333333333329E-2</v>
      </c>
      <c r="E336" s="21" t="e">
        <f t="shared" si="44"/>
        <v>#N/A</v>
      </c>
      <c r="F336" s="38">
        <f>'Leave Record'!G338</f>
        <v>0</v>
      </c>
      <c r="G336" s="38">
        <f>'Leave Record'!H338</f>
        <v>0</v>
      </c>
      <c r="H336" s="23">
        <f t="shared" si="45"/>
        <v>1</v>
      </c>
      <c r="I336" s="23">
        <f t="shared" si="46"/>
        <v>0</v>
      </c>
      <c r="J336" s="21" t="e">
        <f t="shared" si="47"/>
        <v>#N/A</v>
      </c>
      <c r="K336" s="23">
        <f>'Leave Record'!I338</f>
        <v>0</v>
      </c>
    </row>
    <row r="337" spans="1:11" x14ac:dyDescent="0.25">
      <c r="A337" s="38">
        <f t="shared" si="41"/>
        <v>1</v>
      </c>
      <c r="B337" s="38">
        <f>IF(K337=$P$13,'Rule 12'!$M$4,F337-1)</f>
        <v>-1</v>
      </c>
      <c r="C337" s="23">
        <f t="shared" si="42"/>
        <v>-1</v>
      </c>
      <c r="D337" s="21">
        <f t="shared" si="43"/>
        <v>-8.3333333333333329E-2</v>
      </c>
      <c r="E337" s="21" t="e">
        <f t="shared" si="44"/>
        <v>#N/A</v>
      </c>
      <c r="F337" s="38">
        <f>'Leave Record'!G339</f>
        <v>0</v>
      </c>
      <c r="G337" s="38">
        <f>'Leave Record'!H339</f>
        <v>0</v>
      </c>
      <c r="H337" s="23">
        <f t="shared" si="45"/>
        <v>1</v>
      </c>
      <c r="I337" s="23">
        <f t="shared" si="46"/>
        <v>0</v>
      </c>
      <c r="J337" s="21" t="e">
        <f t="shared" si="47"/>
        <v>#N/A</v>
      </c>
      <c r="K337" s="23">
        <f>'Leave Record'!I339</f>
        <v>0</v>
      </c>
    </row>
    <row r="338" spans="1:11" x14ac:dyDescent="0.25">
      <c r="A338" s="38">
        <f t="shared" si="41"/>
        <v>1</v>
      </c>
      <c r="B338" s="38">
        <f>IF(K338=$P$13,'Rule 12'!$M$4,F338-1)</f>
        <v>-1</v>
      </c>
      <c r="C338" s="23">
        <f t="shared" si="42"/>
        <v>-1</v>
      </c>
      <c r="D338" s="21">
        <f t="shared" si="43"/>
        <v>-8.3333333333333329E-2</v>
      </c>
      <c r="E338" s="21" t="e">
        <f t="shared" si="44"/>
        <v>#N/A</v>
      </c>
      <c r="F338" s="38">
        <f>'Leave Record'!G340</f>
        <v>0</v>
      </c>
      <c r="G338" s="38">
        <f>'Leave Record'!H340</f>
        <v>0</v>
      </c>
      <c r="H338" s="23">
        <f t="shared" si="45"/>
        <v>1</v>
      </c>
      <c r="I338" s="23">
        <f t="shared" si="46"/>
        <v>0</v>
      </c>
      <c r="J338" s="21" t="e">
        <f t="shared" si="47"/>
        <v>#N/A</v>
      </c>
      <c r="K338" s="23">
        <f>'Leave Record'!I340</f>
        <v>0</v>
      </c>
    </row>
    <row r="339" spans="1:11" x14ac:dyDescent="0.25">
      <c r="A339" s="38">
        <f t="shared" si="41"/>
        <v>1</v>
      </c>
      <c r="B339" s="38">
        <f>IF(K339=$P$13,'Rule 12'!$M$4,F339-1)</f>
        <v>-1</v>
      </c>
      <c r="C339" s="23">
        <f t="shared" si="42"/>
        <v>-1</v>
      </c>
      <c r="D339" s="21">
        <f t="shared" si="43"/>
        <v>-8.3333333333333329E-2</v>
      </c>
      <c r="E339" s="21" t="e">
        <f t="shared" si="44"/>
        <v>#N/A</v>
      </c>
      <c r="F339" s="38">
        <f>'Leave Record'!G341</f>
        <v>0</v>
      </c>
      <c r="G339" s="38">
        <f>'Leave Record'!H341</f>
        <v>0</v>
      </c>
      <c r="H339" s="23">
        <f t="shared" si="45"/>
        <v>1</v>
      </c>
      <c r="I339" s="23">
        <f t="shared" si="46"/>
        <v>0</v>
      </c>
      <c r="J339" s="21" t="e">
        <f t="shared" si="47"/>
        <v>#N/A</v>
      </c>
      <c r="K339" s="23">
        <f>'Leave Record'!I341</f>
        <v>0</v>
      </c>
    </row>
    <row r="340" spans="1:11" x14ac:dyDescent="0.25">
      <c r="A340" s="38">
        <f t="shared" si="41"/>
        <v>1</v>
      </c>
      <c r="B340" s="38">
        <f>IF(K340=$P$13,'Rule 12'!$M$4,F340-1)</f>
        <v>-1</v>
      </c>
      <c r="C340" s="23">
        <f t="shared" si="42"/>
        <v>-1</v>
      </c>
      <c r="D340" s="21">
        <f t="shared" si="43"/>
        <v>-8.3333333333333329E-2</v>
      </c>
      <c r="E340" s="21" t="e">
        <f t="shared" si="44"/>
        <v>#N/A</v>
      </c>
      <c r="F340" s="38">
        <f>'Leave Record'!G342</f>
        <v>0</v>
      </c>
      <c r="G340" s="38">
        <f>'Leave Record'!H342</f>
        <v>0</v>
      </c>
      <c r="H340" s="23">
        <f t="shared" si="45"/>
        <v>1</v>
      </c>
      <c r="I340" s="23">
        <f t="shared" si="46"/>
        <v>0</v>
      </c>
      <c r="J340" s="21" t="e">
        <f t="shared" si="47"/>
        <v>#N/A</v>
      </c>
      <c r="K340" s="23">
        <f>'Leave Record'!I342</f>
        <v>0</v>
      </c>
    </row>
    <row r="341" spans="1:11" x14ac:dyDescent="0.25">
      <c r="A341" s="38">
        <f t="shared" si="41"/>
        <v>1</v>
      </c>
      <c r="B341" s="38">
        <f>IF(K341=$P$13,'Rule 12'!$M$4,F341-1)</f>
        <v>-1</v>
      </c>
      <c r="C341" s="23">
        <f t="shared" si="42"/>
        <v>-1</v>
      </c>
      <c r="D341" s="21">
        <f t="shared" si="43"/>
        <v>-8.3333333333333329E-2</v>
      </c>
      <c r="E341" s="21" t="e">
        <f t="shared" si="44"/>
        <v>#N/A</v>
      </c>
      <c r="F341" s="38">
        <f>'Leave Record'!G343</f>
        <v>0</v>
      </c>
      <c r="G341" s="38">
        <f>'Leave Record'!H343</f>
        <v>0</v>
      </c>
      <c r="H341" s="23">
        <f t="shared" si="45"/>
        <v>1</v>
      </c>
      <c r="I341" s="23">
        <f t="shared" si="46"/>
        <v>0</v>
      </c>
      <c r="J341" s="21" t="e">
        <f t="shared" si="47"/>
        <v>#N/A</v>
      </c>
      <c r="K341" s="23">
        <f>'Leave Record'!I343</f>
        <v>0</v>
      </c>
    </row>
    <row r="342" spans="1:11" x14ac:dyDescent="0.25">
      <c r="A342" s="38">
        <f t="shared" si="41"/>
        <v>1</v>
      </c>
      <c r="B342" s="38">
        <f>IF(K342=$P$13,'Rule 12'!$M$4,F342-1)</f>
        <v>-1</v>
      </c>
      <c r="C342" s="23">
        <f t="shared" si="42"/>
        <v>-1</v>
      </c>
      <c r="D342" s="21">
        <f t="shared" si="43"/>
        <v>-8.3333333333333329E-2</v>
      </c>
      <c r="E342" s="21" t="e">
        <f t="shared" si="44"/>
        <v>#N/A</v>
      </c>
      <c r="F342" s="38">
        <f>'Leave Record'!G344</f>
        <v>0</v>
      </c>
      <c r="G342" s="38">
        <f>'Leave Record'!H344</f>
        <v>0</v>
      </c>
      <c r="H342" s="23">
        <f t="shared" si="45"/>
        <v>1</v>
      </c>
      <c r="I342" s="23">
        <f t="shared" si="46"/>
        <v>0</v>
      </c>
      <c r="J342" s="21" t="e">
        <f t="shared" si="47"/>
        <v>#N/A</v>
      </c>
      <c r="K342" s="23">
        <f>'Leave Record'!I344</f>
        <v>0</v>
      </c>
    </row>
    <row r="343" spans="1:11" x14ac:dyDescent="0.25">
      <c r="A343" s="38">
        <f t="shared" si="41"/>
        <v>1</v>
      </c>
      <c r="B343" s="38">
        <f>IF(K343=$P$13,'Rule 12'!$M$4,F343-1)</f>
        <v>-1</v>
      </c>
      <c r="C343" s="23">
        <f t="shared" si="42"/>
        <v>-1</v>
      </c>
      <c r="D343" s="21">
        <f t="shared" si="43"/>
        <v>-8.3333333333333329E-2</v>
      </c>
      <c r="E343" s="21" t="e">
        <f t="shared" si="44"/>
        <v>#N/A</v>
      </c>
      <c r="F343" s="38">
        <f>'Leave Record'!G345</f>
        <v>0</v>
      </c>
      <c r="G343" s="38">
        <f>'Leave Record'!H345</f>
        <v>0</v>
      </c>
      <c r="H343" s="23">
        <f t="shared" si="45"/>
        <v>1</v>
      </c>
      <c r="I343" s="23">
        <f t="shared" si="46"/>
        <v>0</v>
      </c>
      <c r="J343" s="21" t="e">
        <f t="shared" si="47"/>
        <v>#N/A</v>
      </c>
      <c r="K343" s="23">
        <f>'Leave Record'!I345</f>
        <v>0</v>
      </c>
    </row>
    <row r="344" spans="1:11" x14ac:dyDescent="0.25">
      <c r="A344" s="38">
        <f t="shared" si="41"/>
        <v>1</v>
      </c>
      <c r="B344" s="38">
        <f>IF(K344=$P$13,'Rule 12'!$M$4,F344-1)</f>
        <v>-1</v>
      </c>
      <c r="C344" s="23">
        <f t="shared" si="42"/>
        <v>-1</v>
      </c>
      <c r="D344" s="21">
        <f t="shared" si="43"/>
        <v>-8.3333333333333329E-2</v>
      </c>
      <c r="E344" s="21" t="e">
        <f t="shared" si="44"/>
        <v>#N/A</v>
      </c>
      <c r="F344" s="38">
        <f>'Leave Record'!G346</f>
        <v>0</v>
      </c>
      <c r="G344" s="38">
        <f>'Leave Record'!H346</f>
        <v>0</v>
      </c>
      <c r="H344" s="23">
        <f t="shared" si="45"/>
        <v>1</v>
      </c>
      <c r="I344" s="23">
        <f t="shared" si="46"/>
        <v>0</v>
      </c>
      <c r="J344" s="21" t="e">
        <f t="shared" si="47"/>
        <v>#N/A</v>
      </c>
      <c r="K344" s="23">
        <f>'Leave Record'!I346</f>
        <v>0</v>
      </c>
    </row>
    <row r="345" spans="1:11" x14ac:dyDescent="0.25">
      <c r="A345" s="38">
        <f t="shared" si="41"/>
        <v>1</v>
      </c>
      <c r="B345" s="38">
        <f>IF(K345=$P$13,'Rule 12'!$M$4,F345-1)</f>
        <v>-1</v>
      </c>
      <c r="C345" s="23">
        <f t="shared" si="42"/>
        <v>-1</v>
      </c>
      <c r="D345" s="21">
        <f t="shared" si="43"/>
        <v>-8.3333333333333329E-2</v>
      </c>
      <c r="E345" s="21" t="e">
        <f t="shared" si="44"/>
        <v>#N/A</v>
      </c>
      <c r="F345" s="38">
        <f>'Leave Record'!G347</f>
        <v>0</v>
      </c>
      <c r="G345" s="38">
        <f>'Leave Record'!H347</f>
        <v>0</v>
      </c>
      <c r="H345" s="23">
        <f t="shared" si="45"/>
        <v>1</v>
      </c>
      <c r="I345" s="23">
        <f t="shared" si="46"/>
        <v>0</v>
      </c>
      <c r="J345" s="21" t="e">
        <f t="shared" si="47"/>
        <v>#N/A</v>
      </c>
      <c r="K345" s="23">
        <f>'Leave Record'!I347</f>
        <v>0</v>
      </c>
    </row>
    <row r="346" spans="1:11" x14ac:dyDescent="0.25">
      <c r="A346" s="38">
        <f t="shared" si="41"/>
        <v>1</v>
      </c>
      <c r="B346" s="38">
        <f>IF(K346=$P$13,'Rule 12'!$M$4,F346-1)</f>
        <v>-1</v>
      </c>
      <c r="C346" s="23">
        <f t="shared" si="42"/>
        <v>-1</v>
      </c>
      <c r="D346" s="21">
        <f t="shared" si="43"/>
        <v>-8.3333333333333329E-2</v>
      </c>
      <c r="E346" s="21" t="e">
        <f t="shared" si="44"/>
        <v>#N/A</v>
      </c>
      <c r="F346" s="38">
        <f>'Leave Record'!G348</f>
        <v>0</v>
      </c>
      <c r="G346" s="38">
        <f>'Leave Record'!H348</f>
        <v>0</v>
      </c>
      <c r="H346" s="23">
        <f t="shared" si="45"/>
        <v>1</v>
      </c>
      <c r="I346" s="23">
        <f t="shared" si="46"/>
        <v>0</v>
      </c>
      <c r="J346" s="21" t="e">
        <f t="shared" si="47"/>
        <v>#N/A</v>
      </c>
      <c r="K346" s="23">
        <f>'Leave Record'!I348</f>
        <v>0</v>
      </c>
    </row>
    <row r="347" spans="1:11" x14ac:dyDescent="0.25">
      <c r="A347" s="38">
        <f t="shared" si="41"/>
        <v>1</v>
      </c>
      <c r="B347" s="38">
        <f>IF(K347=$P$13,'Rule 12'!$M$4,F347-1)</f>
        <v>-1</v>
      </c>
      <c r="C347" s="23">
        <f t="shared" si="42"/>
        <v>-1</v>
      </c>
      <c r="D347" s="21">
        <f t="shared" si="43"/>
        <v>-8.3333333333333329E-2</v>
      </c>
      <c r="E347" s="21" t="e">
        <f t="shared" si="44"/>
        <v>#N/A</v>
      </c>
      <c r="F347" s="38">
        <f>'Leave Record'!G349</f>
        <v>0</v>
      </c>
      <c r="G347" s="38">
        <f>'Leave Record'!H349</f>
        <v>0</v>
      </c>
      <c r="H347" s="23">
        <f t="shared" si="45"/>
        <v>1</v>
      </c>
      <c r="I347" s="23">
        <f t="shared" si="46"/>
        <v>0</v>
      </c>
      <c r="J347" s="21" t="e">
        <f t="shared" si="47"/>
        <v>#N/A</v>
      </c>
      <c r="K347" s="23">
        <f>'Leave Record'!I349</f>
        <v>0</v>
      </c>
    </row>
    <row r="348" spans="1:11" x14ac:dyDescent="0.25">
      <c r="A348" s="38">
        <f t="shared" si="41"/>
        <v>1</v>
      </c>
      <c r="B348" s="38">
        <f>IF(K348=$P$13,'Rule 12'!$M$4,F348-1)</f>
        <v>-1</v>
      </c>
      <c r="C348" s="23">
        <f t="shared" si="42"/>
        <v>-1</v>
      </c>
      <c r="D348" s="21">
        <f t="shared" si="43"/>
        <v>-8.3333333333333329E-2</v>
      </c>
      <c r="E348" s="21" t="e">
        <f t="shared" si="44"/>
        <v>#N/A</v>
      </c>
      <c r="F348" s="38">
        <f>'Leave Record'!G350</f>
        <v>0</v>
      </c>
      <c r="G348" s="38">
        <f>'Leave Record'!H350</f>
        <v>0</v>
      </c>
      <c r="H348" s="23">
        <f t="shared" si="45"/>
        <v>1</v>
      </c>
      <c r="I348" s="23">
        <f t="shared" si="46"/>
        <v>0</v>
      </c>
      <c r="J348" s="21" t="e">
        <f t="shared" si="47"/>
        <v>#N/A</v>
      </c>
      <c r="K348" s="23">
        <f>'Leave Record'!I350</f>
        <v>0</v>
      </c>
    </row>
    <row r="349" spans="1:11" x14ac:dyDescent="0.25">
      <c r="A349" s="38">
        <f t="shared" si="41"/>
        <v>1</v>
      </c>
      <c r="B349" s="38">
        <f>IF(K349=$P$13,'Rule 12'!$M$4,F349-1)</f>
        <v>-1</v>
      </c>
      <c r="C349" s="23">
        <f t="shared" si="42"/>
        <v>-1</v>
      </c>
      <c r="D349" s="21">
        <f t="shared" si="43"/>
        <v>-8.3333333333333329E-2</v>
      </c>
      <c r="E349" s="21" t="e">
        <f t="shared" si="44"/>
        <v>#N/A</v>
      </c>
      <c r="F349" s="38">
        <f>'Leave Record'!G351</f>
        <v>0</v>
      </c>
      <c r="G349" s="38">
        <f>'Leave Record'!H351</f>
        <v>0</v>
      </c>
      <c r="H349" s="23">
        <f t="shared" si="45"/>
        <v>1</v>
      </c>
      <c r="I349" s="23">
        <f t="shared" si="46"/>
        <v>0</v>
      </c>
      <c r="J349" s="21" t="e">
        <f t="shared" si="47"/>
        <v>#N/A</v>
      </c>
      <c r="K349" s="23">
        <f>'Leave Record'!I351</f>
        <v>0</v>
      </c>
    </row>
    <row r="350" spans="1:11" x14ac:dyDescent="0.25">
      <c r="A350" s="38">
        <f t="shared" si="41"/>
        <v>1</v>
      </c>
      <c r="B350" s="38">
        <f>IF(K350=$P$13,'Rule 12'!$M$4,F350-1)</f>
        <v>-1</v>
      </c>
      <c r="C350" s="23">
        <f t="shared" si="42"/>
        <v>-1</v>
      </c>
      <c r="D350" s="21">
        <f t="shared" si="43"/>
        <v>-8.3333333333333329E-2</v>
      </c>
      <c r="E350" s="21" t="e">
        <f t="shared" si="44"/>
        <v>#N/A</v>
      </c>
      <c r="F350" s="38">
        <f>'Leave Record'!G352</f>
        <v>0</v>
      </c>
      <c r="G350" s="38">
        <f>'Leave Record'!H352</f>
        <v>0</v>
      </c>
      <c r="H350" s="23">
        <f t="shared" si="45"/>
        <v>1</v>
      </c>
      <c r="I350" s="23">
        <f t="shared" si="46"/>
        <v>0</v>
      </c>
      <c r="J350" s="21" t="e">
        <f t="shared" si="47"/>
        <v>#N/A</v>
      </c>
      <c r="K350" s="23">
        <f>'Leave Record'!I352</f>
        <v>0</v>
      </c>
    </row>
    <row r="351" spans="1:11" x14ac:dyDescent="0.25">
      <c r="A351" s="38">
        <f t="shared" si="41"/>
        <v>1</v>
      </c>
      <c r="B351" s="38">
        <f>IF(K351=$P$13,'Rule 12'!$M$4,F351-1)</f>
        <v>-1</v>
      </c>
      <c r="C351" s="23">
        <f t="shared" si="42"/>
        <v>-1</v>
      </c>
      <c r="D351" s="21">
        <f t="shared" si="43"/>
        <v>-8.3333333333333329E-2</v>
      </c>
      <c r="E351" s="21" t="e">
        <f t="shared" si="44"/>
        <v>#N/A</v>
      </c>
      <c r="F351" s="38">
        <f>'Leave Record'!G353</f>
        <v>0</v>
      </c>
      <c r="G351" s="38">
        <f>'Leave Record'!H353</f>
        <v>0</v>
      </c>
      <c r="H351" s="23">
        <f t="shared" si="45"/>
        <v>1</v>
      </c>
      <c r="I351" s="23">
        <f t="shared" si="46"/>
        <v>0</v>
      </c>
      <c r="J351" s="21" t="e">
        <f t="shared" si="47"/>
        <v>#N/A</v>
      </c>
      <c r="K351" s="23">
        <f>'Leave Record'!I353</f>
        <v>0</v>
      </c>
    </row>
    <row r="352" spans="1:11" x14ac:dyDescent="0.25">
      <c r="A352" s="38">
        <f t="shared" si="41"/>
        <v>1</v>
      </c>
      <c r="B352" s="38">
        <f>IF(K352=$P$13,'Rule 12'!$M$4,F352-1)</f>
        <v>-1</v>
      </c>
      <c r="C352" s="23">
        <f t="shared" si="42"/>
        <v>-1</v>
      </c>
      <c r="D352" s="21">
        <f t="shared" si="43"/>
        <v>-8.3333333333333329E-2</v>
      </c>
      <c r="E352" s="21" t="e">
        <f t="shared" si="44"/>
        <v>#N/A</v>
      </c>
      <c r="F352" s="38">
        <f>'Leave Record'!G354</f>
        <v>0</v>
      </c>
      <c r="G352" s="38">
        <f>'Leave Record'!H354</f>
        <v>0</v>
      </c>
      <c r="H352" s="23">
        <f t="shared" si="45"/>
        <v>1</v>
      </c>
      <c r="I352" s="23">
        <f t="shared" si="46"/>
        <v>0</v>
      </c>
      <c r="J352" s="21" t="e">
        <f t="shared" si="47"/>
        <v>#N/A</v>
      </c>
      <c r="K352" s="23">
        <f>'Leave Record'!I354</f>
        <v>0</v>
      </c>
    </row>
    <row r="353" spans="1:11" x14ac:dyDescent="0.25">
      <c r="A353" s="38">
        <f t="shared" si="41"/>
        <v>1</v>
      </c>
      <c r="B353" s="38">
        <f>IF(K353=$P$13,'Rule 12'!$M$4,F353-1)</f>
        <v>-1</v>
      </c>
      <c r="C353" s="23">
        <f t="shared" si="42"/>
        <v>-1</v>
      </c>
      <c r="D353" s="21">
        <f t="shared" si="43"/>
        <v>-8.3333333333333329E-2</v>
      </c>
      <c r="E353" s="21" t="e">
        <f t="shared" si="44"/>
        <v>#N/A</v>
      </c>
      <c r="F353" s="38">
        <f>'Leave Record'!G355</f>
        <v>0</v>
      </c>
      <c r="G353" s="38">
        <f>'Leave Record'!H355</f>
        <v>0</v>
      </c>
      <c r="H353" s="23">
        <f t="shared" si="45"/>
        <v>1</v>
      </c>
      <c r="I353" s="23">
        <f t="shared" si="46"/>
        <v>0</v>
      </c>
      <c r="J353" s="21" t="e">
        <f t="shared" si="47"/>
        <v>#N/A</v>
      </c>
      <c r="K353" s="23">
        <f>'Leave Record'!I355</f>
        <v>0</v>
      </c>
    </row>
    <row r="354" spans="1:11" x14ac:dyDescent="0.25">
      <c r="A354" s="38">
        <f t="shared" si="41"/>
        <v>1</v>
      </c>
      <c r="B354" s="38">
        <f>IF(K354=$P$13,'Rule 12'!$M$4,F354-1)</f>
        <v>-1</v>
      </c>
      <c r="C354" s="23">
        <f t="shared" si="42"/>
        <v>-1</v>
      </c>
      <c r="D354" s="21">
        <f t="shared" si="43"/>
        <v>-8.3333333333333329E-2</v>
      </c>
      <c r="E354" s="21" t="e">
        <f t="shared" si="44"/>
        <v>#N/A</v>
      </c>
      <c r="F354" s="38">
        <f>'Leave Record'!G356</f>
        <v>0</v>
      </c>
      <c r="G354" s="38">
        <f>'Leave Record'!H356</f>
        <v>0</v>
      </c>
      <c r="H354" s="23">
        <f t="shared" si="45"/>
        <v>1</v>
      </c>
      <c r="I354" s="23">
        <f t="shared" si="46"/>
        <v>0</v>
      </c>
      <c r="J354" s="21" t="e">
        <f t="shared" si="47"/>
        <v>#N/A</v>
      </c>
      <c r="K354" s="23">
        <f>'Leave Record'!I356</f>
        <v>0</v>
      </c>
    </row>
    <row r="355" spans="1:11" x14ac:dyDescent="0.25">
      <c r="A355" s="38">
        <f t="shared" si="41"/>
        <v>1</v>
      </c>
      <c r="B355" s="38">
        <f>IF(K355=$P$13,'Rule 12'!$M$4,F355-1)</f>
        <v>-1</v>
      </c>
      <c r="C355" s="23">
        <f t="shared" si="42"/>
        <v>-1</v>
      </c>
      <c r="D355" s="21">
        <f t="shared" si="43"/>
        <v>-8.3333333333333329E-2</v>
      </c>
      <c r="E355" s="21" t="e">
        <f t="shared" si="44"/>
        <v>#N/A</v>
      </c>
      <c r="F355" s="38">
        <f>'Leave Record'!G357</f>
        <v>0</v>
      </c>
      <c r="G355" s="38">
        <f>'Leave Record'!H357</f>
        <v>0</v>
      </c>
      <c r="H355" s="23">
        <f t="shared" si="45"/>
        <v>1</v>
      </c>
      <c r="I355" s="23">
        <f t="shared" si="46"/>
        <v>0</v>
      </c>
      <c r="J355" s="21" t="e">
        <f t="shared" si="47"/>
        <v>#N/A</v>
      </c>
      <c r="K355" s="23">
        <f>'Leave Record'!I357</f>
        <v>0</v>
      </c>
    </row>
    <row r="356" spans="1:11" x14ac:dyDescent="0.25">
      <c r="A356" s="38">
        <f t="shared" si="41"/>
        <v>1</v>
      </c>
      <c r="B356" s="38">
        <f>IF(K356=$P$13,'Rule 12'!$M$4,F356-1)</f>
        <v>-1</v>
      </c>
      <c r="C356" s="23">
        <f t="shared" si="42"/>
        <v>-1</v>
      </c>
      <c r="D356" s="21">
        <f t="shared" si="43"/>
        <v>-8.3333333333333329E-2</v>
      </c>
      <c r="E356" s="21" t="e">
        <f t="shared" si="44"/>
        <v>#N/A</v>
      </c>
      <c r="F356" s="38">
        <f>'Leave Record'!G358</f>
        <v>0</v>
      </c>
      <c r="G356" s="38">
        <f>'Leave Record'!H358</f>
        <v>0</v>
      </c>
      <c r="H356" s="23">
        <f t="shared" si="45"/>
        <v>1</v>
      </c>
      <c r="I356" s="23">
        <f t="shared" si="46"/>
        <v>0</v>
      </c>
      <c r="J356" s="21" t="e">
        <f t="shared" si="47"/>
        <v>#N/A</v>
      </c>
      <c r="K356" s="23">
        <f>'Leave Record'!I358</f>
        <v>0</v>
      </c>
    </row>
    <row r="357" spans="1:11" x14ac:dyDescent="0.25">
      <c r="A357" s="38">
        <f t="shared" si="41"/>
        <v>1</v>
      </c>
      <c r="B357" s="38">
        <f>IF(K357=$P$13,'Rule 12'!$M$4,F357-1)</f>
        <v>-1</v>
      </c>
      <c r="C357" s="23">
        <f t="shared" si="42"/>
        <v>-1</v>
      </c>
      <c r="D357" s="21">
        <f t="shared" si="43"/>
        <v>-8.3333333333333329E-2</v>
      </c>
      <c r="E357" s="21" t="e">
        <f t="shared" si="44"/>
        <v>#N/A</v>
      </c>
      <c r="F357" s="38">
        <f>'Leave Record'!G359</f>
        <v>0</v>
      </c>
      <c r="G357" s="38">
        <f>'Leave Record'!H359</f>
        <v>0</v>
      </c>
      <c r="H357" s="23">
        <f t="shared" si="45"/>
        <v>1</v>
      </c>
      <c r="I357" s="23">
        <f t="shared" si="46"/>
        <v>0</v>
      </c>
      <c r="J357" s="21" t="e">
        <f t="shared" si="47"/>
        <v>#N/A</v>
      </c>
      <c r="K357" s="23">
        <f>'Leave Record'!I359</f>
        <v>0</v>
      </c>
    </row>
    <row r="358" spans="1:11" x14ac:dyDescent="0.25">
      <c r="A358" s="38">
        <f t="shared" si="41"/>
        <v>1</v>
      </c>
      <c r="B358" s="38">
        <f>IF(K358=$P$13,'Rule 12'!$M$4,F358-1)</f>
        <v>-1</v>
      </c>
      <c r="C358" s="23">
        <f t="shared" si="42"/>
        <v>-1</v>
      </c>
      <c r="D358" s="21">
        <f t="shared" si="43"/>
        <v>-8.3333333333333329E-2</v>
      </c>
      <c r="E358" s="21" t="e">
        <f t="shared" si="44"/>
        <v>#N/A</v>
      </c>
      <c r="F358" s="38">
        <f>'Leave Record'!G360</f>
        <v>0</v>
      </c>
      <c r="G358" s="38">
        <f>'Leave Record'!H360</f>
        <v>0</v>
      </c>
      <c r="H358" s="23">
        <f t="shared" si="45"/>
        <v>1</v>
      </c>
      <c r="I358" s="23">
        <f t="shared" si="46"/>
        <v>0</v>
      </c>
      <c r="J358" s="21" t="e">
        <f t="shared" si="47"/>
        <v>#N/A</v>
      </c>
      <c r="K358" s="23">
        <f>'Leave Record'!I360</f>
        <v>0</v>
      </c>
    </row>
    <row r="359" spans="1:11" x14ac:dyDescent="0.25">
      <c r="A359" s="38">
        <f t="shared" si="41"/>
        <v>1</v>
      </c>
      <c r="B359" s="38">
        <f>IF(K359=$P$13,'Rule 12'!$M$4,F359-1)</f>
        <v>-1</v>
      </c>
      <c r="C359" s="23">
        <f t="shared" si="42"/>
        <v>-1</v>
      </c>
      <c r="D359" s="21">
        <f t="shared" si="43"/>
        <v>-8.3333333333333329E-2</v>
      </c>
      <c r="E359" s="21" t="e">
        <f t="shared" si="44"/>
        <v>#N/A</v>
      </c>
      <c r="F359" s="38">
        <f>'Leave Record'!G361</f>
        <v>0</v>
      </c>
      <c r="G359" s="38">
        <f>'Leave Record'!H361</f>
        <v>0</v>
      </c>
      <c r="H359" s="23">
        <f t="shared" si="45"/>
        <v>1</v>
      </c>
      <c r="I359" s="23">
        <f t="shared" si="46"/>
        <v>0</v>
      </c>
      <c r="J359" s="21" t="e">
        <f t="shared" si="47"/>
        <v>#N/A</v>
      </c>
      <c r="K359" s="23">
        <f>'Leave Record'!I361</f>
        <v>0</v>
      </c>
    </row>
    <row r="360" spans="1:11" x14ac:dyDescent="0.25">
      <c r="A360" s="38">
        <f t="shared" si="41"/>
        <v>1</v>
      </c>
      <c r="B360" s="38">
        <f>IF(K360=$P$13,'Rule 12'!$M$4,F360-1)</f>
        <v>-1</v>
      </c>
      <c r="C360" s="23">
        <f t="shared" si="42"/>
        <v>-1</v>
      </c>
      <c r="D360" s="21">
        <f t="shared" si="43"/>
        <v>-8.3333333333333329E-2</v>
      </c>
      <c r="E360" s="21" t="e">
        <f t="shared" si="44"/>
        <v>#N/A</v>
      </c>
      <c r="F360" s="38">
        <f>'Leave Record'!G362</f>
        <v>0</v>
      </c>
      <c r="G360" s="38">
        <f>'Leave Record'!H362</f>
        <v>0</v>
      </c>
      <c r="H360" s="23">
        <f t="shared" si="45"/>
        <v>1</v>
      </c>
      <c r="I360" s="23">
        <f t="shared" si="46"/>
        <v>0</v>
      </c>
      <c r="J360" s="21" t="e">
        <f t="shared" si="47"/>
        <v>#N/A</v>
      </c>
      <c r="K360" s="23">
        <f>'Leave Record'!I362</f>
        <v>0</v>
      </c>
    </row>
    <row r="361" spans="1:11" x14ac:dyDescent="0.25">
      <c r="A361" s="38">
        <f t="shared" si="41"/>
        <v>1</v>
      </c>
      <c r="B361" s="38">
        <f>IF(K361=$P$13,'Rule 12'!$M$4,F361-1)</f>
        <v>-1</v>
      </c>
      <c r="C361" s="23">
        <f t="shared" si="42"/>
        <v>-1</v>
      </c>
      <c r="D361" s="21">
        <f t="shared" si="43"/>
        <v>-8.3333333333333329E-2</v>
      </c>
      <c r="E361" s="21" t="e">
        <f t="shared" si="44"/>
        <v>#N/A</v>
      </c>
      <c r="F361" s="38">
        <f>'Leave Record'!G363</f>
        <v>0</v>
      </c>
      <c r="G361" s="38">
        <f>'Leave Record'!H363</f>
        <v>0</v>
      </c>
      <c r="H361" s="23">
        <f t="shared" si="45"/>
        <v>1</v>
      </c>
      <c r="I361" s="23">
        <f t="shared" si="46"/>
        <v>0</v>
      </c>
      <c r="J361" s="21" t="e">
        <f t="shared" si="47"/>
        <v>#N/A</v>
      </c>
      <c r="K361" s="23">
        <f>'Leave Record'!I363</f>
        <v>0</v>
      </c>
    </row>
    <row r="362" spans="1:11" x14ac:dyDescent="0.25">
      <c r="A362" s="38">
        <f t="shared" si="41"/>
        <v>1</v>
      </c>
      <c r="B362" s="38">
        <f>IF(K362=$P$13,'Rule 12'!$M$4,F362-1)</f>
        <v>-1</v>
      </c>
      <c r="C362" s="23">
        <f t="shared" si="42"/>
        <v>-1</v>
      </c>
      <c r="D362" s="21">
        <f t="shared" si="43"/>
        <v>-8.3333333333333329E-2</v>
      </c>
      <c r="E362" s="21" t="e">
        <f t="shared" si="44"/>
        <v>#N/A</v>
      </c>
      <c r="F362" s="38">
        <f>'Leave Record'!G364</f>
        <v>0</v>
      </c>
      <c r="G362" s="38">
        <f>'Leave Record'!H364</f>
        <v>0</v>
      </c>
      <c r="H362" s="23">
        <f t="shared" si="45"/>
        <v>1</v>
      </c>
      <c r="I362" s="23">
        <f t="shared" si="46"/>
        <v>0</v>
      </c>
      <c r="J362" s="21" t="e">
        <f t="shared" si="47"/>
        <v>#N/A</v>
      </c>
      <c r="K362" s="23">
        <f>'Leave Record'!I364</f>
        <v>0</v>
      </c>
    </row>
    <row r="363" spans="1:11" x14ac:dyDescent="0.25">
      <c r="A363" s="38">
        <f t="shared" si="41"/>
        <v>1</v>
      </c>
      <c r="B363" s="38">
        <f>IF(K363=$P$13,'Rule 12'!$M$4,F363-1)</f>
        <v>-1</v>
      </c>
      <c r="C363" s="23">
        <f t="shared" si="42"/>
        <v>-1</v>
      </c>
      <c r="D363" s="21">
        <f t="shared" si="43"/>
        <v>-8.3333333333333329E-2</v>
      </c>
      <c r="E363" s="21" t="e">
        <f t="shared" si="44"/>
        <v>#N/A</v>
      </c>
      <c r="F363" s="38">
        <f>'Leave Record'!G365</f>
        <v>0</v>
      </c>
      <c r="G363" s="38">
        <f>'Leave Record'!H365</f>
        <v>0</v>
      </c>
      <c r="H363" s="23">
        <f t="shared" si="45"/>
        <v>1</v>
      </c>
      <c r="I363" s="23">
        <f t="shared" si="46"/>
        <v>0</v>
      </c>
      <c r="J363" s="21" t="e">
        <f t="shared" si="47"/>
        <v>#N/A</v>
      </c>
      <c r="K363" s="23">
        <f>'Leave Record'!I365</f>
        <v>0</v>
      </c>
    </row>
    <row r="364" spans="1:11" x14ac:dyDescent="0.25">
      <c r="A364" s="38">
        <f t="shared" si="41"/>
        <v>1</v>
      </c>
      <c r="B364" s="38">
        <f>IF(K364=$P$13,'Rule 12'!$M$4,F364-1)</f>
        <v>-1</v>
      </c>
      <c r="C364" s="23">
        <f t="shared" si="42"/>
        <v>-1</v>
      </c>
      <c r="D364" s="21">
        <f t="shared" si="43"/>
        <v>-8.3333333333333329E-2</v>
      </c>
      <c r="E364" s="21" t="e">
        <f t="shared" si="44"/>
        <v>#N/A</v>
      </c>
      <c r="F364" s="38">
        <f>'Leave Record'!G366</f>
        <v>0</v>
      </c>
      <c r="G364" s="38">
        <f>'Leave Record'!H366</f>
        <v>0</v>
      </c>
      <c r="H364" s="23">
        <f t="shared" si="45"/>
        <v>1</v>
      </c>
      <c r="I364" s="23">
        <f t="shared" si="46"/>
        <v>0</v>
      </c>
      <c r="J364" s="21" t="e">
        <f t="shared" si="47"/>
        <v>#N/A</v>
      </c>
      <c r="K364" s="23">
        <f>'Leave Record'!I366</f>
        <v>0</v>
      </c>
    </row>
    <row r="365" spans="1:11" x14ac:dyDescent="0.25">
      <c r="A365" s="38">
        <f t="shared" si="41"/>
        <v>1</v>
      </c>
      <c r="B365" s="38">
        <f>IF(K365=$P$13,'Rule 12'!$M$4,F365-1)</f>
        <v>-1</v>
      </c>
      <c r="C365" s="23">
        <f t="shared" si="42"/>
        <v>-1</v>
      </c>
      <c r="D365" s="21">
        <f t="shared" si="43"/>
        <v>-8.3333333333333329E-2</v>
      </c>
      <c r="E365" s="21" t="e">
        <f t="shared" si="44"/>
        <v>#N/A</v>
      </c>
      <c r="F365" s="38">
        <f>'Leave Record'!G367</f>
        <v>0</v>
      </c>
      <c r="G365" s="38">
        <f>'Leave Record'!H367</f>
        <v>0</v>
      </c>
      <c r="H365" s="23">
        <f t="shared" si="45"/>
        <v>1</v>
      </c>
      <c r="I365" s="23">
        <f t="shared" si="46"/>
        <v>0</v>
      </c>
      <c r="J365" s="21" t="e">
        <f t="shared" si="47"/>
        <v>#N/A</v>
      </c>
      <c r="K365" s="23">
        <f>'Leave Record'!I367</f>
        <v>0</v>
      </c>
    </row>
    <row r="366" spans="1:11" x14ac:dyDescent="0.25">
      <c r="A366" s="38">
        <f t="shared" si="41"/>
        <v>1</v>
      </c>
      <c r="B366" s="38">
        <f>IF(K366=$P$13,'Rule 12'!$M$4,F366-1)</f>
        <v>-1</v>
      </c>
      <c r="C366" s="23">
        <f t="shared" si="42"/>
        <v>-1</v>
      </c>
      <c r="D366" s="21">
        <f t="shared" si="43"/>
        <v>-8.3333333333333329E-2</v>
      </c>
      <c r="E366" s="21" t="e">
        <f t="shared" si="44"/>
        <v>#N/A</v>
      </c>
      <c r="F366" s="38">
        <f>'Leave Record'!G368</f>
        <v>0</v>
      </c>
      <c r="G366" s="38">
        <f>'Leave Record'!H368</f>
        <v>0</v>
      </c>
      <c r="H366" s="23">
        <f t="shared" si="45"/>
        <v>1</v>
      </c>
      <c r="I366" s="23">
        <f t="shared" si="46"/>
        <v>0</v>
      </c>
      <c r="J366" s="21" t="e">
        <f t="shared" si="47"/>
        <v>#N/A</v>
      </c>
      <c r="K366" s="23">
        <f>'Leave Record'!I368</f>
        <v>0</v>
      </c>
    </row>
    <row r="367" spans="1:11" x14ac:dyDescent="0.25">
      <c r="A367" s="38">
        <f t="shared" si="41"/>
        <v>1</v>
      </c>
      <c r="B367" s="38">
        <f>IF(K367=$P$13,'Rule 12'!$M$4,F367-1)</f>
        <v>-1</v>
      </c>
      <c r="C367" s="23">
        <f t="shared" si="42"/>
        <v>-1</v>
      </c>
      <c r="D367" s="21">
        <f t="shared" si="43"/>
        <v>-8.3333333333333329E-2</v>
      </c>
      <c r="E367" s="21" t="e">
        <f t="shared" si="44"/>
        <v>#N/A</v>
      </c>
      <c r="F367" s="38">
        <f>'Leave Record'!G369</f>
        <v>0</v>
      </c>
      <c r="G367" s="38">
        <f>'Leave Record'!H369</f>
        <v>0</v>
      </c>
      <c r="H367" s="23">
        <f t="shared" si="45"/>
        <v>1</v>
      </c>
      <c r="I367" s="23">
        <f t="shared" si="46"/>
        <v>0</v>
      </c>
      <c r="J367" s="21" t="e">
        <f t="shared" si="47"/>
        <v>#N/A</v>
      </c>
      <c r="K367" s="23">
        <f>'Leave Record'!I369</f>
        <v>0</v>
      </c>
    </row>
    <row r="368" spans="1:11" x14ac:dyDescent="0.25">
      <c r="A368" s="38">
        <f t="shared" si="41"/>
        <v>1</v>
      </c>
      <c r="B368" s="38">
        <f>IF(K368=$P$13,'Rule 12'!$M$4,F368-1)</f>
        <v>-1</v>
      </c>
      <c r="C368" s="23">
        <f t="shared" si="42"/>
        <v>-1</v>
      </c>
      <c r="D368" s="21">
        <f t="shared" si="43"/>
        <v>-8.3333333333333329E-2</v>
      </c>
      <c r="E368" s="21" t="e">
        <f t="shared" si="44"/>
        <v>#N/A</v>
      </c>
      <c r="F368" s="38">
        <f>'Leave Record'!G370</f>
        <v>0</v>
      </c>
      <c r="G368" s="38">
        <f>'Leave Record'!H370</f>
        <v>0</v>
      </c>
      <c r="H368" s="23">
        <f t="shared" si="45"/>
        <v>1</v>
      </c>
      <c r="I368" s="23">
        <f t="shared" si="46"/>
        <v>0</v>
      </c>
      <c r="J368" s="21" t="e">
        <f t="shared" si="47"/>
        <v>#N/A</v>
      </c>
      <c r="K368" s="23">
        <f>'Leave Record'!I370</f>
        <v>0</v>
      </c>
    </row>
    <row r="369" spans="1:11" x14ac:dyDescent="0.25">
      <c r="A369" s="38">
        <f t="shared" si="41"/>
        <v>1</v>
      </c>
      <c r="B369" s="38">
        <f>IF(K369=$P$13,'Rule 12'!$M$4,F369-1)</f>
        <v>-1</v>
      </c>
      <c r="C369" s="23">
        <f t="shared" si="42"/>
        <v>-1</v>
      </c>
      <c r="D369" s="21">
        <f t="shared" si="43"/>
        <v>-8.3333333333333329E-2</v>
      </c>
      <c r="E369" s="21" t="e">
        <f t="shared" si="44"/>
        <v>#N/A</v>
      </c>
      <c r="F369" s="38">
        <f>'Leave Record'!G371</f>
        <v>0</v>
      </c>
      <c r="G369" s="38">
        <f>'Leave Record'!H371</f>
        <v>0</v>
      </c>
      <c r="H369" s="23">
        <f t="shared" si="45"/>
        <v>1</v>
      </c>
      <c r="I369" s="23">
        <f t="shared" si="46"/>
        <v>0</v>
      </c>
      <c r="J369" s="21" t="e">
        <f t="shared" si="47"/>
        <v>#N/A</v>
      </c>
      <c r="K369" s="23">
        <f>'Leave Record'!I371</f>
        <v>0</v>
      </c>
    </row>
    <row r="370" spans="1:11" x14ac:dyDescent="0.25">
      <c r="A370" s="38">
        <f t="shared" si="41"/>
        <v>1</v>
      </c>
      <c r="B370" s="38">
        <f>IF(K370=$P$13,'Rule 12'!$M$4,F370-1)</f>
        <v>-1</v>
      </c>
      <c r="C370" s="23">
        <f t="shared" si="42"/>
        <v>-1</v>
      </c>
      <c r="D370" s="21">
        <f t="shared" si="43"/>
        <v>-8.3333333333333329E-2</v>
      </c>
      <c r="E370" s="21" t="e">
        <f t="shared" si="44"/>
        <v>#N/A</v>
      </c>
      <c r="F370" s="38">
        <f>'Leave Record'!G372</f>
        <v>0</v>
      </c>
      <c r="G370" s="38">
        <f>'Leave Record'!H372</f>
        <v>0</v>
      </c>
      <c r="H370" s="23">
        <f t="shared" si="45"/>
        <v>1</v>
      </c>
      <c r="I370" s="23">
        <f t="shared" si="46"/>
        <v>0</v>
      </c>
      <c r="J370" s="21" t="e">
        <f t="shared" si="47"/>
        <v>#N/A</v>
      </c>
      <c r="K370" s="23">
        <f>'Leave Record'!I372</f>
        <v>0</v>
      </c>
    </row>
    <row r="371" spans="1:11" x14ac:dyDescent="0.25">
      <c r="A371" s="38">
        <f t="shared" si="41"/>
        <v>1</v>
      </c>
      <c r="B371" s="38">
        <f>IF(K371=$P$13,'Rule 12'!$M$4,F371-1)</f>
        <v>-1</v>
      </c>
      <c r="C371" s="23">
        <f t="shared" si="42"/>
        <v>-1</v>
      </c>
      <c r="D371" s="21">
        <f t="shared" si="43"/>
        <v>-8.3333333333333329E-2</v>
      </c>
      <c r="E371" s="21" t="e">
        <f t="shared" si="44"/>
        <v>#N/A</v>
      </c>
      <c r="F371" s="38">
        <f>'Leave Record'!G373</f>
        <v>0</v>
      </c>
      <c r="G371" s="38">
        <f>'Leave Record'!H373</f>
        <v>0</v>
      </c>
      <c r="H371" s="23">
        <f t="shared" si="45"/>
        <v>1</v>
      </c>
      <c r="I371" s="23">
        <f t="shared" si="46"/>
        <v>0</v>
      </c>
      <c r="J371" s="21" t="e">
        <f t="shared" si="47"/>
        <v>#N/A</v>
      </c>
      <c r="K371" s="23">
        <f>'Leave Record'!I373</f>
        <v>0</v>
      </c>
    </row>
    <row r="372" spans="1:11" x14ac:dyDescent="0.25">
      <c r="A372" s="38">
        <f t="shared" si="41"/>
        <v>1</v>
      </c>
      <c r="B372" s="38">
        <f>IF(K372=$P$13,'Rule 12'!$M$4,F372-1)</f>
        <v>-1</v>
      </c>
      <c r="C372" s="23">
        <f t="shared" si="42"/>
        <v>-1</v>
      </c>
      <c r="D372" s="21">
        <f t="shared" si="43"/>
        <v>-8.3333333333333329E-2</v>
      </c>
      <c r="E372" s="21" t="e">
        <f t="shared" si="44"/>
        <v>#N/A</v>
      </c>
      <c r="F372" s="38">
        <f>'Leave Record'!G374</f>
        <v>0</v>
      </c>
      <c r="G372" s="38">
        <f>'Leave Record'!H374</f>
        <v>0</v>
      </c>
      <c r="H372" s="23">
        <f t="shared" si="45"/>
        <v>1</v>
      </c>
      <c r="I372" s="23">
        <f t="shared" si="46"/>
        <v>0</v>
      </c>
      <c r="J372" s="21" t="e">
        <f t="shared" si="47"/>
        <v>#N/A</v>
      </c>
      <c r="K372" s="23">
        <f>'Leave Record'!I374</f>
        <v>0</v>
      </c>
    </row>
    <row r="373" spans="1:11" x14ac:dyDescent="0.25">
      <c r="A373" s="38">
        <f t="shared" si="41"/>
        <v>1</v>
      </c>
      <c r="B373" s="38">
        <f>IF(K373=$P$13,'Rule 12'!$M$4,F373-1)</f>
        <v>-1</v>
      </c>
      <c r="C373" s="23">
        <f t="shared" si="42"/>
        <v>-1</v>
      </c>
      <c r="D373" s="21">
        <f t="shared" si="43"/>
        <v>-8.3333333333333329E-2</v>
      </c>
      <c r="E373" s="21" t="e">
        <f t="shared" si="44"/>
        <v>#N/A</v>
      </c>
      <c r="F373" s="38">
        <f>'Leave Record'!G375</f>
        <v>0</v>
      </c>
      <c r="G373" s="38">
        <f>'Leave Record'!H375</f>
        <v>0</v>
      </c>
      <c r="H373" s="23">
        <f t="shared" si="45"/>
        <v>1</v>
      </c>
      <c r="I373" s="23">
        <f t="shared" si="46"/>
        <v>0</v>
      </c>
      <c r="J373" s="21" t="e">
        <f t="shared" si="47"/>
        <v>#N/A</v>
      </c>
      <c r="K373" s="23">
        <f>'Leave Record'!I375</f>
        <v>0</v>
      </c>
    </row>
    <row r="374" spans="1:11" x14ac:dyDescent="0.25">
      <c r="A374" s="38">
        <f t="shared" si="41"/>
        <v>1</v>
      </c>
      <c r="B374" s="38">
        <f>IF(K374=$P$13,'Rule 12'!$M$4,F374-1)</f>
        <v>-1</v>
      </c>
      <c r="C374" s="23">
        <f t="shared" si="42"/>
        <v>-1</v>
      </c>
      <c r="D374" s="21">
        <f t="shared" si="43"/>
        <v>-8.3333333333333329E-2</v>
      </c>
      <c r="E374" s="21" t="e">
        <f t="shared" si="44"/>
        <v>#N/A</v>
      </c>
      <c r="F374" s="38">
        <f>'Leave Record'!G376</f>
        <v>0</v>
      </c>
      <c r="G374" s="38">
        <f>'Leave Record'!H376</f>
        <v>0</v>
      </c>
      <c r="H374" s="23">
        <f t="shared" si="45"/>
        <v>1</v>
      </c>
      <c r="I374" s="23">
        <f t="shared" si="46"/>
        <v>0</v>
      </c>
      <c r="J374" s="21" t="e">
        <f t="shared" si="47"/>
        <v>#N/A</v>
      </c>
      <c r="K374" s="23">
        <f>'Leave Record'!I376</f>
        <v>0</v>
      </c>
    </row>
    <row r="375" spans="1:11" x14ac:dyDescent="0.25">
      <c r="A375" s="38">
        <f t="shared" si="41"/>
        <v>1</v>
      </c>
      <c r="B375" s="38">
        <f>IF(K375=$P$13,'Rule 12'!$M$4,F375-1)</f>
        <v>-1</v>
      </c>
      <c r="C375" s="23">
        <f t="shared" si="42"/>
        <v>-1</v>
      </c>
      <c r="D375" s="21">
        <f t="shared" si="43"/>
        <v>-8.3333333333333329E-2</v>
      </c>
      <c r="E375" s="21" t="e">
        <f t="shared" si="44"/>
        <v>#N/A</v>
      </c>
      <c r="F375" s="38">
        <f>'Leave Record'!G377</f>
        <v>0</v>
      </c>
      <c r="G375" s="38">
        <f>'Leave Record'!H377</f>
        <v>0</v>
      </c>
      <c r="H375" s="23">
        <f t="shared" si="45"/>
        <v>1</v>
      </c>
      <c r="I375" s="23">
        <f t="shared" si="46"/>
        <v>0</v>
      </c>
      <c r="J375" s="21" t="e">
        <f t="shared" si="47"/>
        <v>#N/A</v>
      </c>
      <c r="K375" s="23">
        <f>'Leave Record'!I377</f>
        <v>0</v>
      </c>
    </row>
    <row r="376" spans="1:11" x14ac:dyDescent="0.25">
      <c r="A376" s="38">
        <f t="shared" si="41"/>
        <v>1</v>
      </c>
      <c r="B376" s="38">
        <f>IF(K376=$P$13,'Rule 12'!$M$4,F376-1)</f>
        <v>-1</v>
      </c>
      <c r="C376" s="23">
        <f t="shared" si="42"/>
        <v>-1</v>
      </c>
      <c r="D376" s="21">
        <f t="shared" si="43"/>
        <v>-8.3333333333333329E-2</v>
      </c>
      <c r="E376" s="21" t="e">
        <f t="shared" si="44"/>
        <v>#N/A</v>
      </c>
      <c r="F376" s="38">
        <f>'Leave Record'!G378</f>
        <v>0</v>
      </c>
      <c r="G376" s="38">
        <f>'Leave Record'!H378</f>
        <v>0</v>
      </c>
      <c r="H376" s="23">
        <f t="shared" si="45"/>
        <v>1</v>
      </c>
      <c r="I376" s="23">
        <f t="shared" si="46"/>
        <v>0</v>
      </c>
      <c r="J376" s="21" t="e">
        <f t="shared" si="47"/>
        <v>#N/A</v>
      </c>
      <c r="K376" s="23">
        <f>'Leave Record'!I378</f>
        <v>0</v>
      </c>
    </row>
    <row r="377" spans="1:11" x14ac:dyDescent="0.25">
      <c r="A377" s="38">
        <f t="shared" si="41"/>
        <v>1</v>
      </c>
      <c r="B377" s="38">
        <f>IF(K377=$P$13,'Rule 12'!$M$4,F377-1)</f>
        <v>-1</v>
      </c>
      <c r="C377" s="23">
        <f t="shared" si="42"/>
        <v>-1</v>
      </c>
      <c r="D377" s="21">
        <f t="shared" si="43"/>
        <v>-8.3333333333333329E-2</v>
      </c>
      <c r="E377" s="21" t="e">
        <f t="shared" si="44"/>
        <v>#N/A</v>
      </c>
      <c r="F377" s="38">
        <f>'Leave Record'!G379</f>
        <v>0</v>
      </c>
      <c r="G377" s="38">
        <f>'Leave Record'!H379</f>
        <v>0</v>
      </c>
      <c r="H377" s="23">
        <f t="shared" si="45"/>
        <v>1</v>
      </c>
      <c r="I377" s="23">
        <f t="shared" si="46"/>
        <v>0</v>
      </c>
      <c r="J377" s="21" t="e">
        <f t="shared" si="47"/>
        <v>#N/A</v>
      </c>
      <c r="K377" s="23">
        <f>'Leave Record'!I379</f>
        <v>0</v>
      </c>
    </row>
    <row r="378" spans="1:11" x14ac:dyDescent="0.25">
      <c r="A378" s="38">
        <f t="shared" si="41"/>
        <v>1</v>
      </c>
      <c r="B378" s="38">
        <f>IF(K378=$P$13,'Rule 12'!$M$4,F378-1)</f>
        <v>-1</v>
      </c>
      <c r="C378" s="23">
        <f t="shared" si="42"/>
        <v>-1</v>
      </c>
      <c r="D378" s="21">
        <f t="shared" si="43"/>
        <v>-8.3333333333333329E-2</v>
      </c>
      <c r="E378" s="21" t="e">
        <f t="shared" si="44"/>
        <v>#N/A</v>
      </c>
      <c r="F378" s="38">
        <f>'Leave Record'!G380</f>
        <v>0</v>
      </c>
      <c r="G378" s="38">
        <f>'Leave Record'!H380</f>
        <v>0</v>
      </c>
      <c r="H378" s="23">
        <f t="shared" si="45"/>
        <v>1</v>
      </c>
      <c r="I378" s="23">
        <f t="shared" si="46"/>
        <v>0</v>
      </c>
      <c r="J378" s="21" t="e">
        <f t="shared" si="47"/>
        <v>#N/A</v>
      </c>
      <c r="K378" s="23">
        <f>'Leave Record'!I380</f>
        <v>0</v>
      </c>
    </row>
    <row r="379" spans="1:11" x14ac:dyDescent="0.25">
      <c r="A379" s="38">
        <f t="shared" si="41"/>
        <v>1</v>
      </c>
      <c r="B379" s="38">
        <f>IF(K379=$P$13,'Rule 12'!$M$4,F379-1)</f>
        <v>-1</v>
      </c>
      <c r="C379" s="23">
        <f t="shared" si="42"/>
        <v>-1</v>
      </c>
      <c r="D379" s="21">
        <f t="shared" si="43"/>
        <v>-8.3333333333333329E-2</v>
      </c>
      <c r="E379" s="21" t="e">
        <f t="shared" si="44"/>
        <v>#N/A</v>
      </c>
      <c r="F379" s="38">
        <f>'Leave Record'!G381</f>
        <v>0</v>
      </c>
      <c r="G379" s="38">
        <f>'Leave Record'!H381</f>
        <v>0</v>
      </c>
      <c r="H379" s="23">
        <f t="shared" si="45"/>
        <v>1</v>
      </c>
      <c r="I379" s="23">
        <f t="shared" si="46"/>
        <v>0</v>
      </c>
      <c r="J379" s="21" t="e">
        <f t="shared" si="47"/>
        <v>#N/A</v>
      </c>
      <c r="K379" s="23">
        <f>'Leave Record'!I381</f>
        <v>0</v>
      </c>
    </row>
    <row r="380" spans="1:11" x14ac:dyDescent="0.25">
      <c r="A380" s="38">
        <f t="shared" si="41"/>
        <v>1</v>
      </c>
      <c r="B380" s="38">
        <f>IF(K380=$P$13,'Rule 12'!$M$4,F380-1)</f>
        <v>-1</v>
      </c>
      <c r="C380" s="23">
        <f t="shared" si="42"/>
        <v>-1</v>
      </c>
      <c r="D380" s="21">
        <f t="shared" si="43"/>
        <v>-8.3333333333333329E-2</v>
      </c>
      <c r="E380" s="21" t="e">
        <f t="shared" si="44"/>
        <v>#N/A</v>
      </c>
      <c r="F380" s="38">
        <f>'Leave Record'!G382</f>
        <v>0</v>
      </c>
      <c r="G380" s="38">
        <f>'Leave Record'!H382</f>
        <v>0</v>
      </c>
      <c r="H380" s="23">
        <f t="shared" si="45"/>
        <v>1</v>
      </c>
      <c r="I380" s="23">
        <f t="shared" si="46"/>
        <v>0</v>
      </c>
      <c r="J380" s="21" t="e">
        <f t="shared" si="47"/>
        <v>#N/A</v>
      </c>
      <c r="K380" s="23">
        <f>'Leave Record'!I382</f>
        <v>0</v>
      </c>
    </row>
    <row r="381" spans="1:11" x14ac:dyDescent="0.25">
      <c r="A381" s="38">
        <f t="shared" si="41"/>
        <v>1</v>
      </c>
      <c r="B381" s="38">
        <f>IF(K381=$P$13,'Rule 12'!$M$4,F381-1)</f>
        <v>-1</v>
      </c>
      <c r="C381" s="23">
        <f t="shared" si="42"/>
        <v>-1</v>
      </c>
      <c r="D381" s="21">
        <f t="shared" si="43"/>
        <v>-8.3333333333333329E-2</v>
      </c>
      <c r="E381" s="21" t="e">
        <f t="shared" si="44"/>
        <v>#N/A</v>
      </c>
      <c r="F381" s="38">
        <f>'Leave Record'!G383</f>
        <v>0</v>
      </c>
      <c r="G381" s="38">
        <f>'Leave Record'!H383</f>
        <v>0</v>
      </c>
      <c r="H381" s="23">
        <f t="shared" si="45"/>
        <v>1</v>
      </c>
      <c r="I381" s="23">
        <f t="shared" si="46"/>
        <v>0</v>
      </c>
      <c r="J381" s="21" t="e">
        <f t="shared" si="47"/>
        <v>#N/A</v>
      </c>
      <c r="K381" s="23">
        <f>'Leave Record'!I383</f>
        <v>0</v>
      </c>
    </row>
    <row r="382" spans="1:11" x14ac:dyDescent="0.25">
      <c r="A382" s="38">
        <f t="shared" si="41"/>
        <v>1</v>
      </c>
      <c r="B382" s="38">
        <f>IF(K382=$P$13,'Rule 12'!$M$4,F382-1)</f>
        <v>-1</v>
      </c>
      <c r="C382" s="23">
        <f t="shared" si="42"/>
        <v>-1</v>
      </c>
      <c r="D382" s="21">
        <f t="shared" si="43"/>
        <v>-8.3333333333333329E-2</v>
      </c>
      <c r="E382" s="21" t="e">
        <f t="shared" si="44"/>
        <v>#N/A</v>
      </c>
      <c r="F382" s="38">
        <f>'Leave Record'!G384</f>
        <v>0</v>
      </c>
      <c r="G382" s="38">
        <f>'Leave Record'!H384</f>
        <v>0</v>
      </c>
      <c r="H382" s="23">
        <f t="shared" si="45"/>
        <v>1</v>
      </c>
      <c r="I382" s="23">
        <f t="shared" si="46"/>
        <v>0</v>
      </c>
      <c r="J382" s="21" t="e">
        <f t="shared" si="47"/>
        <v>#N/A</v>
      </c>
      <c r="K382" s="23">
        <f>'Leave Record'!I384</f>
        <v>0</v>
      </c>
    </row>
    <row r="383" spans="1:11" x14ac:dyDescent="0.25">
      <c r="A383" s="38">
        <f t="shared" si="41"/>
        <v>1</v>
      </c>
      <c r="B383" s="38">
        <f>IF(K383=$P$13,'Rule 12'!$M$4,F383-1)</f>
        <v>-1</v>
      </c>
      <c r="C383" s="23">
        <f t="shared" si="42"/>
        <v>-1</v>
      </c>
      <c r="D383" s="21">
        <f t="shared" si="43"/>
        <v>-8.3333333333333329E-2</v>
      </c>
      <c r="E383" s="21" t="e">
        <f t="shared" si="44"/>
        <v>#N/A</v>
      </c>
      <c r="F383" s="38">
        <f>'Leave Record'!G385</f>
        <v>0</v>
      </c>
      <c r="G383" s="38">
        <f>'Leave Record'!H385</f>
        <v>0</v>
      </c>
      <c r="H383" s="23">
        <f t="shared" si="45"/>
        <v>1</v>
      </c>
      <c r="I383" s="23">
        <f t="shared" si="46"/>
        <v>0</v>
      </c>
      <c r="J383" s="21" t="e">
        <f t="shared" si="47"/>
        <v>#N/A</v>
      </c>
      <c r="K383" s="23">
        <f>'Leave Record'!I385</f>
        <v>0</v>
      </c>
    </row>
    <row r="384" spans="1:11" x14ac:dyDescent="0.25">
      <c r="A384" s="38">
        <f t="shared" si="41"/>
        <v>1</v>
      </c>
      <c r="B384" s="38">
        <f>IF(K384=$P$13,'Rule 12'!$M$4,F384-1)</f>
        <v>-1</v>
      </c>
      <c r="C384" s="23">
        <f t="shared" si="42"/>
        <v>-1</v>
      </c>
      <c r="D384" s="21">
        <f t="shared" si="43"/>
        <v>-8.3333333333333329E-2</v>
      </c>
      <c r="E384" s="21" t="e">
        <f t="shared" si="44"/>
        <v>#N/A</v>
      </c>
      <c r="F384" s="38">
        <f>'Leave Record'!G386</f>
        <v>0</v>
      </c>
      <c r="G384" s="38">
        <f>'Leave Record'!H386</f>
        <v>0</v>
      </c>
      <c r="H384" s="23">
        <f t="shared" si="45"/>
        <v>1</v>
      </c>
      <c r="I384" s="23">
        <f t="shared" si="46"/>
        <v>0</v>
      </c>
      <c r="J384" s="21" t="e">
        <f t="shared" si="47"/>
        <v>#N/A</v>
      </c>
      <c r="K384" s="23">
        <f>'Leave Record'!I386</f>
        <v>0</v>
      </c>
    </row>
    <row r="385" spans="1:11" x14ac:dyDescent="0.25">
      <c r="A385" s="38">
        <f t="shared" si="41"/>
        <v>1</v>
      </c>
      <c r="B385" s="38">
        <f>IF(K385=$P$13,'Rule 12'!$M$4,F385-1)</f>
        <v>-1</v>
      </c>
      <c r="C385" s="23">
        <f t="shared" si="42"/>
        <v>-1</v>
      </c>
      <c r="D385" s="21">
        <f t="shared" si="43"/>
        <v>-8.3333333333333329E-2</v>
      </c>
      <c r="E385" s="21" t="e">
        <f t="shared" si="44"/>
        <v>#N/A</v>
      </c>
      <c r="F385" s="38">
        <f>'Leave Record'!G387</f>
        <v>0</v>
      </c>
      <c r="G385" s="38">
        <f>'Leave Record'!H387</f>
        <v>0</v>
      </c>
      <c r="H385" s="23">
        <f t="shared" si="45"/>
        <v>1</v>
      </c>
      <c r="I385" s="23">
        <f t="shared" si="46"/>
        <v>0</v>
      </c>
      <c r="J385" s="21" t="e">
        <f t="shared" si="47"/>
        <v>#N/A</v>
      </c>
      <c r="K385" s="23">
        <f>'Leave Record'!I387</f>
        <v>0</v>
      </c>
    </row>
    <row r="386" spans="1:11" x14ac:dyDescent="0.25">
      <c r="A386" s="38">
        <f t="shared" si="41"/>
        <v>1</v>
      </c>
      <c r="B386" s="38">
        <f>IF(K386=$P$13,'Rule 12'!$M$4,F386-1)</f>
        <v>-1</v>
      </c>
      <c r="C386" s="23">
        <f t="shared" si="42"/>
        <v>-1</v>
      </c>
      <c r="D386" s="21">
        <f t="shared" si="43"/>
        <v>-8.3333333333333329E-2</v>
      </c>
      <c r="E386" s="21" t="e">
        <f t="shared" si="44"/>
        <v>#N/A</v>
      </c>
      <c r="F386" s="38">
        <f>'Leave Record'!G388</f>
        <v>0</v>
      </c>
      <c r="G386" s="38">
        <f>'Leave Record'!H388</f>
        <v>0</v>
      </c>
      <c r="H386" s="23">
        <f t="shared" si="45"/>
        <v>1</v>
      </c>
      <c r="I386" s="23">
        <f t="shared" si="46"/>
        <v>0</v>
      </c>
      <c r="J386" s="21" t="e">
        <f t="shared" si="47"/>
        <v>#N/A</v>
      </c>
      <c r="K386" s="23">
        <f>'Leave Record'!I388</f>
        <v>0</v>
      </c>
    </row>
    <row r="387" spans="1:11" x14ac:dyDescent="0.25">
      <c r="A387" s="38">
        <f t="shared" si="41"/>
        <v>1</v>
      </c>
      <c r="B387" s="38">
        <f>IF(K387=$P$13,'Rule 12'!$M$4,F387-1)</f>
        <v>-1</v>
      </c>
      <c r="C387" s="23">
        <f t="shared" si="42"/>
        <v>-1</v>
      </c>
      <c r="D387" s="21">
        <f t="shared" si="43"/>
        <v>-8.3333333333333329E-2</v>
      </c>
      <c r="E387" s="21" t="e">
        <f t="shared" si="44"/>
        <v>#N/A</v>
      </c>
      <c r="F387" s="38">
        <f>'Leave Record'!G389</f>
        <v>0</v>
      </c>
      <c r="G387" s="38">
        <f>'Leave Record'!H389</f>
        <v>0</v>
      </c>
      <c r="H387" s="23">
        <f t="shared" si="45"/>
        <v>1</v>
      </c>
      <c r="I387" s="23">
        <f t="shared" si="46"/>
        <v>0</v>
      </c>
      <c r="J387" s="21" t="e">
        <f t="shared" si="47"/>
        <v>#N/A</v>
      </c>
      <c r="K387" s="23">
        <f>'Leave Record'!I389</f>
        <v>0</v>
      </c>
    </row>
    <row r="388" spans="1:11" x14ac:dyDescent="0.25">
      <c r="A388" s="38">
        <f t="shared" si="41"/>
        <v>1</v>
      </c>
      <c r="B388" s="38">
        <f>IF(K388=$P$13,'Rule 12'!$M$4,F388-1)</f>
        <v>-1</v>
      </c>
      <c r="C388" s="23">
        <f t="shared" si="42"/>
        <v>-1</v>
      </c>
      <c r="D388" s="21">
        <f t="shared" si="43"/>
        <v>-8.3333333333333329E-2</v>
      </c>
      <c r="E388" s="21" t="e">
        <f t="shared" si="44"/>
        <v>#N/A</v>
      </c>
      <c r="F388" s="38">
        <f>'Leave Record'!G390</f>
        <v>0</v>
      </c>
      <c r="G388" s="38">
        <f>'Leave Record'!H390</f>
        <v>0</v>
      </c>
      <c r="H388" s="23">
        <f t="shared" si="45"/>
        <v>1</v>
      </c>
      <c r="I388" s="23">
        <f t="shared" si="46"/>
        <v>0</v>
      </c>
      <c r="J388" s="21" t="e">
        <f t="shared" si="47"/>
        <v>#N/A</v>
      </c>
      <c r="K388" s="23">
        <f>'Leave Record'!I390</f>
        <v>0</v>
      </c>
    </row>
    <row r="389" spans="1:11" x14ac:dyDescent="0.25">
      <c r="A389" s="38">
        <f t="shared" si="41"/>
        <v>1</v>
      </c>
      <c r="B389" s="38">
        <f>IF(K389=$P$13,'Rule 12'!$M$4,F389-1)</f>
        <v>-1</v>
      </c>
      <c r="C389" s="23">
        <f t="shared" si="42"/>
        <v>-1</v>
      </c>
      <c r="D389" s="21">
        <f t="shared" si="43"/>
        <v>-8.3333333333333329E-2</v>
      </c>
      <c r="E389" s="21" t="e">
        <f t="shared" si="44"/>
        <v>#N/A</v>
      </c>
      <c r="F389" s="38">
        <f>'Leave Record'!G391</f>
        <v>0</v>
      </c>
      <c r="G389" s="38">
        <f>'Leave Record'!H391</f>
        <v>0</v>
      </c>
      <c r="H389" s="23">
        <f t="shared" si="45"/>
        <v>1</v>
      </c>
      <c r="I389" s="23">
        <f t="shared" si="46"/>
        <v>0</v>
      </c>
      <c r="J389" s="21" t="e">
        <f t="shared" si="47"/>
        <v>#N/A</v>
      </c>
      <c r="K389" s="23">
        <f>'Leave Record'!I391</f>
        <v>0</v>
      </c>
    </row>
    <row r="390" spans="1:11" x14ac:dyDescent="0.25">
      <c r="A390" s="38">
        <f t="shared" si="41"/>
        <v>1</v>
      </c>
      <c r="B390" s="38">
        <f>IF(K390=$P$13,'Rule 12'!$M$4,F390-1)</f>
        <v>-1</v>
      </c>
      <c r="C390" s="23">
        <f t="shared" si="42"/>
        <v>-1</v>
      </c>
      <c r="D390" s="21">
        <f t="shared" si="43"/>
        <v>-8.3333333333333329E-2</v>
      </c>
      <c r="E390" s="21" t="e">
        <f t="shared" si="44"/>
        <v>#N/A</v>
      </c>
      <c r="F390" s="38">
        <f>'Leave Record'!G392</f>
        <v>0</v>
      </c>
      <c r="G390" s="38">
        <f>'Leave Record'!H392</f>
        <v>0</v>
      </c>
      <c r="H390" s="23">
        <f t="shared" si="45"/>
        <v>1</v>
      </c>
      <c r="I390" s="23">
        <f t="shared" si="46"/>
        <v>0</v>
      </c>
      <c r="J390" s="21" t="e">
        <f t="shared" si="47"/>
        <v>#N/A</v>
      </c>
      <c r="K390" s="23">
        <f>'Leave Record'!I392</f>
        <v>0</v>
      </c>
    </row>
    <row r="391" spans="1:11" x14ac:dyDescent="0.25">
      <c r="A391" s="38">
        <f t="shared" si="41"/>
        <v>1</v>
      </c>
      <c r="B391" s="38">
        <f>IF(K391=$P$13,'Rule 12'!$M$4,F391-1)</f>
        <v>-1</v>
      </c>
      <c r="C391" s="23">
        <f t="shared" si="42"/>
        <v>-1</v>
      </c>
      <c r="D391" s="21">
        <f t="shared" si="43"/>
        <v>-8.3333333333333329E-2</v>
      </c>
      <c r="E391" s="21" t="e">
        <f t="shared" si="44"/>
        <v>#N/A</v>
      </c>
      <c r="F391" s="38">
        <f>'Leave Record'!G393</f>
        <v>0</v>
      </c>
      <c r="G391" s="38">
        <f>'Leave Record'!H393</f>
        <v>0</v>
      </c>
      <c r="H391" s="23">
        <f t="shared" si="45"/>
        <v>1</v>
      </c>
      <c r="I391" s="23">
        <f t="shared" si="46"/>
        <v>0</v>
      </c>
      <c r="J391" s="21" t="e">
        <f t="shared" si="47"/>
        <v>#N/A</v>
      </c>
      <c r="K391" s="23">
        <f>'Leave Record'!I393</f>
        <v>0</v>
      </c>
    </row>
    <row r="392" spans="1:11" x14ac:dyDescent="0.25">
      <c r="A392" s="38">
        <f t="shared" si="41"/>
        <v>1</v>
      </c>
      <c r="B392" s="38">
        <f>IF(K392=$P$13,'Rule 12'!$M$4,F392-1)</f>
        <v>-1</v>
      </c>
      <c r="C392" s="23">
        <f t="shared" si="42"/>
        <v>-1</v>
      </c>
      <c r="D392" s="21">
        <f t="shared" si="43"/>
        <v>-8.3333333333333329E-2</v>
      </c>
      <c r="E392" s="21" t="e">
        <f t="shared" si="44"/>
        <v>#N/A</v>
      </c>
      <c r="F392" s="38">
        <f>'Leave Record'!G394</f>
        <v>0</v>
      </c>
      <c r="G392" s="38">
        <f>'Leave Record'!H394</f>
        <v>0</v>
      </c>
      <c r="H392" s="23">
        <f t="shared" si="45"/>
        <v>1</v>
      </c>
      <c r="I392" s="23">
        <f t="shared" si="46"/>
        <v>0</v>
      </c>
      <c r="J392" s="21" t="e">
        <f t="shared" si="47"/>
        <v>#N/A</v>
      </c>
      <c r="K392" s="23">
        <f>'Leave Record'!I394</f>
        <v>0</v>
      </c>
    </row>
    <row r="393" spans="1:11" x14ac:dyDescent="0.25">
      <c r="A393" s="38">
        <f t="shared" ref="A393:A456" si="48">G392+1</f>
        <v>1</v>
      </c>
      <c r="B393" s="38">
        <f>IF(K393=$P$13,'Rule 12'!$M$4,F393-1)</f>
        <v>-1</v>
      </c>
      <c r="C393" s="23">
        <f t="shared" ref="C393:C456" si="49">_xlfn.DAYS(B393+1,A393)</f>
        <v>-1</v>
      </c>
      <c r="D393" s="21">
        <f t="shared" ref="D393:D456" si="50">C393/12</f>
        <v>-8.3333333333333329E-2</v>
      </c>
      <c r="E393" s="21" t="e">
        <f t="shared" ref="E393:E456" si="51">J392+D393</f>
        <v>#N/A</v>
      </c>
      <c r="F393" s="38">
        <f>'Leave Record'!G395</f>
        <v>0</v>
      </c>
      <c r="G393" s="38">
        <f>'Leave Record'!H395</f>
        <v>0</v>
      </c>
      <c r="H393" s="23">
        <f t="shared" ref="H393:H456" si="52">_xlfn.DAYS(G393+1,F393)</f>
        <v>1</v>
      </c>
      <c r="I393" s="23">
        <f t="shared" ref="I393:I456" si="53">IF(K393=$P$14,H393,0)</f>
        <v>0</v>
      </c>
      <c r="J393" s="21" t="e">
        <f t="shared" ref="J393:J456" si="54">E393-I393</f>
        <v>#N/A</v>
      </c>
      <c r="K393" s="23">
        <f>'Leave Record'!I395</f>
        <v>0</v>
      </c>
    </row>
    <row r="394" spans="1:11" x14ac:dyDescent="0.25">
      <c r="A394" s="38">
        <f t="shared" si="48"/>
        <v>1</v>
      </c>
      <c r="B394" s="38">
        <f>IF(K394=$P$13,'Rule 12'!$M$4,F394-1)</f>
        <v>-1</v>
      </c>
      <c r="C394" s="23">
        <f t="shared" si="49"/>
        <v>-1</v>
      </c>
      <c r="D394" s="21">
        <f t="shared" si="50"/>
        <v>-8.3333333333333329E-2</v>
      </c>
      <c r="E394" s="21" t="e">
        <f t="shared" si="51"/>
        <v>#N/A</v>
      </c>
      <c r="F394" s="38">
        <f>'Leave Record'!G396</f>
        <v>0</v>
      </c>
      <c r="G394" s="38">
        <f>'Leave Record'!H396</f>
        <v>0</v>
      </c>
      <c r="H394" s="23">
        <f t="shared" si="52"/>
        <v>1</v>
      </c>
      <c r="I394" s="23">
        <f t="shared" si="53"/>
        <v>0</v>
      </c>
      <c r="J394" s="21" t="e">
        <f t="shared" si="54"/>
        <v>#N/A</v>
      </c>
      <c r="K394" s="23">
        <f>'Leave Record'!I396</f>
        <v>0</v>
      </c>
    </row>
    <row r="395" spans="1:11" x14ac:dyDescent="0.25">
      <c r="A395" s="38">
        <f t="shared" si="48"/>
        <v>1</v>
      </c>
      <c r="B395" s="38">
        <f>IF(K395=$P$13,'Rule 12'!$M$4,F395-1)</f>
        <v>-1</v>
      </c>
      <c r="C395" s="23">
        <f t="shared" si="49"/>
        <v>-1</v>
      </c>
      <c r="D395" s="21">
        <f t="shared" si="50"/>
        <v>-8.3333333333333329E-2</v>
      </c>
      <c r="E395" s="21" t="e">
        <f t="shared" si="51"/>
        <v>#N/A</v>
      </c>
      <c r="F395" s="38">
        <f>'Leave Record'!G397</f>
        <v>0</v>
      </c>
      <c r="G395" s="38">
        <f>'Leave Record'!H397</f>
        <v>0</v>
      </c>
      <c r="H395" s="23">
        <f t="shared" si="52"/>
        <v>1</v>
      </c>
      <c r="I395" s="23">
        <f t="shared" si="53"/>
        <v>0</v>
      </c>
      <c r="J395" s="21" t="e">
        <f t="shared" si="54"/>
        <v>#N/A</v>
      </c>
      <c r="K395" s="23">
        <f>'Leave Record'!I397</f>
        <v>0</v>
      </c>
    </row>
    <row r="396" spans="1:11" x14ac:dyDescent="0.25">
      <c r="A396" s="38">
        <f t="shared" si="48"/>
        <v>1</v>
      </c>
      <c r="B396" s="38">
        <f>IF(K396=$P$13,'Rule 12'!$M$4,F396-1)</f>
        <v>-1</v>
      </c>
      <c r="C396" s="23">
        <f t="shared" si="49"/>
        <v>-1</v>
      </c>
      <c r="D396" s="21">
        <f t="shared" si="50"/>
        <v>-8.3333333333333329E-2</v>
      </c>
      <c r="E396" s="21" t="e">
        <f t="shared" si="51"/>
        <v>#N/A</v>
      </c>
      <c r="F396" s="38">
        <f>'Leave Record'!G398</f>
        <v>0</v>
      </c>
      <c r="G396" s="38">
        <f>'Leave Record'!H398</f>
        <v>0</v>
      </c>
      <c r="H396" s="23">
        <f t="shared" si="52"/>
        <v>1</v>
      </c>
      <c r="I396" s="23">
        <f t="shared" si="53"/>
        <v>0</v>
      </c>
      <c r="J396" s="21" t="e">
        <f t="shared" si="54"/>
        <v>#N/A</v>
      </c>
      <c r="K396" s="23">
        <f>'Leave Record'!I398</f>
        <v>0</v>
      </c>
    </row>
    <row r="397" spans="1:11" x14ac:dyDescent="0.25">
      <c r="A397" s="38">
        <f t="shared" si="48"/>
        <v>1</v>
      </c>
      <c r="B397" s="38">
        <f>IF(K397=$P$13,'Rule 12'!$M$4,F397-1)</f>
        <v>-1</v>
      </c>
      <c r="C397" s="23">
        <f t="shared" si="49"/>
        <v>-1</v>
      </c>
      <c r="D397" s="21">
        <f t="shared" si="50"/>
        <v>-8.3333333333333329E-2</v>
      </c>
      <c r="E397" s="21" t="e">
        <f t="shared" si="51"/>
        <v>#N/A</v>
      </c>
      <c r="F397" s="38">
        <f>'Leave Record'!G399</f>
        <v>0</v>
      </c>
      <c r="G397" s="38">
        <f>'Leave Record'!H399</f>
        <v>0</v>
      </c>
      <c r="H397" s="23">
        <f t="shared" si="52"/>
        <v>1</v>
      </c>
      <c r="I397" s="23">
        <f t="shared" si="53"/>
        <v>0</v>
      </c>
      <c r="J397" s="21" t="e">
        <f t="shared" si="54"/>
        <v>#N/A</v>
      </c>
      <c r="K397" s="23">
        <f>'Leave Record'!I399</f>
        <v>0</v>
      </c>
    </row>
    <row r="398" spans="1:11" x14ac:dyDescent="0.25">
      <c r="A398" s="38">
        <f t="shared" si="48"/>
        <v>1</v>
      </c>
      <c r="B398" s="38">
        <f>IF(K398=$P$13,'Rule 12'!$M$4,F398-1)</f>
        <v>-1</v>
      </c>
      <c r="C398" s="23">
        <f t="shared" si="49"/>
        <v>-1</v>
      </c>
      <c r="D398" s="21">
        <f t="shared" si="50"/>
        <v>-8.3333333333333329E-2</v>
      </c>
      <c r="E398" s="21" t="e">
        <f t="shared" si="51"/>
        <v>#N/A</v>
      </c>
      <c r="F398" s="38">
        <f>'Leave Record'!G400</f>
        <v>0</v>
      </c>
      <c r="G398" s="38">
        <f>'Leave Record'!H400</f>
        <v>0</v>
      </c>
      <c r="H398" s="23">
        <f t="shared" si="52"/>
        <v>1</v>
      </c>
      <c r="I398" s="23">
        <f t="shared" si="53"/>
        <v>0</v>
      </c>
      <c r="J398" s="21" t="e">
        <f t="shared" si="54"/>
        <v>#N/A</v>
      </c>
      <c r="K398" s="23">
        <f>'Leave Record'!I400</f>
        <v>0</v>
      </c>
    </row>
    <row r="399" spans="1:11" x14ac:dyDescent="0.25">
      <c r="A399" s="38">
        <f t="shared" si="48"/>
        <v>1</v>
      </c>
      <c r="B399" s="38">
        <f>IF(K399=$P$13,'Rule 12'!$M$4,F399-1)</f>
        <v>-1</v>
      </c>
      <c r="C399" s="23">
        <f t="shared" si="49"/>
        <v>-1</v>
      </c>
      <c r="D399" s="21">
        <f t="shared" si="50"/>
        <v>-8.3333333333333329E-2</v>
      </c>
      <c r="E399" s="21" t="e">
        <f t="shared" si="51"/>
        <v>#N/A</v>
      </c>
      <c r="F399" s="38">
        <f>'Leave Record'!G401</f>
        <v>0</v>
      </c>
      <c r="G399" s="38">
        <f>'Leave Record'!H401</f>
        <v>0</v>
      </c>
      <c r="H399" s="23">
        <f t="shared" si="52"/>
        <v>1</v>
      </c>
      <c r="I399" s="23">
        <f t="shared" si="53"/>
        <v>0</v>
      </c>
      <c r="J399" s="21" t="e">
        <f t="shared" si="54"/>
        <v>#N/A</v>
      </c>
      <c r="K399" s="23">
        <f>'Leave Record'!I401</f>
        <v>0</v>
      </c>
    </row>
    <row r="400" spans="1:11" x14ac:dyDescent="0.25">
      <c r="A400" s="38">
        <f t="shared" si="48"/>
        <v>1</v>
      </c>
      <c r="B400" s="38">
        <f>IF(K400=$P$13,'Rule 12'!$M$4,F400-1)</f>
        <v>-1</v>
      </c>
      <c r="C400" s="23">
        <f t="shared" si="49"/>
        <v>-1</v>
      </c>
      <c r="D400" s="21">
        <f t="shared" si="50"/>
        <v>-8.3333333333333329E-2</v>
      </c>
      <c r="E400" s="21" t="e">
        <f t="shared" si="51"/>
        <v>#N/A</v>
      </c>
      <c r="F400" s="38">
        <f>'Leave Record'!G402</f>
        <v>0</v>
      </c>
      <c r="G400" s="38">
        <f>'Leave Record'!H402</f>
        <v>0</v>
      </c>
      <c r="H400" s="23">
        <f t="shared" si="52"/>
        <v>1</v>
      </c>
      <c r="I400" s="23">
        <f t="shared" si="53"/>
        <v>0</v>
      </c>
      <c r="J400" s="21" t="e">
        <f t="shared" si="54"/>
        <v>#N/A</v>
      </c>
      <c r="K400" s="23">
        <f>'Leave Record'!I402</f>
        <v>0</v>
      </c>
    </row>
    <row r="401" spans="1:11" x14ac:dyDescent="0.25">
      <c r="A401" s="38">
        <f t="shared" si="48"/>
        <v>1</v>
      </c>
      <c r="B401" s="38">
        <f>IF(K401=$P$13,'Rule 12'!$M$4,F401-1)</f>
        <v>-1</v>
      </c>
      <c r="C401" s="23">
        <f t="shared" si="49"/>
        <v>-1</v>
      </c>
      <c r="D401" s="21">
        <f t="shared" si="50"/>
        <v>-8.3333333333333329E-2</v>
      </c>
      <c r="E401" s="21" t="e">
        <f t="shared" si="51"/>
        <v>#N/A</v>
      </c>
      <c r="F401" s="38">
        <f>'Leave Record'!G403</f>
        <v>0</v>
      </c>
      <c r="G401" s="38">
        <f>'Leave Record'!H403</f>
        <v>0</v>
      </c>
      <c r="H401" s="23">
        <f t="shared" si="52"/>
        <v>1</v>
      </c>
      <c r="I401" s="23">
        <f t="shared" si="53"/>
        <v>0</v>
      </c>
      <c r="J401" s="21" t="e">
        <f t="shared" si="54"/>
        <v>#N/A</v>
      </c>
      <c r="K401" s="23">
        <f>'Leave Record'!I403</f>
        <v>0</v>
      </c>
    </row>
    <row r="402" spans="1:11" x14ac:dyDescent="0.25">
      <c r="A402" s="38">
        <f t="shared" si="48"/>
        <v>1</v>
      </c>
      <c r="B402" s="38">
        <f>IF(K402=$P$13,'Rule 12'!$M$4,F402-1)</f>
        <v>-1</v>
      </c>
      <c r="C402" s="23">
        <f t="shared" si="49"/>
        <v>-1</v>
      </c>
      <c r="D402" s="21">
        <f t="shared" si="50"/>
        <v>-8.3333333333333329E-2</v>
      </c>
      <c r="E402" s="21" t="e">
        <f t="shared" si="51"/>
        <v>#N/A</v>
      </c>
      <c r="F402" s="38">
        <f>'Leave Record'!G404</f>
        <v>0</v>
      </c>
      <c r="G402" s="38">
        <f>'Leave Record'!H404</f>
        <v>0</v>
      </c>
      <c r="H402" s="23">
        <f t="shared" si="52"/>
        <v>1</v>
      </c>
      <c r="I402" s="23">
        <f t="shared" si="53"/>
        <v>0</v>
      </c>
      <c r="J402" s="21" t="e">
        <f t="shared" si="54"/>
        <v>#N/A</v>
      </c>
      <c r="K402" s="23">
        <f>'Leave Record'!I404</f>
        <v>0</v>
      </c>
    </row>
    <row r="403" spans="1:11" x14ac:dyDescent="0.25">
      <c r="A403" s="38">
        <f t="shared" si="48"/>
        <v>1</v>
      </c>
      <c r="B403" s="38">
        <f>IF(K403=$P$13,'Rule 12'!$M$4,F403-1)</f>
        <v>-1</v>
      </c>
      <c r="C403" s="23">
        <f t="shared" si="49"/>
        <v>-1</v>
      </c>
      <c r="D403" s="21">
        <f t="shared" si="50"/>
        <v>-8.3333333333333329E-2</v>
      </c>
      <c r="E403" s="21" t="e">
        <f t="shared" si="51"/>
        <v>#N/A</v>
      </c>
      <c r="F403" s="38">
        <f>'Leave Record'!G405</f>
        <v>0</v>
      </c>
      <c r="G403" s="38">
        <f>'Leave Record'!H405</f>
        <v>0</v>
      </c>
      <c r="H403" s="23">
        <f t="shared" si="52"/>
        <v>1</v>
      </c>
      <c r="I403" s="23">
        <f t="shared" si="53"/>
        <v>0</v>
      </c>
      <c r="J403" s="21" t="e">
        <f t="shared" si="54"/>
        <v>#N/A</v>
      </c>
      <c r="K403" s="23">
        <f>'Leave Record'!I405</f>
        <v>0</v>
      </c>
    </row>
    <row r="404" spans="1:11" x14ac:dyDescent="0.25">
      <c r="A404" s="38">
        <f t="shared" si="48"/>
        <v>1</v>
      </c>
      <c r="B404" s="38">
        <f>IF(K404=$P$13,'Rule 12'!$M$4,F404-1)</f>
        <v>-1</v>
      </c>
      <c r="C404" s="23">
        <f t="shared" si="49"/>
        <v>-1</v>
      </c>
      <c r="D404" s="21">
        <f t="shared" si="50"/>
        <v>-8.3333333333333329E-2</v>
      </c>
      <c r="E404" s="21" t="e">
        <f t="shared" si="51"/>
        <v>#N/A</v>
      </c>
      <c r="F404" s="38">
        <f>'Leave Record'!G406</f>
        <v>0</v>
      </c>
      <c r="G404" s="38">
        <f>'Leave Record'!H406</f>
        <v>0</v>
      </c>
      <c r="H404" s="23">
        <f t="shared" si="52"/>
        <v>1</v>
      </c>
      <c r="I404" s="23">
        <f t="shared" si="53"/>
        <v>0</v>
      </c>
      <c r="J404" s="21" t="e">
        <f t="shared" si="54"/>
        <v>#N/A</v>
      </c>
      <c r="K404" s="23">
        <f>'Leave Record'!I406</f>
        <v>0</v>
      </c>
    </row>
    <row r="405" spans="1:11" x14ac:dyDescent="0.25">
      <c r="A405" s="38">
        <f t="shared" si="48"/>
        <v>1</v>
      </c>
      <c r="B405" s="38">
        <f>IF(K405=$P$13,'Rule 12'!$M$4,F405-1)</f>
        <v>-1</v>
      </c>
      <c r="C405" s="23">
        <f t="shared" si="49"/>
        <v>-1</v>
      </c>
      <c r="D405" s="21">
        <f t="shared" si="50"/>
        <v>-8.3333333333333329E-2</v>
      </c>
      <c r="E405" s="21" t="e">
        <f t="shared" si="51"/>
        <v>#N/A</v>
      </c>
      <c r="F405" s="38">
        <f>'Leave Record'!G407</f>
        <v>0</v>
      </c>
      <c r="G405" s="38">
        <f>'Leave Record'!H407</f>
        <v>0</v>
      </c>
      <c r="H405" s="23">
        <f t="shared" si="52"/>
        <v>1</v>
      </c>
      <c r="I405" s="23">
        <f t="shared" si="53"/>
        <v>0</v>
      </c>
      <c r="J405" s="21" t="e">
        <f t="shared" si="54"/>
        <v>#N/A</v>
      </c>
      <c r="K405" s="23">
        <f>'Leave Record'!I407</f>
        <v>0</v>
      </c>
    </row>
    <row r="406" spans="1:11" x14ac:dyDescent="0.25">
      <c r="A406" s="38">
        <f t="shared" si="48"/>
        <v>1</v>
      </c>
      <c r="B406" s="38">
        <f>IF(K406=$P$13,'Rule 12'!$M$4,F406-1)</f>
        <v>-1</v>
      </c>
      <c r="C406" s="23">
        <f t="shared" si="49"/>
        <v>-1</v>
      </c>
      <c r="D406" s="21">
        <f t="shared" si="50"/>
        <v>-8.3333333333333329E-2</v>
      </c>
      <c r="E406" s="21" t="e">
        <f t="shared" si="51"/>
        <v>#N/A</v>
      </c>
      <c r="F406" s="38">
        <f>'Leave Record'!G408</f>
        <v>0</v>
      </c>
      <c r="G406" s="38">
        <f>'Leave Record'!H408</f>
        <v>0</v>
      </c>
      <c r="H406" s="23">
        <f t="shared" si="52"/>
        <v>1</v>
      </c>
      <c r="I406" s="23">
        <f t="shared" si="53"/>
        <v>0</v>
      </c>
      <c r="J406" s="21" t="e">
        <f t="shared" si="54"/>
        <v>#N/A</v>
      </c>
      <c r="K406" s="23">
        <f>'Leave Record'!I408</f>
        <v>0</v>
      </c>
    </row>
    <row r="407" spans="1:11" x14ac:dyDescent="0.25">
      <c r="A407" s="38">
        <f t="shared" si="48"/>
        <v>1</v>
      </c>
      <c r="B407" s="38">
        <f>IF(K407=$P$13,'Rule 12'!$M$4,F407-1)</f>
        <v>-1</v>
      </c>
      <c r="C407" s="23">
        <f t="shared" si="49"/>
        <v>-1</v>
      </c>
      <c r="D407" s="21">
        <f t="shared" si="50"/>
        <v>-8.3333333333333329E-2</v>
      </c>
      <c r="E407" s="21" t="e">
        <f t="shared" si="51"/>
        <v>#N/A</v>
      </c>
      <c r="F407" s="38">
        <f>'Leave Record'!G409</f>
        <v>0</v>
      </c>
      <c r="G407" s="38">
        <f>'Leave Record'!H409</f>
        <v>0</v>
      </c>
      <c r="H407" s="23">
        <f t="shared" si="52"/>
        <v>1</v>
      </c>
      <c r="I407" s="23">
        <f t="shared" si="53"/>
        <v>0</v>
      </c>
      <c r="J407" s="21" t="e">
        <f t="shared" si="54"/>
        <v>#N/A</v>
      </c>
      <c r="K407" s="23">
        <f>'Leave Record'!I409</f>
        <v>0</v>
      </c>
    </row>
    <row r="408" spans="1:11" x14ac:dyDescent="0.25">
      <c r="A408" s="38">
        <f t="shared" si="48"/>
        <v>1</v>
      </c>
      <c r="B408" s="38">
        <f>IF(K408=$P$13,'Rule 12'!$M$4,F408-1)</f>
        <v>-1</v>
      </c>
      <c r="C408" s="23">
        <f t="shared" si="49"/>
        <v>-1</v>
      </c>
      <c r="D408" s="21">
        <f t="shared" si="50"/>
        <v>-8.3333333333333329E-2</v>
      </c>
      <c r="E408" s="21" t="e">
        <f t="shared" si="51"/>
        <v>#N/A</v>
      </c>
      <c r="F408" s="38">
        <f>'Leave Record'!G410</f>
        <v>0</v>
      </c>
      <c r="G408" s="38">
        <f>'Leave Record'!H410</f>
        <v>0</v>
      </c>
      <c r="H408" s="23">
        <f t="shared" si="52"/>
        <v>1</v>
      </c>
      <c r="I408" s="23">
        <f t="shared" si="53"/>
        <v>0</v>
      </c>
      <c r="J408" s="21" t="e">
        <f t="shared" si="54"/>
        <v>#N/A</v>
      </c>
      <c r="K408" s="23">
        <f>'Leave Record'!I410</f>
        <v>0</v>
      </c>
    </row>
    <row r="409" spans="1:11" x14ac:dyDescent="0.25">
      <c r="A409" s="38">
        <f t="shared" si="48"/>
        <v>1</v>
      </c>
      <c r="B409" s="38">
        <f>IF(K409=$P$13,'Rule 12'!$M$4,F409-1)</f>
        <v>-1</v>
      </c>
      <c r="C409" s="23">
        <f t="shared" si="49"/>
        <v>-1</v>
      </c>
      <c r="D409" s="21">
        <f t="shared" si="50"/>
        <v>-8.3333333333333329E-2</v>
      </c>
      <c r="E409" s="21" t="e">
        <f t="shared" si="51"/>
        <v>#N/A</v>
      </c>
      <c r="F409" s="38">
        <f>'Leave Record'!G411</f>
        <v>0</v>
      </c>
      <c r="G409" s="38">
        <f>'Leave Record'!H411</f>
        <v>0</v>
      </c>
      <c r="H409" s="23">
        <f t="shared" si="52"/>
        <v>1</v>
      </c>
      <c r="I409" s="23">
        <f t="shared" si="53"/>
        <v>0</v>
      </c>
      <c r="J409" s="21" t="e">
        <f t="shared" si="54"/>
        <v>#N/A</v>
      </c>
      <c r="K409" s="23">
        <f>'Leave Record'!I411</f>
        <v>0</v>
      </c>
    </row>
    <row r="410" spans="1:11" x14ac:dyDescent="0.25">
      <c r="A410" s="38">
        <f t="shared" si="48"/>
        <v>1</v>
      </c>
      <c r="B410" s="38">
        <f>IF(K410=$P$13,'Rule 12'!$M$4,F410-1)</f>
        <v>-1</v>
      </c>
      <c r="C410" s="23">
        <f t="shared" si="49"/>
        <v>-1</v>
      </c>
      <c r="D410" s="21">
        <f t="shared" si="50"/>
        <v>-8.3333333333333329E-2</v>
      </c>
      <c r="E410" s="21" t="e">
        <f t="shared" si="51"/>
        <v>#N/A</v>
      </c>
      <c r="F410" s="38">
        <f>'Leave Record'!G412</f>
        <v>0</v>
      </c>
      <c r="G410" s="38">
        <f>'Leave Record'!H412</f>
        <v>0</v>
      </c>
      <c r="H410" s="23">
        <f t="shared" si="52"/>
        <v>1</v>
      </c>
      <c r="I410" s="23">
        <f t="shared" si="53"/>
        <v>0</v>
      </c>
      <c r="J410" s="21" t="e">
        <f t="shared" si="54"/>
        <v>#N/A</v>
      </c>
      <c r="K410" s="23">
        <f>'Leave Record'!I412</f>
        <v>0</v>
      </c>
    </row>
    <row r="411" spans="1:11" x14ac:dyDescent="0.25">
      <c r="A411" s="38">
        <f t="shared" si="48"/>
        <v>1</v>
      </c>
      <c r="B411" s="38">
        <f>IF(K411=$P$13,'Rule 12'!$M$4,F411-1)</f>
        <v>-1</v>
      </c>
      <c r="C411" s="23">
        <f t="shared" si="49"/>
        <v>-1</v>
      </c>
      <c r="D411" s="21">
        <f t="shared" si="50"/>
        <v>-8.3333333333333329E-2</v>
      </c>
      <c r="E411" s="21" t="e">
        <f t="shared" si="51"/>
        <v>#N/A</v>
      </c>
      <c r="F411" s="38">
        <f>'Leave Record'!G413</f>
        <v>0</v>
      </c>
      <c r="G411" s="38">
        <f>'Leave Record'!H413</f>
        <v>0</v>
      </c>
      <c r="H411" s="23">
        <f t="shared" si="52"/>
        <v>1</v>
      </c>
      <c r="I411" s="23">
        <f t="shared" si="53"/>
        <v>0</v>
      </c>
      <c r="J411" s="21" t="e">
        <f t="shared" si="54"/>
        <v>#N/A</v>
      </c>
      <c r="K411" s="23">
        <f>'Leave Record'!I413</f>
        <v>0</v>
      </c>
    </row>
    <row r="412" spans="1:11" x14ac:dyDescent="0.25">
      <c r="A412" s="38">
        <f t="shared" si="48"/>
        <v>1</v>
      </c>
      <c r="B412" s="38">
        <f>IF(K412=$P$13,'Rule 12'!$M$4,F412-1)</f>
        <v>-1</v>
      </c>
      <c r="C412" s="23">
        <f t="shared" si="49"/>
        <v>-1</v>
      </c>
      <c r="D412" s="21">
        <f t="shared" si="50"/>
        <v>-8.3333333333333329E-2</v>
      </c>
      <c r="E412" s="21" t="e">
        <f t="shared" si="51"/>
        <v>#N/A</v>
      </c>
      <c r="F412" s="38">
        <f>'Leave Record'!G414</f>
        <v>0</v>
      </c>
      <c r="G412" s="38">
        <f>'Leave Record'!H414</f>
        <v>0</v>
      </c>
      <c r="H412" s="23">
        <f t="shared" si="52"/>
        <v>1</v>
      </c>
      <c r="I412" s="23">
        <f t="shared" si="53"/>
        <v>0</v>
      </c>
      <c r="J412" s="21" t="e">
        <f t="shared" si="54"/>
        <v>#N/A</v>
      </c>
      <c r="K412" s="23">
        <f>'Leave Record'!I414</f>
        <v>0</v>
      </c>
    </row>
    <row r="413" spans="1:11" x14ac:dyDescent="0.25">
      <c r="A413" s="38">
        <f t="shared" si="48"/>
        <v>1</v>
      </c>
      <c r="B413" s="38">
        <f>IF(K413=$P$13,'Rule 12'!$M$4,F413-1)</f>
        <v>-1</v>
      </c>
      <c r="C413" s="23">
        <f t="shared" si="49"/>
        <v>-1</v>
      </c>
      <c r="D413" s="21">
        <f t="shared" si="50"/>
        <v>-8.3333333333333329E-2</v>
      </c>
      <c r="E413" s="21" t="e">
        <f t="shared" si="51"/>
        <v>#N/A</v>
      </c>
      <c r="F413" s="38">
        <f>'Leave Record'!G415</f>
        <v>0</v>
      </c>
      <c r="G413" s="38">
        <f>'Leave Record'!H415</f>
        <v>0</v>
      </c>
      <c r="H413" s="23">
        <f t="shared" si="52"/>
        <v>1</v>
      </c>
      <c r="I413" s="23">
        <f t="shared" si="53"/>
        <v>0</v>
      </c>
      <c r="J413" s="21" t="e">
        <f t="shared" si="54"/>
        <v>#N/A</v>
      </c>
      <c r="K413" s="23">
        <f>'Leave Record'!I415</f>
        <v>0</v>
      </c>
    </row>
    <row r="414" spans="1:11" x14ac:dyDescent="0.25">
      <c r="A414" s="38">
        <f t="shared" si="48"/>
        <v>1</v>
      </c>
      <c r="B414" s="38">
        <f>IF(K414=$P$13,'Rule 12'!$M$4,F414-1)</f>
        <v>-1</v>
      </c>
      <c r="C414" s="23">
        <f t="shared" si="49"/>
        <v>-1</v>
      </c>
      <c r="D414" s="21">
        <f t="shared" si="50"/>
        <v>-8.3333333333333329E-2</v>
      </c>
      <c r="E414" s="21" t="e">
        <f t="shared" si="51"/>
        <v>#N/A</v>
      </c>
      <c r="F414" s="38">
        <f>'Leave Record'!G416</f>
        <v>0</v>
      </c>
      <c r="G414" s="38">
        <f>'Leave Record'!H416</f>
        <v>0</v>
      </c>
      <c r="H414" s="23">
        <f t="shared" si="52"/>
        <v>1</v>
      </c>
      <c r="I414" s="23">
        <f t="shared" si="53"/>
        <v>0</v>
      </c>
      <c r="J414" s="21" t="e">
        <f t="shared" si="54"/>
        <v>#N/A</v>
      </c>
      <c r="K414" s="23">
        <f>'Leave Record'!I416</f>
        <v>0</v>
      </c>
    </row>
    <row r="415" spans="1:11" x14ac:dyDescent="0.25">
      <c r="A415" s="38">
        <f t="shared" si="48"/>
        <v>1</v>
      </c>
      <c r="B415" s="38">
        <f>IF(K415=$P$13,'Rule 12'!$M$4,F415-1)</f>
        <v>-1</v>
      </c>
      <c r="C415" s="23">
        <f t="shared" si="49"/>
        <v>-1</v>
      </c>
      <c r="D415" s="21">
        <f t="shared" si="50"/>
        <v>-8.3333333333333329E-2</v>
      </c>
      <c r="E415" s="21" t="e">
        <f t="shared" si="51"/>
        <v>#N/A</v>
      </c>
      <c r="F415" s="38">
        <f>'Leave Record'!G417</f>
        <v>0</v>
      </c>
      <c r="G415" s="38">
        <f>'Leave Record'!H417</f>
        <v>0</v>
      </c>
      <c r="H415" s="23">
        <f t="shared" si="52"/>
        <v>1</v>
      </c>
      <c r="I415" s="23">
        <f t="shared" si="53"/>
        <v>0</v>
      </c>
      <c r="J415" s="21" t="e">
        <f t="shared" si="54"/>
        <v>#N/A</v>
      </c>
      <c r="K415" s="23">
        <f>'Leave Record'!I417</f>
        <v>0</v>
      </c>
    </row>
    <row r="416" spans="1:11" x14ac:dyDescent="0.25">
      <c r="A416" s="38">
        <f t="shared" si="48"/>
        <v>1</v>
      </c>
      <c r="B416" s="38">
        <f>IF(K416=$P$13,'Rule 12'!$M$4,F416-1)</f>
        <v>-1</v>
      </c>
      <c r="C416" s="23">
        <f t="shared" si="49"/>
        <v>-1</v>
      </c>
      <c r="D416" s="21">
        <f t="shared" si="50"/>
        <v>-8.3333333333333329E-2</v>
      </c>
      <c r="E416" s="21" t="e">
        <f t="shared" si="51"/>
        <v>#N/A</v>
      </c>
      <c r="F416" s="38">
        <f>'Leave Record'!G418</f>
        <v>0</v>
      </c>
      <c r="G416" s="38">
        <f>'Leave Record'!H418</f>
        <v>0</v>
      </c>
      <c r="H416" s="23">
        <f t="shared" si="52"/>
        <v>1</v>
      </c>
      <c r="I416" s="23">
        <f t="shared" si="53"/>
        <v>0</v>
      </c>
      <c r="J416" s="21" t="e">
        <f t="shared" si="54"/>
        <v>#N/A</v>
      </c>
      <c r="K416" s="23">
        <f>'Leave Record'!I418</f>
        <v>0</v>
      </c>
    </row>
    <row r="417" spans="1:11" x14ac:dyDescent="0.25">
      <c r="A417" s="38">
        <f t="shared" si="48"/>
        <v>1</v>
      </c>
      <c r="B417" s="38">
        <f>IF(K417=$P$13,'Rule 12'!$M$4,F417-1)</f>
        <v>-1</v>
      </c>
      <c r="C417" s="23">
        <f t="shared" si="49"/>
        <v>-1</v>
      </c>
      <c r="D417" s="21">
        <f t="shared" si="50"/>
        <v>-8.3333333333333329E-2</v>
      </c>
      <c r="E417" s="21" t="e">
        <f t="shared" si="51"/>
        <v>#N/A</v>
      </c>
      <c r="F417" s="38">
        <f>'Leave Record'!G419</f>
        <v>0</v>
      </c>
      <c r="G417" s="38">
        <f>'Leave Record'!H419</f>
        <v>0</v>
      </c>
      <c r="H417" s="23">
        <f t="shared" si="52"/>
        <v>1</v>
      </c>
      <c r="I417" s="23">
        <f t="shared" si="53"/>
        <v>0</v>
      </c>
      <c r="J417" s="21" t="e">
        <f t="shared" si="54"/>
        <v>#N/A</v>
      </c>
      <c r="K417" s="23">
        <f>'Leave Record'!I419</f>
        <v>0</v>
      </c>
    </row>
    <row r="418" spans="1:11" x14ac:dyDescent="0.25">
      <c r="A418" s="38">
        <f t="shared" si="48"/>
        <v>1</v>
      </c>
      <c r="B418" s="38">
        <f>IF(K418=$P$13,'Rule 12'!$M$4,F418-1)</f>
        <v>-1</v>
      </c>
      <c r="C418" s="23">
        <f t="shared" si="49"/>
        <v>-1</v>
      </c>
      <c r="D418" s="21">
        <f t="shared" si="50"/>
        <v>-8.3333333333333329E-2</v>
      </c>
      <c r="E418" s="21" t="e">
        <f t="shared" si="51"/>
        <v>#N/A</v>
      </c>
      <c r="F418" s="38">
        <f>'Leave Record'!G420</f>
        <v>0</v>
      </c>
      <c r="G418" s="38">
        <f>'Leave Record'!H420</f>
        <v>0</v>
      </c>
      <c r="H418" s="23">
        <f t="shared" si="52"/>
        <v>1</v>
      </c>
      <c r="I418" s="23">
        <f t="shared" si="53"/>
        <v>0</v>
      </c>
      <c r="J418" s="21" t="e">
        <f t="shared" si="54"/>
        <v>#N/A</v>
      </c>
      <c r="K418" s="23">
        <f>'Leave Record'!I420</f>
        <v>0</v>
      </c>
    </row>
    <row r="419" spans="1:11" x14ac:dyDescent="0.25">
      <c r="A419" s="38">
        <f t="shared" si="48"/>
        <v>1</v>
      </c>
      <c r="B419" s="38">
        <f>IF(K419=$P$13,'Rule 12'!$M$4,F419-1)</f>
        <v>-1</v>
      </c>
      <c r="C419" s="23">
        <f t="shared" si="49"/>
        <v>-1</v>
      </c>
      <c r="D419" s="21">
        <f t="shared" si="50"/>
        <v>-8.3333333333333329E-2</v>
      </c>
      <c r="E419" s="21" t="e">
        <f t="shared" si="51"/>
        <v>#N/A</v>
      </c>
      <c r="F419" s="38">
        <f>'Leave Record'!G421</f>
        <v>0</v>
      </c>
      <c r="G419" s="38">
        <f>'Leave Record'!H421</f>
        <v>0</v>
      </c>
      <c r="H419" s="23">
        <f t="shared" si="52"/>
        <v>1</v>
      </c>
      <c r="I419" s="23">
        <f t="shared" si="53"/>
        <v>0</v>
      </c>
      <c r="J419" s="21" t="e">
        <f t="shared" si="54"/>
        <v>#N/A</v>
      </c>
      <c r="K419" s="23">
        <f>'Leave Record'!I421</f>
        <v>0</v>
      </c>
    </row>
    <row r="420" spans="1:11" x14ac:dyDescent="0.25">
      <c r="A420" s="38">
        <f t="shared" si="48"/>
        <v>1</v>
      </c>
      <c r="B420" s="38">
        <f>IF(K420=$P$13,'Rule 12'!$M$4,F420-1)</f>
        <v>-1</v>
      </c>
      <c r="C420" s="23">
        <f t="shared" si="49"/>
        <v>-1</v>
      </c>
      <c r="D420" s="21">
        <f t="shared" si="50"/>
        <v>-8.3333333333333329E-2</v>
      </c>
      <c r="E420" s="21" t="e">
        <f t="shared" si="51"/>
        <v>#N/A</v>
      </c>
      <c r="F420" s="38">
        <f>'Leave Record'!G422</f>
        <v>0</v>
      </c>
      <c r="G420" s="38">
        <f>'Leave Record'!H422</f>
        <v>0</v>
      </c>
      <c r="H420" s="23">
        <f t="shared" si="52"/>
        <v>1</v>
      </c>
      <c r="I420" s="23">
        <f t="shared" si="53"/>
        <v>0</v>
      </c>
      <c r="J420" s="21" t="e">
        <f t="shared" si="54"/>
        <v>#N/A</v>
      </c>
      <c r="K420" s="23">
        <f>'Leave Record'!I422</f>
        <v>0</v>
      </c>
    </row>
    <row r="421" spans="1:11" x14ac:dyDescent="0.25">
      <c r="A421" s="38">
        <f t="shared" si="48"/>
        <v>1</v>
      </c>
      <c r="B421" s="38">
        <f>IF(K421=$P$13,'Rule 12'!$M$4,F421-1)</f>
        <v>-1</v>
      </c>
      <c r="C421" s="23">
        <f t="shared" si="49"/>
        <v>-1</v>
      </c>
      <c r="D421" s="21">
        <f t="shared" si="50"/>
        <v>-8.3333333333333329E-2</v>
      </c>
      <c r="E421" s="21" t="e">
        <f t="shared" si="51"/>
        <v>#N/A</v>
      </c>
      <c r="F421" s="38">
        <f>'Leave Record'!G423</f>
        <v>0</v>
      </c>
      <c r="G421" s="38">
        <f>'Leave Record'!H423</f>
        <v>0</v>
      </c>
      <c r="H421" s="23">
        <f t="shared" si="52"/>
        <v>1</v>
      </c>
      <c r="I421" s="23">
        <f t="shared" si="53"/>
        <v>0</v>
      </c>
      <c r="J421" s="21" t="e">
        <f t="shared" si="54"/>
        <v>#N/A</v>
      </c>
      <c r="K421" s="23">
        <f>'Leave Record'!I423</f>
        <v>0</v>
      </c>
    </row>
    <row r="422" spans="1:11" x14ac:dyDescent="0.25">
      <c r="A422" s="38">
        <f t="shared" si="48"/>
        <v>1</v>
      </c>
      <c r="B422" s="38">
        <f>IF(K422=$P$13,'Rule 12'!$M$4,F422-1)</f>
        <v>-1</v>
      </c>
      <c r="C422" s="23">
        <f t="shared" si="49"/>
        <v>-1</v>
      </c>
      <c r="D422" s="21">
        <f t="shared" si="50"/>
        <v>-8.3333333333333329E-2</v>
      </c>
      <c r="E422" s="21" t="e">
        <f t="shared" si="51"/>
        <v>#N/A</v>
      </c>
      <c r="F422" s="38">
        <f>'Leave Record'!G424</f>
        <v>0</v>
      </c>
      <c r="G422" s="38">
        <f>'Leave Record'!H424</f>
        <v>0</v>
      </c>
      <c r="H422" s="23">
        <f t="shared" si="52"/>
        <v>1</v>
      </c>
      <c r="I422" s="23">
        <f t="shared" si="53"/>
        <v>0</v>
      </c>
      <c r="J422" s="21" t="e">
        <f t="shared" si="54"/>
        <v>#N/A</v>
      </c>
      <c r="K422" s="23">
        <f>'Leave Record'!I424</f>
        <v>0</v>
      </c>
    </row>
    <row r="423" spans="1:11" x14ac:dyDescent="0.25">
      <c r="A423" s="38">
        <f t="shared" si="48"/>
        <v>1</v>
      </c>
      <c r="B423" s="38">
        <f>IF(K423=$P$13,'Rule 12'!$M$4,F423-1)</f>
        <v>-1</v>
      </c>
      <c r="C423" s="23">
        <f t="shared" si="49"/>
        <v>-1</v>
      </c>
      <c r="D423" s="21">
        <f t="shared" si="50"/>
        <v>-8.3333333333333329E-2</v>
      </c>
      <c r="E423" s="21" t="e">
        <f t="shared" si="51"/>
        <v>#N/A</v>
      </c>
      <c r="F423" s="38">
        <f>'Leave Record'!G425</f>
        <v>0</v>
      </c>
      <c r="G423" s="38">
        <f>'Leave Record'!H425</f>
        <v>0</v>
      </c>
      <c r="H423" s="23">
        <f t="shared" si="52"/>
        <v>1</v>
      </c>
      <c r="I423" s="23">
        <f t="shared" si="53"/>
        <v>0</v>
      </c>
      <c r="J423" s="21" t="e">
        <f t="shared" si="54"/>
        <v>#N/A</v>
      </c>
      <c r="K423" s="23">
        <f>'Leave Record'!I425</f>
        <v>0</v>
      </c>
    </row>
    <row r="424" spans="1:11" x14ac:dyDescent="0.25">
      <c r="A424" s="38">
        <f t="shared" si="48"/>
        <v>1</v>
      </c>
      <c r="B424" s="38">
        <f>IF(K424=$P$13,'Rule 12'!$M$4,F424-1)</f>
        <v>-1</v>
      </c>
      <c r="C424" s="23">
        <f t="shared" si="49"/>
        <v>-1</v>
      </c>
      <c r="D424" s="21">
        <f t="shared" si="50"/>
        <v>-8.3333333333333329E-2</v>
      </c>
      <c r="E424" s="21" t="e">
        <f t="shared" si="51"/>
        <v>#N/A</v>
      </c>
      <c r="F424" s="38">
        <f>'Leave Record'!G426</f>
        <v>0</v>
      </c>
      <c r="G424" s="38">
        <f>'Leave Record'!H426</f>
        <v>0</v>
      </c>
      <c r="H424" s="23">
        <f t="shared" si="52"/>
        <v>1</v>
      </c>
      <c r="I424" s="23">
        <f t="shared" si="53"/>
        <v>0</v>
      </c>
      <c r="J424" s="21" t="e">
        <f t="shared" si="54"/>
        <v>#N/A</v>
      </c>
      <c r="K424" s="23">
        <f>'Leave Record'!I426</f>
        <v>0</v>
      </c>
    </row>
    <row r="425" spans="1:11" x14ac:dyDescent="0.25">
      <c r="A425" s="38">
        <f t="shared" si="48"/>
        <v>1</v>
      </c>
      <c r="B425" s="38">
        <f>IF(K425=$P$13,'Rule 12'!$M$4,F425-1)</f>
        <v>-1</v>
      </c>
      <c r="C425" s="23">
        <f t="shared" si="49"/>
        <v>-1</v>
      </c>
      <c r="D425" s="21">
        <f t="shared" si="50"/>
        <v>-8.3333333333333329E-2</v>
      </c>
      <c r="E425" s="21" t="e">
        <f t="shared" si="51"/>
        <v>#N/A</v>
      </c>
      <c r="F425" s="38">
        <f>'Leave Record'!G427</f>
        <v>0</v>
      </c>
      <c r="G425" s="38">
        <f>'Leave Record'!H427</f>
        <v>0</v>
      </c>
      <c r="H425" s="23">
        <f t="shared" si="52"/>
        <v>1</v>
      </c>
      <c r="I425" s="23">
        <f t="shared" si="53"/>
        <v>0</v>
      </c>
      <c r="J425" s="21" t="e">
        <f t="shared" si="54"/>
        <v>#N/A</v>
      </c>
      <c r="K425" s="23">
        <f>'Leave Record'!I427</f>
        <v>0</v>
      </c>
    </row>
    <row r="426" spans="1:11" x14ac:dyDescent="0.25">
      <c r="A426" s="38">
        <f t="shared" si="48"/>
        <v>1</v>
      </c>
      <c r="B426" s="38">
        <f>IF(K426=$P$13,'Rule 12'!$M$4,F426-1)</f>
        <v>-1</v>
      </c>
      <c r="C426" s="23">
        <f t="shared" si="49"/>
        <v>-1</v>
      </c>
      <c r="D426" s="21">
        <f t="shared" si="50"/>
        <v>-8.3333333333333329E-2</v>
      </c>
      <c r="E426" s="21" t="e">
        <f t="shared" si="51"/>
        <v>#N/A</v>
      </c>
      <c r="F426" s="38">
        <f>'Leave Record'!G428</f>
        <v>0</v>
      </c>
      <c r="G426" s="38">
        <f>'Leave Record'!H428</f>
        <v>0</v>
      </c>
      <c r="H426" s="23">
        <f t="shared" si="52"/>
        <v>1</v>
      </c>
      <c r="I426" s="23">
        <f t="shared" si="53"/>
        <v>0</v>
      </c>
      <c r="J426" s="21" t="e">
        <f t="shared" si="54"/>
        <v>#N/A</v>
      </c>
      <c r="K426" s="23">
        <f>'Leave Record'!I428</f>
        <v>0</v>
      </c>
    </row>
    <row r="427" spans="1:11" x14ac:dyDescent="0.25">
      <c r="A427" s="38">
        <f t="shared" si="48"/>
        <v>1</v>
      </c>
      <c r="B427" s="38">
        <f>IF(K427=$P$13,'Rule 12'!$M$4,F427-1)</f>
        <v>-1</v>
      </c>
      <c r="C427" s="23">
        <f t="shared" si="49"/>
        <v>-1</v>
      </c>
      <c r="D427" s="21">
        <f t="shared" si="50"/>
        <v>-8.3333333333333329E-2</v>
      </c>
      <c r="E427" s="21" t="e">
        <f t="shared" si="51"/>
        <v>#N/A</v>
      </c>
      <c r="F427" s="38">
        <f>'Leave Record'!G429</f>
        <v>0</v>
      </c>
      <c r="G427" s="38">
        <f>'Leave Record'!H429</f>
        <v>0</v>
      </c>
      <c r="H427" s="23">
        <f t="shared" si="52"/>
        <v>1</v>
      </c>
      <c r="I427" s="23">
        <f t="shared" si="53"/>
        <v>0</v>
      </c>
      <c r="J427" s="21" t="e">
        <f t="shared" si="54"/>
        <v>#N/A</v>
      </c>
      <c r="K427" s="23">
        <f>'Leave Record'!I429</f>
        <v>0</v>
      </c>
    </row>
    <row r="428" spans="1:11" x14ac:dyDescent="0.25">
      <c r="A428" s="38">
        <f t="shared" si="48"/>
        <v>1</v>
      </c>
      <c r="B428" s="38">
        <f>IF(K428=$P$13,'Rule 12'!$M$4,F428-1)</f>
        <v>-1</v>
      </c>
      <c r="C428" s="23">
        <f t="shared" si="49"/>
        <v>-1</v>
      </c>
      <c r="D428" s="21">
        <f t="shared" si="50"/>
        <v>-8.3333333333333329E-2</v>
      </c>
      <c r="E428" s="21" t="e">
        <f t="shared" si="51"/>
        <v>#N/A</v>
      </c>
      <c r="F428" s="38">
        <f>'Leave Record'!G430</f>
        <v>0</v>
      </c>
      <c r="G428" s="38">
        <f>'Leave Record'!H430</f>
        <v>0</v>
      </c>
      <c r="H428" s="23">
        <f t="shared" si="52"/>
        <v>1</v>
      </c>
      <c r="I428" s="23">
        <f t="shared" si="53"/>
        <v>0</v>
      </c>
      <c r="J428" s="21" t="e">
        <f t="shared" si="54"/>
        <v>#N/A</v>
      </c>
      <c r="K428" s="23">
        <f>'Leave Record'!I430</f>
        <v>0</v>
      </c>
    </row>
    <row r="429" spans="1:11" x14ac:dyDescent="0.25">
      <c r="A429" s="38">
        <f t="shared" si="48"/>
        <v>1</v>
      </c>
      <c r="B429" s="38">
        <f>IF(K429=$P$13,'Rule 12'!$M$4,F429-1)</f>
        <v>-1</v>
      </c>
      <c r="C429" s="23">
        <f t="shared" si="49"/>
        <v>-1</v>
      </c>
      <c r="D429" s="21">
        <f t="shared" si="50"/>
        <v>-8.3333333333333329E-2</v>
      </c>
      <c r="E429" s="21" t="e">
        <f t="shared" si="51"/>
        <v>#N/A</v>
      </c>
      <c r="F429" s="38">
        <f>'Leave Record'!G431</f>
        <v>0</v>
      </c>
      <c r="G429" s="38">
        <f>'Leave Record'!H431</f>
        <v>0</v>
      </c>
      <c r="H429" s="23">
        <f t="shared" si="52"/>
        <v>1</v>
      </c>
      <c r="I429" s="23">
        <f t="shared" si="53"/>
        <v>0</v>
      </c>
      <c r="J429" s="21" t="e">
        <f t="shared" si="54"/>
        <v>#N/A</v>
      </c>
      <c r="K429" s="23">
        <f>'Leave Record'!I431</f>
        <v>0</v>
      </c>
    </row>
    <row r="430" spans="1:11" x14ac:dyDescent="0.25">
      <c r="A430" s="38">
        <f t="shared" si="48"/>
        <v>1</v>
      </c>
      <c r="B430" s="38">
        <f>IF(K430=$P$13,'Rule 12'!$M$4,F430-1)</f>
        <v>-1</v>
      </c>
      <c r="C430" s="23">
        <f t="shared" si="49"/>
        <v>-1</v>
      </c>
      <c r="D430" s="21">
        <f t="shared" si="50"/>
        <v>-8.3333333333333329E-2</v>
      </c>
      <c r="E430" s="21" t="e">
        <f t="shared" si="51"/>
        <v>#N/A</v>
      </c>
      <c r="F430" s="38">
        <f>'Leave Record'!G432</f>
        <v>0</v>
      </c>
      <c r="G430" s="38">
        <f>'Leave Record'!H432</f>
        <v>0</v>
      </c>
      <c r="H430" s="23">
        <f t="shared" si="52"/>
        <v>1</v>
      </c>
      <c r="I430" s="23">
        <f t="shared" si="53"/>
        <v>0</v>
      </c>
      <c r="J430" s="21" t="e">
        <f t="shared" si="54"/>
        <v>#N/A</v>
      </c>
      <c r="K430" s="23">
        <f>'Leave Record'!I432</f>
        <v>0</v>
      </c>
    </row>
    <row r="431" spans="1:11" x14ac:dyDescent="0.25">
      <c r="A431" s="38">
        <f t="shared" si="48"/>
        <v>1</v>
      </c>
      <c r="B431" s="38">
        <f>IF(K431=$P$13,'Rule 12'!$M$4,F431-1)</f>
        <v>-1</v>
      </c>
      <c r="C431" s="23">
        <f t="shared" si="49"/>
        <v>-1</v>
      </c>
      <c r="D431" s="21">
        <f t="shared" si="50"/>
        <v>-8.3333333333333329E-2</v>
      </c>
      <c r="E431" s="21" t="e">
        <f t="shared" si="51"/>
        <v>#N/A</v>
      </c>
      <c r="F431" s="38">
        <f>'Leave Record'!G433</f>
        <v>0</v>
      </c>
      <c r="G431" s="38">
        <f>'Leave Record'!H433</f>
        <v>0</v>
      </c>
      <c r="H431" s="23">
        <f t="shared" si="52"/>
        <v>1</v>
      </c>
      <c r="I431" s="23">
        <f t="shared" si="53"/>
        <v>0</v>
      </c>
      <c r="J431" s="21" t="e">
        <f t="shared" si="54"/>
        <v>#N/A</v>
      </c>
      <c r="K431" s="23">
        <f>'Leave Record'!I433</f>
        <v>0</v>
      </c>
    </row>
    <row r="432" spans="1:11" x14ac:dyDescent="0.25">
      <c r="A432" s="38">
        <f t="shared" si="48"/>
        <v>1</v>
      </c>
      <c r="B432" s="38">
        <f>IF(K432=$P$13,'Rule 12'!$M$4,F432-1)</f>
        <v>-1</v>
      </c>
      <c r="C432" s="23">
        <f t="shared" si="49"/>
        <v>-1</v>
      </c>
      <c r="D432" s="21">
        <f t="shared" si="50"/>
        <v>-8.3333333333333329E-2</v>
      </c>
      <c r="E432" s="21" t="e">
        <f t="shared" si="51"/>
        <v>#N/A</v>
      </c>
      <c r="F432" s="38">
        <f>'Leave Record'!G434</f>
        <v>0</v>
      </c>
      <c r="G432" s="38">
        <f>'Leave Record'!H434</f>
        <v>0</v>
      </c>
      <c r="H432" s="23">
        <f t="shared" si="52"/>
        <v>1</v>
      </c>
      <c r="I432" s="23">
        <f t="shared" si="53"/>
        <v>0</v>
      </c>
      <c r="J432" s="21" t="e">
        <f t="shared" si="54"/>
        <v>#N/A</v>
      </c>
      <c r="K432" s="23">
        <f>'Leave Record'!I434</f>
        <v>0</v>
      </c>
    </row>
    <row r="433" spans="1:11" x14ac:dyDescent="0.25">
      <c r="A433" s="38">
        <f t="shared" si="48"/>
        <v>1</v>
      </c>
      <c r="B433" s="38">
        <f>IF(K433=$P$13,'Rule 12'!$M$4,F433-1)</f>
        <v>-1</v>
      </c>
      <c r="C433" s="23">
        <f t="shared" si="49"/>
        <v>-1</v>
      </c>
      <c r="D433" s="21">
        <f t="shared" si="50"/>
        <v>-8.3333333333333329E-2</v>
      </c>
      <c r="E433" s="21" t="e">
        <f t="shared" si="51"/>
        <v>#N/A</v>
      </c>
      <c r="F433" s="38">
        <f>'Leave Record'!G435</f>
        <v>0</v>
      </c>
      <c r="G433" s="38">
        <f>'Leave Record'!H435</f>
        <v>0</v>
      </c>
      <c r="H433" s="23">
        <f t="shared" si="52"/>
        <v>1</v>
      </c>
      <c r="I433" s="23">
        <f t="shared" si="53"/>
        <v>0</v>
      </c>
      <c r="J433" s="21" t="e">
        <f t="shared" si="54"/>
        <v>#N/A</v>
      </c>
      <c r="K433" s="23">
        <f>'Leave Record'!I435</f>
        <v>0</v>
      </c>
    </row>
    <row r="434" spans="1:11" x14ac:dyDescent="0.25">
      <c r="A434" s="38">
        <f t="shared" si="48"/>
        <v>1</v>
      </c>
      <c r="B434" s="38">
        <f>IF(K434=$P$13,'Rule 12'!$M$4,F434-1)</f>
        <v>-1</v>
      </c>
      <c r="C434" s="23">
        <f t="shared" si="49"/>
        <v>-1</v>
      </c>
      <c r="D434" s="21">
        <f t="shared" si="50"/>
        <v>-8.3333333333333329E-2</v>
      </c>
      <c r="E434" s="21" t="e">
        <f t="shared" si="51"/>
        <v>#N/A</v>
      </c>
      <c r="F434" s="38">
        <f>'Leave Record'!G436</f>
        <v>0</v>
      </c>
      <c r="G434" s="38">
        <f>'Leave Record'!H436</f>
        <v>0</v>
      </c>
      <c r="H434" s="23">
        <f t="shared" si="52"/>
        <v>1</v>
      </c>
      <c r="I434" s="23">
        <f t="shared" si="53"/>
        <v>0</v>
      </c>
      <c r="J434" s="21" t="e">
        <f t="shared" si="54"/>
        <v>#N/A</v>
      </c>
      <c r="K434" s="23">
        <f>'Leave Record'!I436</f>
        <v>0</v>
      </c>
    </row>
    <row r="435" spans="1:11" x14ac:dyDescent="0.25">
      <c r="A435" s="38">
        <f t="shared" si="48"/>
        <v>1</v>
      </c>
      <c r="B435" s="38">
        <f>IF(K435=$P$13,'Rule 12'!$M$4,F435-1)</f>
        <v>-1</v>
      </c>
      <c r="C435" s="23">
        <f t="shared" si="49"/>
        <v>-1</v>
      </c>
      <c r="D435" s="21">
        <f t="shared" si="50"/>
        <v>-8.3333333333333329E-2</v>
      </c>
      <c r="E435" s="21" t="e">
        <f t="shared" si="51"/>
        <v>#N/A</v>
      </c>
      <c r="F435" s="38">
        <f>'Leave Record'!G437</f>
        <v>0</v>
      </c>
      <c r="G435" s="38">
        <f>'Leave Record'!H437</f>
        <v>0</v>
      </c>
      <c r="H435" s="23">
        <f t="shared" si="52"/>
        <v>1</v>
      </c>
      <c r="I435" s="23">
        <f t="shared" si="53"/>
        <v>0</v>
      </c>
      <c r="J435" s="21" t="e">
        <f t="shared" si="54"/>
        <v>#N/A</v>
      </c>
      <c r="K435" s="23">
        <f>'Leave Record'!I437</f>
        <v>0</v>
      </c>
    </row>
    <row r="436" spans="1:11" x14ac:dyDescent="0.25">
      <c r="A436" s="38">
        <f t="shared" si="48"/>
        <v>1</v>
      </c>
      <c r="B436" s="38">
        <f>IF(K436=$P$13,'Rule 12'!$M$4,F436-1)</f>
        <v>-1</v>
      </c>
      <c r="C436" s="23">
        <f t="shared" si="49"/>
        <v>-1</v>
      </c>
      <c r="D436" s="21">
        <f t="shared" si="50"/>
        <v>-8.3333333333333329E-2</v>
      </c>
      <c r="E436" s="21" t="e">
        <f t="shared" si="51"/>
        <v>#N/A</v>
      </c>
      <c r="F436" s="38">
        <f>'Leave Record'!G438</f>
        <v>0</v>
      </c>
      <c r="G436" s="38">
        <f>'Leave Record'!H438</f>
        <v>0</v>
      </c>
      <c r="H436" s="23">
        <f t="shared" si="52"/>
        <v>1</v>
      </c>
      <c r="I436" s="23">
        <f t="shared" si="53"/>
        <v>0</v>
      </c>
      <c r="J436" s="21" t="e">
        <f t="shared" si="54"/>
        <v>#N/A</v>
      </c>
      <c r="K436" s="23">
        <f>'Leave Record'!I438</f>
        <v>0</v>
      </c>
    </row>
    <row r="437" spans="1:11" x14ac:dyDescent="0.25">
      <c r="A437" s="38">
        <f t="shared" si="48"/>
        <v>1</v>
      </c>
      <c r="B437" s="38">
        <f>IF(K437=$P$13,'Rule 12'!$M$4,F437-1)</f>
        <v>-1</v>
      </c>
      <c r="C437" s="23">
        <f t="shared" si="49"/>
        <v>-1</v>
      </c>
      <c r="D437" s="21">
        <f t="shared" si="50"/>
        <v>-8.3333333333333329E-2</v>
      </c>
      <c r="E437" s="21" t="e">
        <f t="shared" si="51"/>
        <v>#N/A</v>
      </c>
      <c r="F437" s="38">
        <f>'Leave Record'!G439</f>
        <v>0</v>
      </c>
      <c r="G437" s="38">
        <f>'Leave Record'!H439</f>
        <v>0</v>
      </c>
      <c r="H437" s="23">
        <f t="shared" si="52"/>
        <v>1</v>
      </c>
      <c r="I437" s="23">
        <f t="shared" si="53"/>
        <v>0</v>
      </c>
      <c r="J437" s="21" t="e">
        <f t="shared" si="54"/>
        <v>#N/A</v>
      </c>
      <c r="K437" s="23">
        <f>'Leave Record'!I439</f>
        <v>0</v>
      </c>
    </row>
    <row r="438" spans="1:11" x14ac:dyDescent="0.25">
      <c r="A438" s="38">
        <f t="shared" si="48"/>
        <v>1</v>
      </c>
      <c r="B438" s="38">
        <f>IF(K438=$P$13,'Rule 12'!$M$4,F438-1)</f>
        <v>-1</v>
      </c>
      <c r="C438" s="23">
        <f t="shared" si="49"/>
        <v>-1</v>
      </c>
      <c r="D438" s="21">
        <f t="shared" si="50"/>
        <v>-8.3333333333333329E-2</v>
      </c>
      <c r="E438" s="21" t="e">
        <f t="shared" si="51"/>
        <v>#N/A</v>
      </c>
      <c r="F438" s="38">
        <f>'Leave Record'!G440</f>
        <v>0</v>
      </c>
      <c r="G438" s="38">
        <f>'Leave Record'!H440</f>
        <v>0</v>
      </c>
      <c r="H438" s="23">
        <f t="shared" si="52"/>
        <v>1</v>
      </c>
      <c r="I438" s="23">
        <f t="shared" si="53"/>
        <v>0</v>
      </c>
      <c r="J438" s="21" t="e">
        <f t="shared" si="54"/>
        <v>#N/A</v>
      </c>
      <c r="K438" s="23">
        <f>'Leave Record'!I440</f>
        <v>0</v>
      </c>
    </row>
    <row r="439" spans="1:11" x14ac:dyDescent="0.25">
      <c r="A439" s="38">
        <f t="shared" si="48"/>
        <v>1</v>
      </c>
      <c r="B439" s="38">
        <f>IF(K439=$P$13,'Rule 12'!$M$4,F439-1)</f>
        <v>-1</v>
      </c>
      <c r="C439" s="23">
        <f t="shared" si="49"/>
        <v>-1</v>
      </c>
      <c r="D439" s="21">
        <f t="shared" si="50"/>
        <v>-8.3333333333333329E-2</v>
      </c>
      <c r="E439" s="21" t="e">
        <f t="shared" si="51"/>
        <v>#N/A</v>
      </c>
      <c r="F439" s="38">
        <f>'Leave Record'!G441</f>
        <v>0</v>
      </c>
      <c r="G439" s="38">
        <f>'Leave Record'!H441</f>
        <v>0</v>
      </c>
      <c r="H439" s="23">
        <f t="shared" si="52"/>
        <v>1</v>
      </c>
      <c r="I439" s="23">
        <f t="shared" si="53"/>
        <v>0</v>
      </c>
      <c r="J439" s="21" t="e">
        <f t="shared" si="54"/>
        <v>#N/A</v>
      </c>
      <c r="K439" s="23">
        <f>'Leave Record'!I441</f>
        <v>0</v>
      </c>
    </row>
    <row r="440" spans="1:11" x14ac:dyDescent="0.25">
      <c r="A440" s="38">
        <f t="shared" si="48"/>
        <v>1</v>
      </c>
      <c r="B440" s="38">
        <f>IF(K440=$P$13,'Rule 12'!$M$4,F440-1)</f>
        <v>-1</v>
      </c>
      <c r="C440" s="23">
        <f t="shared" si="49"/>
        <v>-1</v>
      </c>
      <c r="D440" s="21">
        <f t="shared" si="50"/>
        <v>-8.3333333333333329E-2</v>
      </c>
      <c r="E440" s="21" t="e">
        <f t="shared" si="51"/>
        <v>#N/A</v>
      </c>
      <c r="F440" s="38">
        <f>'Leave Record'!G442</f>
        <v>0</v>
      </c>
      <c r="G440" s="38">
        <f>'Leave Record'!H442</f>
        <v>0</v>
      </c>
      <c r="H440" s="23">
        <f t="shared" si="52"/>
        <v>1</v>
      </c>
      <c r="I440" s="23">
        <f t="shared" si="53"/>
        <v>0</v>
      </c>
      <c r="J440" s="21" t="e">
        <f t="shared" si="54"/>
        <v>#N/A</v>
      </c>
      <c r="K440" s="23">
        <f>'Leave Record'!I442</f>
        <v>0</v>
      </c>
    </row>
    <row r="441" spans="1:11" x14ac:dyDescent="0.25">
      <c r="A441" s="38">
        <f t="shared" si="48"/>
        <v>1</v>
      </c>
      <c r="B441" s="38">
        <f>IF(K441=$P$13,'Rule 12'!$M$4,F441-1)</f>
        <v>-1</v>
      </c>
      <c r="C441" s="23">
        <f t="shared" si="49"/>
        <v>-1</v>
      </c>
      <c r="D441" s="21">
        <f t="shared" si="50"/>
        <v>-8.3333333333333329E-2</v>
      </c>
      <c r="E441" s="21" t="e">
        <f t="shared" si="51"/>
        <v>#N/A</v>
      </c>
      <c r="F441" s="38">
        <f>'Leave Record'!G443</f>
        <v>0</v>
      </c>
      <c r="G441" s="38">
        <f>'Leave Record'!H443</f>
        <v>0</v>
      </c>
      <c r="H441" s="23">
        <f t="shared" si="52"/>
        <v>1</v>
      </c>
      <c r="I441" s="23">
        <f t="shared" si="53"/>
        <v>0</v>
      </c>
      <c r="J441" s="21" t="e">
        <f t="shared" si="54"/>
        <v>#N/A</v>
      </c>
      <c r="K441" s="23">
        <f>'Leave Record'!I443</f>
        <v>0</v>
      </c>
    </row>
    <row r="442" spans="1:11" x14ac:dyDescent="0.25">
      <c r="A442" s="38">
        <f t="shared" si="48"/>
        <v>1</v>
      </c>
      <c r="B442" s="38">
        <f>IF(K442=$P$13,'Rule 12'!$M$4,F442-1)</f>
        <v>-1</v>
      </c>
      <c r="C442" s="23">
        <f t="shared" si="49"/>
        <v>-1</v>
      </c>
      <c r="D442" s="21">
        <f t="shared" si="50"/>
        <v>-8.3333333333333329E-2</v>
      </c>
      <c r="E442" s="21" t="e">
        <f t="shared" si="51"/>
        <v>#N/A</v>
      </c>
      <c r="F442" s="38">
        <f>'Leave Record'!G444</f>
        <v>0</v>
      </c>
      <c r="G442" s="38">
        <f>'Leave Record'!H444</f>
        <v>0</v>
      </c>
      <c r="H442" s="23">
        <f t="shared" si="52"/>
        <v>1</v>
      </c>
      <c r="I442" s="23">
        <f t="shared" si="53"/>
        <v>0</v>
      </c>
      <c r="J442" s="21" t="e">
        <f t="shared" si="54"/>
        <v>#N/A</v>
      </c>
      <c r="K442" s="23">
        <f>'Leave Record'!I444</f>
        <v>0</v>
      </c>
    </row>
    <row r="443" spans="1:11" x14ac:dyDescent="0.25">
      <c r="A443" s="38">
        <f t="shared" si="48"/>
        <v>1</v>
      </c>
      <c r="B443" s="38">
        <f>IF(K443=$P$13,'Rule 12'!$M$4,F443-1)</f>
        <v>-1</v>
      </c>
      <c r="C443" s="23">
        <f t="shared" si="49"/>
        <v>-1</v>
      </c>
      <c r="D443" s="21">
        <f t="shared" si="50"/>
        <v>-8.3333333333333329E-2</v>
      </c>
      <c r="E443" s="21" t="e">
        <f t="shared" si="51"/>
        <v>#N/A</v>
      </c>
      <c r="F443" s="38">
        <f>'Leave Record'!G445</f>
        <v>0</v>
      </c>
      <c r="G443" s="38">
        <f>'Leave Record'!H445</f>
        <v>0</v>
      </c>
      <c r="H443" s="23">
        <f t="shared" si="52"/>
        <v>1</v>
      </c>
      <c r="I443" s="23">
        <f t="shared" si="53"/>
        <v>0</v>
      </c>
      <c r="J443" s="21" t="e">
        <f t="shared" si="54"/>
        <v>#N/A</v>
      </c>
      <c r="K443" s="23">
        <f>'Leave Record'!I445</f>
        <v>0</v>
      </c>
    </row>
    <row r="444" spans="1:11" x14ac:dyDescent="0.25">
      <c r="A444" s="38">
        <f t="shared" si="48"/>
        <v>1</v>
      </c>
      <c r="B444" s="38">
        <f>IF(K444=$P$13,'Rule 12'!$M$4,F444-1)</f>
        <v>-1</v>
      </c>
      <c r="C444" s="23">
        <f t="shared" si="49"/>
        <v>-1</v>
      </c>
      <c r="D444" s="21">
        <f t="shared" si="50"/>
        <v>-8.3333333333333329E-2</v>
      </c>
      <c r="E444" s="21" t="e">
        <f t="shared" si="51"/>
        <v>#N/A</v>
      </c>
      <c r="F444" s="38">
        <f>'Leave Record'!G446</f>
        <v>0</v>
      </c>
      <c r="G444" s="38">
        <f>'Leave Record'!H446</f>
        <v>0</v>
      </c>
      <c r="H444" s="23">
        <f t="shared" si="52"/>
        <v>1</v>
      </c>
      <c r="I444" s="23">
        <f t="shared" si="53"/>
        <v>0</v>
      </c>
      <c r="J444" s="21" t="e">
        <f t="shared" si="54"/>
        <v>#N/A</v>
      </c>
      <c r="K444" s="23">
        <f>'Leave Record'!I446</f>
        <v>0</v>
      </c>
    </row>
    <row r="445" spans="1:11" x14ac:dyDescent="0.25">
      <c r="A445" s="38">
        <f t="shared" si="48"/>
        <v>1</v>
      </c>
      <c r="B445" s="38">
        <f>IF(K445=$P$13,'Rule 12'!$M$4,F445-1)</f>
        <v>-1</v>
      </c>
      <c r="C445" s="23">
        <f t="shared" si="49"/>
        <v>-1</v>
      </c>
      <c r="D445" s="21">
        <f t="shared" si="50"/>
        <v>-8.3333333333333329E-2</v>
      </c>
      <c r="E445" s="21" t="e">
        <f t="shared" si="51"/>
        <v>#N/A</v>
      </c>
      <c r="F445" s="38">
        <f>'Leave Record'!G447</f>
        <v>0</v>
      </c>
      <c r="G445" s="38">
        <f>'Leave Record'!H447</f>
        <v>0</v>
      </c>
      <c r="H445" s="23">
        <f t="shared" si="52"/>
        <v>1</v>
      </c>
      <c r="I445" s="23">
        <f t="shared" si="53"/>
        <v>0</v>
      </c>
      <c r="J445" s="21" t="e">
        <f t="shared" si="54"/>
        <v>#N/A</v>
      </c>
      <c r="K445" s="23">
        <f>'Leave Record'!I447</f>
        <v>0</v>
      </c>
    </row>
    <row r="446" spans="1:11" x14ac:dyDescent="0.25">
      <c r="A446" s="38">
        <f t="shared" si="48"/>
        <v>1</v>
      </c>
      <c r="B446" s="38">
        <f>IF(K446=$P$13,'Rule 12'!$M$4,F446-1)</f>
        <v>-1</v>
      </c>
      <c r="C446" s="23">
        <f t="shared" si="49"/>
        <v>-1</v>
      </c>
      <c r="D446" s="21">
        <f t="shared" si="50"/>
        <v>-8.3333333333333329E-2</v>
      </c>
      <c r="E446" s="21" t="e">
        <f t="shared" si="51"/>
        <v>#N/A</v>
      </c>
      <c r="F446" s="38">
        <f>'Leave Record'!G448</f>
        <v>0</v>
      </c>
      <c r="G446" s="38">
        <f>'Leave Record'!H448</f>
        <v>0</v>
      </c>
      <c r="H446" s="23">
        <f t="shared" si="52"/>
        <v>1</v>
      </c>
      <c r="I446" s="23">
        <f t="shared" si="53"/>
        <v>0</v>
      </c>
      <c r="J446" s="21" t="e">
        <f t="shared" si="54"/>
        <v>#N/A</v>
      </c>
      <c r="K446" s="23">
        <f>'Leave Record'!I448</f>
        <v>0</v>
      </c>
    </row>
    <row r="447" spans="1:11" x14ac:dyDescent="0.25">
      <c r="A447" s="38">
        <f t="shared" si="48"/>
        <v>1</v>
      </c>
      <c r="B447" s="38">
        <f>IF(K447=$P$13,'Rule 12'!$M$4,F447-1)</f>
        <v>-1</v>
      </c>
      <c r="C447" s="23">
        <f t="shared" si="49"/>
        <v>-1</v>
      </c>
      <c r="D447" s="21">
        <f t="shared" si="50"/>
        <v>-8.3333333333333329E-2</v>
      </c>
      <c r="E447" s="21" t="e">
        <f t="shared" si="51"/>
        <v>#N/A</v>
      </c>
      <c r="F447" s="38">
        <f>'Leave Record'!G449</f>
        <v>0</v>
      </c>
      <c r="G447" s="38">
        <f>'Leave Record'!H449</f>
        <v>0</v>
      </c>
      <c r="H447" s="23">
        <f t="shared" si="52"/>
        <v>1</v>
      </c>
      <c r="I447" s="23">
        <f t="shared" si="53"/>
        <v>0</v>
      </c>
      <c r="J447" s="21" t="e">
        <f t="shared" si="54"/>
        <v>#N/A</v>
      </c>
      <c r="K447" s="23">
        <f>'Leave Record'!I449</f>
        <v>0</v>
      </c>
    </row>
    <row r="448" spans="1:11" x14ac:dyDescent="0.25">
      <c r="A448" s="38">
        <f t="shared" si="48"/>
        <v>1</v>
      </c>
      <c r="B448" s="38">
        <f>IF(K448=$P$13,'Rule 12'!$M$4,F448-1)</f>
        <v>-1</v>
      </c>
      <c r="C448" s="23">
        <f t="shared" si="49"/>
        <v>-1</v>
      </c>
      <c r="D448" s="21">
        <f t="shared" si="50"/>
        <v>-8.3333333333333329E-2</v>
      </c>
      <c r="E448" s="21" t="e">
        <f t="shared" si="51"/>
        <v>#N/A</v>
      </c>
      <c r="F448" s="38">
        <f>'Leave Record'!G450</f>
        <v>0</v>
      </c>
      <c r="G448" s="38">
        <f>'Leave Record'!H450</f>
        <v>0</v>
      </c>
      <c r="H448" s="23">
        <f t="shared" si="52"/>
        <v>1</v>
      </c>
      <c r="I448" s="23">
        <f t="shared" si="53"/>
        <v>0</v>
      </c>
      <c r="J448" s="21" t="e">
        <f t="shared" si="54"/>
        <v>#N/A</v>
      </c>
      <c r="K448" s="23">
        <f>'Leave Record'!I450</f>
        <v>0</v>
      </c>
    </row>
    <row r="449" spans="1:11" x14ac:dyDescent="0.25">
      <c r="A449" s="38">
        <f t="shared" si="48"/>
        <v>1</v>
      </c>
      <c r="B449" s="38">
        <f>IF(K449=$P$13,'Rule 12'!$M$4,F449-1)</f>
        <v>-1</v>
      </c>
      <c r="C449" s="23">
        <f t="shared" si="49"/>
        <v>-1</v>
      </c>
      <c r="D449" s="21">
        <f t="shared" si="50"/>
        <v>-8.3333333333333329E-2</v>
      </c>
      <c r="E449" s="21" t="e">
        <f t="shared" si="51"/>
        <v>#N/A</v>
      </c>
      <c r="F449" s="38">
        <f>'Leave Record'!G451</f>
        <v>0</v>
      </c>
      <c r="G449" s="38">
        <f>'Leave Record'!H451</f>
        <v>0</v>
      </c>
      <c r="H449" s="23">
        <f t="shared" si="52"/>
        <v>1</v>
      </c>
      <c r="I449" s="23">
        <f t="shared" si="53"/>
        <v>0</v>
      </c>
      <c r="J449" s="21" t="e">
        <f t="shared" si="54"/>
        <v>#N/A</v>
      </c>
      <c r="K449" s="23">
        <f>'Leave Record'!I451</f>
        <v>0</v>
      </c>
    </row>
    <row r="450" spans="1:11" x14ac:dyDescent="0.25">
      <c r="A450" s="38">
        <f t="shared" si="48"/>
        <v>1</v>
      </c>
      <c r="B450" s="38">
        <f>IF(K450=$P$13,'Rule 12'!$M$4,F450-1)</f>
        <v>-1</v>
      </c>
      <c r="C450" s="23">
        <f t="shared" si="49"/>
        <v>-1</v>
      </c>
      <c r="D450" s="21">
        <f t="shared" si="50"/>
        <v>-8.3333333333333329E-2</v>
      </c>
      <c r="E450" s="21" t="e">
        <f t="shared" si="51"/>
        <v>#N/A</v>
      </c>
      <c r="F450" s="38">
        <f>'Leave Record'!G452</f>
        <v>0</v>
      </c>
      <c r="G450" s="38">
        <f>'Leave Record'!H452</f>
        <v>0</v>
      </c>
      <c r="H450" s="23">
        <f t="shared" si="52"/>
        <v>1</v>
      </c>
      <c r="I450" s="23">
        <f t="shared" si="53"/>
        <v>0</v>
      </c>
      <c r="J450" s="21" t="e">
        <f t="shared" si="54"/>
        <v>#N/A</v>
      </c>
      <c r="K450" s="23">
        <f>'Leave Record'!I452</f>
        <v>0</v>
      </c>
    </row>
    <row r="451" spans="1:11" x14ac:dyDescent="0.25">
      <c r="A451" s="38">
        <f t="shared" si="48"/>
        <v>1</v>
      </c>
      <c r="B451" s="38">
        <f>IF(K451=$P$13,'Rule 12'!$M$4,F451-1)</f>
        <v>-1</v>
      </c>
      <c r="C451" s="23">
        <f t="shared" si="49"/>
        <v>-1</v>
      </c>
      <c r="D451" s="21">
        <f t="shared" si="50"/>
        <v>-8.3333333333333329E-2</v>
      </c>
      <c r="E451" s="21" t="e">
        <f t="shared" si="51"/>
        <v>#N/A</v>
      </c>
      <c r="F451" s="38">
        <f>'Leave Record'!G453</f>
        <v>0</v>
      </c>
      <c r="G451" s="38">
        <f>'Leave Record'!H453</f>
        <v>0</v>
      </c>
      <c r="H451" s="23">
        <f t="shared" si="52"/>
        <v>1</v>
      </c>
      <c r="I451" s="23">
        <f t="shared" si="53"/>
        <v>0</v>
      </c>
      <c r="J451" s="21" t="e">
        <f t="shared" si="54"/>
        <v>#N/A</v>
      </c>
      <c r="K451" s="23">
        <f>'Leave Record'!I453</f>
        <v>0</v>
      </c>
    </row>
    <row r="452" spans="1:11" x14ac:dyDescent="0.25">
      <c r="A452" s="38">
        <f t="shared" si="48"/>
        <v>1</v>
      </c>
      <c r="B452" s="38">
        <f>IF(K452=$P$13,'Rule 12'!$M$4,F452-1)</f>
        <v>-1</v>
      </c>
      <c r="C452" s="23">
        <f t="shared" si="49"/>
        <v>-1</v>
      </c>
      <c r="D452" s="21">
        <f t="shared" si="50"/>
        <v>-8.3333333333333329E-2</v>
      </c>
      <c r="E452" s="21" t="e">
        <f t="shared" si="51"/>
        <v>#N/A</v>
      </c>
      <c r="F452" s="38">
        <f>'Leave Record'!G454</f>
        <v>0</v>
      </c>
      <c r="G452" s="38">
        <f>'Leave Record'!H454</f>
        <v>0</v>
      </c>
      <c r="H452" s="23">
        <f t="shared" si="52"/>
        <v>1</v>
      </c>
      <c r="I452" s="23">
        <f t="shared" si="53"/>
        <v>0</v>
      </c>
      <c r="J452" s="21" t="e">
        <f t="shared" si="54"/>
        <v>#N/A</v>
      </c>
      <c r="K452" s="23">
        <f>'Leave Record'!I454</f>
        <v>0</v>
      </c>
    </row>
    <row r="453" spans="1:11" x14ac:dyDescent="0.25">
      <c r="A453" s="38">
        <f t="shared" si="48"/>
        <v>1</v>
      </c>
      <c r="B453" s="38">
        <f>IF(K453=$P$13,'Rule 12'!$M$4,F453-1)</f>
        <v>-1</v>
      </c>
      <c r="C453" s="23">
        <f t="shared" si="49"/>
        <v>-1</v>
      </c>
      <c r="D453" s="21">
        <f t="shared" si="50"/>
        <v>-8.3333333333333329E-2</v>
      </c>
      <c r="E453" s="21" t="e">
        <f t="shared" si="51"/>
        <v>#N/A</v>
      </c>
      <c r="F453" s="38">
        <f>'Leave Record'!G455</f>
        <v>0</v>
      </c>
      <c r="G453" s="38">
        <f>'Leave Record'!H455</f>
        <v>0</v>
      </c>
      <c r="H453" s="23">
        <f t="shared" si="52"/>
        <v>1</v>
      </c>
      <c r="I453" s="23">
        <f t="shared" si="53"/>
        <v>0</v>
      </c>
      <c r="J453" s="21" t="e">
        <f t="shared" si="54"/>
        <v>#N/A</v>
      </c>
      <c r="K453" s="23">
        <f>'Leave Record'!I455</f>
        <v>0</v>
      </c>
    </row>
    <row r="454" spans="1:11" x14ac:dyDescent="0.25">
      <c r="A454" s="38">
        <f t="shared" si="48"/>
        <v>1</v>
      </c>
      <c r="B454" s="38">
        <f>IF(K454=$P$13,'Rule 12'!$M$4,F454-1)</f>
        <v>-1</v>
      </c>
      <c r="C454" s="23">
        <f t="shared" si="49"/>
        <v>-1</v>
      </c>
      <c r="D454" s="21">
        <f t="shared" si="50"/>
        <v>-8.3333333333333329E-2</v>
      </c>
      <c r="E454" s="21" t="e">
        <f t="shared" si="51"/>
        <v>#N/A</v>
      </c>
      <c r="F454" s="38">
        <f>'Leave Record'!G456</f>
        <v>0</v>
      </c>
      <c r="G454" s="38">
        <f>'Leave Record'!H456</f>
        <v>0</v>
      </c>
      <c r="H454" s="23">
        <f t="shared" si="52"/>
        <v>1</v>
      </c>
      <c r="I454" s="23">
        <f t="shared" si="53"/>
        <v>0</v>
      </c>
      <c r="J454" s="21" t="e">
        <f t="shared" si="54"/>
        <v>#N/A</v>
      </c>
      <c r="K454" s="23">
        <f>'Leave Record'!I456</f>
        <v>0</v>
      </c>
    </row>
    <row r="455" spans="1:11" x14ac:dyDescent="0.25">
      <c r="A455" s="38">
        <f t="shared" si="48"/>
        <v>1</v>
      </c>
      <c r="B455" s="38">
        <f>IF(K455=$P$13,'Rule 12'!$M$4,F455-1)</f>
        <v>-1</v>
      </c>
      <c r="C455" s="23">
        <f t="shared" si="49"/>
        <v>-1</v>
      </c>
      <c r="D455" s="21">
        <f t="shared" si="50"/>
        <v>-8.3333333333333329E-2</v>
      </c>
      <c r="E455" s="21" t="e">
        <f t="shared" si="51"/>
        <v>#N/A</v>
      </c>
      <c r="F455" s="38">
        <f>'Leave Record'!G457</f>
        <v>0</v>
      </c>
      <c r="G455" s="38">
        <f>'Leave Record'!H457</f>
        <v>0</v>
      </c>
      <c r="H455" s="23">
        <f t="shared" si="52"/>
        <v>1</v>
      </c>
      <c r="I455" s="23">
        <f t="shared" si="53"/>
        <v>0</v>
      </c>
      <c r="J455" s="21" t="e">
        <f t="shared" si="54"/>
        <v>#N/A</v>
      </c>
      <c r="K455" s="23">
        <f>'Leave Record'!I457</f>
        <v>0</v>
      </c>
    </row>
    <row r="456" spans="1:11" x14ac:dyDescent="0.25">
      <c r="A456" s="38">
        <f t="shared" si="48"/>
        <v>1</v>
      </c>
      <c r="B456" s="38">
        <f>IF(K456=$P$13,'Rule 12'!$M$4,F456-1)</f>
        <v>-1</v>
      </c>
      <c r="C456" s="23">
        <f t="shared" si="49"/>
        <v>-1</v>
      </c>
      <c r="D456" s="21">
        <f t="shared" si="50"/>
        <v>-8.3333333333333329E-2</v>
      </c>
      <c r="E456" s="21" t="e">
        <f t="shared" si="51"/>
        <v>#N/A</v>
      </c>
      <c r="F456" s="38">
        <f>'Leave Record'!G458</f>
        <v>0</v>
      </c>
      <c r="G456" s="38">
        <f>'Leave Record'!H458</f>
        <v>0</v>
      </c>
      <c r="H456" s="23">
        <f t="shared" si="52"/>
        <v>1</v>
      </c>
      <c r="I456" s="23">
        <f t="shared" si="53"/>
        <v>0</v>
      </c>
      <c r="J456" s="21" t="e">
        <f t="shared" si="54"/>
        <v>#N/A</v>
      </c>
      <c r="K456" s="23">
        <f>'Leave Record'!I458</f>
        <v>0</v>
      </c>
    </row>
    <row r="457" spans="1:11" x14ac:dyDescent="0.25">
      <c r="A457" s="38">
        <f t="shared" ref="A457:A500" si="55">G456+1</f>
        <v>1</v>
      </c>
      <c r="B457" s="38">
        <f>IF(K457=$P$13,'Rule 12'!$M$4,F457-1)</f>
        <v>-1</v>
      </c>
      <c r="C457" s="23">
        <f t="shared" ref="C457:C500" si="56">_xlfn.DAYS(B457+1,A457)</f>
        <v>-1</v>
      </c>
      <c r="D457" s="21">
        <f t="shared" ref="D457:D500" si="57">C457/12</f>
        <v>-8.3333333333333329E-2</v>
      </c>
      <c r="E457" s="21" t="e">
        <f t="shared" ref="E457:E500" si="58">J456+D457</f>
        <v>#N/A</v>
      </c>
      <c r="F457" s="38">
        <f>'Leave Record'!G459</f>
        <v>0</v>
      </c>
      <c r="G457" s="38">
        <f>'Leave Record'!H459</f>
        <v>0</v>
      </c>
      <c r="H457" s="23">
        <f t="shared" ref="H457:H500" si="59">_xlfn.DAYS(G457+1,F457)</f>
        <v>1</v>
      </c>
      <c r="I457" s="23">
        <f t="shared" ref="I457:I500" si="60">IF(K457=$P$14,H457,0)</f>
        <v>0</v>
      </c>
      <c r="J457" s="21" t="e">
        <f t="shared" ref="J457:J500" si="61">E457-I457</f>
        <v>#N/A</v>
      </c>
      <c r="K457" s="23">
        <f>'Leave Record'!I459</f>
        <v>0</v>
      </c>
    </row>
    <row r="458" spans="1:11" x14ac:dyDescent="0.25">
      <c r="A458" s="38">
        <f t="shared" si="55"/>
        <v>1</v>
      </c>
      <c r="B458" s="38">
        <f>IF(K458=$P$13,'Rule 12'!$M$4,F458-1)</f>
        <v>-1</v>
      </c>
      <c r="C458" s="23">
        <f t="shared" si="56"/>
        <v>-1</v>
      </c>
      <c r="D458" s="21">
        <f t="shared" si="57"/>
        <v>-8.3333333333333329E-2</v>
      </c>
      <c r="E458" s="21" t="e">
        <f t="shared" si="58"/>
        <v>#N/A</v>
      </c>
      <c r="F458" s="38">
        <f>'Leave Record'!G460</f>
        <v>0</v>
      </c>
      <c r="G458" s="38">
        <f>'Leave Record'!H460</f>
        <v>0</v>
      </c>
      <c r="H458" s="23">
        <f t="shared" si="59"/>
        <v>1</v>
      </c>
      <c r="I458" s="23">
        <f t="shared" si="60"/>
        <v>0</v>
      </c>
      <c r="J458" s="21" t="e">
        <f t="shared" si="61"/>
        <v>#N/A</v>
      </c>
      <c r="K458" s="23">
        <f>'Leave Record'!I460</f>
        <v>0</v>
      </c>
    </row>
    <row r="459" spans="1:11" x14ac:dyDescent="0.25">
      <c r="A459" s="38">
        <f t="shared" si="55"/>
        <v>1</v>
      </c>
      <c r="B459" s="38">
        <f>IF(K459=$P$13,'Rule 12'!$M$4,F459-1)</f>
        <v>-1</v>
      </c>
      <c r="C459" s="23">
        <f t="shared" si="56"/>
        <v>-1</v>
      </c>
      <c r="D459" s="21">
        <f t="shared" si="57"/>
        <v>-8.3333333333333329E-2</v>
      </c>
      <c r="E459" s="21" t="e">
        <f t="shared" si="58"/>
        <v>#N/A</v>
      </c>
      <c r="F459" s="38">
        <f>'Leave Record'!G461</f>
        <v>0</v>
      </c>
      <c r="G459" s="38">
        <f>'Leave Record'!H461</f>
        <v>0</v>
      </c>
      <c r="H459" s="23">
        <f t="shared" si="59"/>
        <v>1</v>
      </c>
      <c r="I459" s="23">
        <f t="shared" si="60"/>
        <v>0</v>
      </c>
      <c r="J459" s="21" t="e">
        <f t="shared" si="61"/>
        <v>#N/A</v>
      </c>
      <c r="K459" s="23">
        <f>'Leave Record'!I461</f>
        <v>0</v>
      </c>
    </row>
    <row r="460" spans="1:11" x14ac:dyDescent="0.25">
      <c r="A460" s="38">
        <f t="shared" si="55"/>
        <v>1</v>
      </c>
      <c r="B460" s="38">
        <f>IF(K460=$P$13,'Rule 12'!$M$4,F460-1)</f>
        <v>-1</v>
      </c>
      <c r="C460" s="23">
        <f t="shared" si="56"/>
        <v>-1</v>
      </c>
      <c r="D460" s="21">
        <f t="shared" si="57"/>
        <v>-8.3333333333333329E-2</v>
      </c>
      <c r="E460" s="21" t="e">
        <f t="shared" si="58"/>
        <v>#N/A</v>
      </c>
      <c r="F460" s="38">
        <f>'Leave Record'!G462</f>
        <v>0</v>
      </c>
      <c r="G460" s="38">
        <f>'Leave Record'!H462</f>
        <v>0</v>
      </c>
      <c r="H460" s="23">
        <f t="shared" si="59"/>
        <v>1</v>
      </c>
      <c r="I460" s="23">
        <f t="shared" si="60"/>
        <v>0</v>
      </c>
      <c r="J460" s="21" t="e">
        <f t="shared" si="61"/>
        <v>#N/A</v>
      </c>
      <c r="K460" s="23">
        <f>'Leave Record'!I462</f>
        <v>0</v>
      </c>
    </row>
    <row r="461" spans="1:11" x14ac:dyDescent="0.25">
      <c r="A461" s="38">
        <f t="shared" si="55"/>
        <v>1</v>
      </c>
      <c r="B461" s="38">
        <f>IF(K461=$P$13,'Rule 12'!$M$4,F461-1)</f>
        <v>-1</v>
      </c>
      <c r="C461" s="23">
        <f t="shared" si="56"/>
        <v>-1</v>
      </c>
      <c r="D461" s="21">
        <f t="shared" si="57"/>
        <v>-8.3333333333333329E-2</v>
      </c>
      <c r="E461" s="21" t="e">
        <f t="shared" si="58"/>
        <v>#N/A</v>
      </c>
      <c r="F461" s="38">
        <f>'Leave Record'!G463</f>
        <v>0</v>
      </c>
      <c r="G461" s="38">
        <f>'Leave Record'!H463</f>
        <v>0</v>
      </c>
      <c r="H461" s="23">
        <f t="shared" si="59"/>
        <v>1</v>
      </c>
      <c r="I461" s="23">
        <f t="shared" si="60"/>
        <v>0</v>
      </c>
      <c r="J461" s="21" t="e">
        <f t="shared" si="61"/>
        <v>#N/A</v>
      </c>
      <c r="K461" s="23">
        <f>'Leave Record'!I463</f>
        <v>0</v>
      </c>
    </row>
    <row r="462" spans="1:11" x14ac:dyDescent="0.25">
      <c r="A462" s="38">
        <f t="shared" si="55"/>
        <v>1</v>
      </c>
      <c r="B462" s="38">
        <f>IF(K462=$P$13,'Rule 12'!$M$4,F462-1)</f>
        <v>-1</v>
      </c>
      <c r="C462" s="23">
        <f t="shared" si="56"/>
        <v>-1</v>
      </c>
      <c r="D462" s="21">
        <f t="shared" si="57"/>
        <v>-8.3333333333333329E-2</v>
      </c>
      <c r="E462" s="21" t="e">
        <f t="shared" si="58"/>
        <v>#N/A</v>
      </c>
      <c r="F462" s="38">
        <f>'Leave Record'!G464</f>
        <v>0</v>
      </c>
      <c r="G462" s="38">
        <f>'Leave Record'!H464</f>
        <v>0</v>
      </c>
      <c r="H462" s="23">
        <f t="shared" si="59"/>
        <v>1</v>
      </c>
      <c r="I462" s="23">
        <f t="shared" si="60"/>
        <v>0</v>
      </c>
      <c r="J462" s="21" t="e">
        <f t="shared" si="61"/>
        <v>#N/A</v>
      </c>
      <c r="K462" s="23">
        <f>'Leave Record'!I464</f>
        <v>0</v>
      </c>
    </row>
    <row r="463" spans="1:11" x14ac:dyDescent="0.25">
      <c r="A463" s="38">
        <f t="shared" si="55"/>
        <v>1</v>
      </c>
      <c r="B463" s="38">
        <f>IF(K463=$P$13,'Rule 12'!$M$4,F463-1)</f>
        <v>-1</v>
      </c>
      <c r="C463" s="23">
        <f t="shared" si="56"/>
        <v>-1</v>
      </c>
      <c r="D463" s="21">
        <f t="shared" si="57"/>
        <v>-8.3333333333333329E-2</v>
      </c>
      <c r="E463" s="21" t="e">
        <f t="shared" si="58"/>
        <v>#N/A</v>
      </c>
      <c r="F463" s="38">
        <f>'Leave Record'!G465</f>
        <v>0</v>
      </c>
      <c r="G463" s="38">
        <f>'Leave Record'!H465</f>
        <v>0</v>
      </c>
      <c r="H463" s="23">
        <f t="shared" si="59"/>
        <v>1</v>
      </c>
      <c r="I463" s="23">
        <f t="shared" si="60"/>
        <v>0</v>
      </c>
      <c r="J463" s="21" t="e">
        <f t="shared" si="61"/>
        <v>#N/A</v>
      </c>
      <c r="K463" s="23">
        <f>'Leave Record'!I465</f>
        <v>0</v>
      </c>
    </row>
    <row r="464" spans="1:11" x14ac:dyDescent="0.25">
      <c r="A464" s="38">
        <f t="shared" si="55"/>
        <v>1</v>
      </c>
      <c r="B464" s="38">
        <f>IF(K464=$P$13,'Rule 12'!$M$4,F464-1)</f>
        <v>-1</v>
      </c>
      <c r="C464" s="23">
        <f t="shared" si="56"/>
        <v>-1</v>
      </c>
      <c r="D464" s="21">
        <f t="shared" si="57"/>
        <v>-8.3333333333333329E-2</v>
      </c>
      <c r="E464" s="21" t="e">
        <f t="shared" si="58"/>
        <v>#N/A</v>
      </c>
      <c r="F464" s="38">
        <f>'Leave Record'!G466</f>
        <v>0</v>
      </c>
      <c r="G464" s="38">
        <f>'Leave Record'!H466</f>
        <v>0</v>
      </c>
      <c r="H464" s="23">
        <f t="shared" si="59"/>
        <v>1</v>
      </c>
      <c r="I464" s="23">
        <f t="shared" si="60"/>
        <v>0</v>
      </c>
      <c r="J464" s="21" t="e">
        <f t="shared" si="61"/>
        <v>#N/A</v>
      </c>
      <c r="K464" s="23">
        <f>'Leave Record'!I466</f>
        <v>0</v>
      </c>
    </row>
    <row r="465" spans="1:11" x14ac:dyDescent="0.25">
      <c r="A465" s="38">
        <f t="shared" si="55"/>
        <v>1</v>
      </c>
      <c r="B465" s="38">
        <f>IF(K465=$P$13,'Rule 12'!$M$4,F465-1)</f>
        <v>-1</v>
      </c>
      <c r="C465" s="23">
        <f t="shared" si="56"/>
        <v>-1</v>
      </c>
      <c r="D465" s="21">
        <f t="shared" si="57"/>
        <v>-8.3333333333333329E-2</v>
      </c>
      <c r="E465" s="21" t="e">
        <f t="shared" si="58"/>
        <v>#N/A</v>
      </c>
      <c r="F465" s="38">
        <f>'Leave Record'!G467</f>
        <v>0</v>
      </c>
      <c r="G465" s="38">
        <f>'Leave Record'!H467</f>
        <v>0</v>
      </c>
      <c r="H465" s="23">
        <f t="shared" si="59"/>
        <v>1</v>
      </c>
      <c r="I465" s="23">
        <f t="shared" si="60"/>
        <v>0</v>
      </c>
      <c r="J465" s="21" t="e">
        <f t="shared" si="61"/>
        <v>#N/A</v>
      </c>
      <c r="K465" s="23">
        <f>'Leave Record'!I467</f>
        <v>0</v>
      </c>
    </row>
    <row r="466" spans="1:11" x14ac:dyDescent="0.25">
      <c r="A466" s="38">
        <f t="shared" si="55"/>
        <v>1</v>
      </c>
      <c r="B466" s="38">
        <f>IF(K466=$P$13,'Rule 12'!$M$4,F466-1)</f>
        <v>-1</v>
      </c>
      <c r="C466" s="23">
        <f t="shared" si="56"/>
        <v>-1</v>
      </c>
      <c r="D466" s="21">
        <f t="shared" si="57"/>
        <v>-8.3333333333333329E-2</v>
      </c>
      <c r="E466" s="21" t="e">
        <f t="shared" si="58"/>
        <v>#N/A</v>
      </c>
      <c r="F466" s="38">
        <f>'Leave Record'!G468</f>
        <v>0</v>
      </c>
      <c r="G466" s="38">
        <f>'Leave Record'!H468</f>
        <v>0</v>
      </c>
      <c r="H466" s="23">
        <f t="shared" si="59"/>
        <v>1</v>
      </c>
      <c r="I466" s="23">
        <f t="shared" si="60"/>
        <v>0</v>
      </c>
      <c r="J466" s="21" t="e">
        <f t="shared" si="61"/>
        <v>#N/A</v>
      </c>
      <c r="K466" s="23">
        <f>'Leave Record'!I468</f>
        <v>0</v>
      </c>
    </row>
    <row r="467" spans="1:11" x14ac:dyDescent="0.25">
      <c r="A467" s="38">
        <f t="shared" si="55"/>
        <v>1</v>
      </c>
      <c r="B467" s="38">
        <f>IF(K467=$P$13,'Rule 12'!$M$4,F467-1)</f>
        <v>-1</v>
      </c>
      <c r="C467" s="23">
        <f t="shared" si="56"/>
        <v>-1</v>
      </c>
      <c r="D467" s="21">
        <f t="shared" si="57"/>
        <v>-8.3333333333333329E-2</v>
      </c>
      <c r="E467" s="21" t="e">
        <f t="shared" si="58"/>
        <v>#N/A</v>
      </c>
      <c r="F467" s="38">
        <f>'Leave Record'!G469</f>
        <v>0</v>
      </c>
      <c r="G467" s="38">
        <f>'Leave Record'!H469</f>
        <v>0</v>
      </c>
      <c r="H467" s="23">
        <f t="shared" si="59"/>
        <v>1</v>
      </c>
      <c r="I467" s="23">
        <f t="shared" si="60"/>
        <v>0</v>
      </c>
      <c r="J467" s="21" t="e">
        <f t="shared" si="61"/>
        <v>#N/A</v>
      </c>
      <c r="K467" s="23">
        <f>'Leave Record'!I469</f>
        <v>0</v>
      </c>
    </row>
    <row r="468" spans="1:11" x14ac:dyDescent="0.25">
      <c r="A468" s="38">
        <f t="shared" si="55"/>
        <v>1</v>
      </c>
      <c r="B468" s="38">
        <f>IF(K468=$P$13,'Rule 12'!$M$4,F468-1)</f>
        <v>-1</v>
      </c>
      <c r="C468" s="23">
        <f t="shared" si="56"/>
        <v>-1</v>
      </c>
      <c r="D468" s="21">
        <f t="shared" si="57"/>
        <v>-8.3333333333333329E-2</v>
      </c>
      <c r="E468" s="21" t="e">
        <f t="shared" si="58"/>
        <v>#N/A</v>
      </c>
      <c r="F468" s="38">
        <f>'Leave Record'!G470</f>
        <v>0</v>
      </c>
      <c r="G468" s="38">
        <f>'Leave Record'!H470</f>
        <v>0</v>
      </c>
      <c r="H468" s="23">
        <f t="shared" si="59"/>
        <v>1</v>
      </c>
      <c r="I468" s="23">
        <f t="shared" si="60"/>
        <v>0</v>
      </c>
      <c r="J468" s="21" t="e">
        <f t="shared" si="61"/>
        <v>#N/A</v>
      </c>
      <c r="K468" s="23">
        <f>'Leave Record'!I470</f>
        <v>0</v>
      </c>
    </row>
    <row r="469" spans="1:11" x14ac:dyDescent="0.25">
      <c r="A469" s="38">
        <f t="shared" si="55"/>
        <v>1</v>
      </c>
      <c r="B469" s="38">
        <f>IF(K469=$P$13,'Rule 12'!$M$4,F469-1)</f>
        <v>-1</v>
      </c>
      <c r="C469" s="23">
        <f t="shared" si="56"/>
        <v>-1</v>
      </c>
      <c r="D469" s="21">
        <f t="shared" si="57"/>
        <v>-8.3333333333333329E-2</v>
      </c>
      <c r="E469" s="21" t="e">
        <f t="shared" si="58"/>
        <v>#N/A</v>
      </c>
      <c r="F469" s="38">
        <f>'Leave Record'!G471</f>
        <v>0</v>
      </c>
      <c r="G469" s="38">
        <f>'Leave Record'!H471</f>
        <v>0</v>
      </c>
      <c r="H469" s="23">
        <f t="shared" si="59"/>
        <v>1</v>
      </c>
      <c r="I469" s="23">
        <f t="shared" si="60"/>
        <v>0</v>
      </c>
      <c r="J469" s="21" t="e">
        <f t="shared" si="61"/>
        <v>#N/A</v>
      </c>
      <c r="K469" s="23">
        <f>'Leave Record'!I471</f>
        <v>0</v>
      </c>
    </row>
    <row r="470" spans="1:11" x14ac:dyDescent="0.25">
      <c r="A470" s="38">
        <f t="shared" si="55"/>
        <v>1</v>
      </c>
      <c r="B470" s="38">
        <f>IF(K470=$P$13,'Rule 12'!$M$4,F470-1)</f>
        <v>-1</v>
      </c>
      <c r="C470" s="23">
        <f t="shared" si="56"/>
        <v>-1</v>
      </c>
      <c r="D470" s="21">
        <f t="shared" si="57"/>
        <v>-8.3333333333333329E-2</v>
      </c>
      <c r="E470" s="21" t="e">
        <f t="shared" si="58"/>
        <v>#N/A</v>
      </c>
      <c r="F470" s="38">
        <f>'Leave Record'!G472</f>
        <v>0</v>
      </c>
      <c r="G470" s="38">
        <f>'Leave Record'!H472</f>
        <v>0</v>
      </c>
      <c r="H470" s="23">
        <f t="shared" si="59"/>
        <v>1</v>
      </c>
      <c r="I470" s="23">
        <f t="shared" si="60"/>
        <v>0</v>
      </c>
      <c r="J470" s="21" t="e">
        <f t="shared" si="61"/>
        <v>#N/A</v>
      </c>
      <c r="K470" s="23">
        <f>'Leave Record'!I472</f>
        <v>0</v>
      </c>
    </row>
    <row r="471" spans="1:11" x14ac:dyDescent="0.25">
      <c r="A471" s="38">
        <f t="shared" si="55"/>
        <v>1</v>
      </c>
      <c r="B471" s="38">
        <f>IF(K471=$P$13,'Rule 12'!$M$4,F471-1)</f>
        <v>-1</v>
      </c>
      <c r="C471" s="23">
        <f t="shared" si="56"/>
        <v>-1</v>
      </c>
      <c r="D471" s="21">
        <f t="shared" si="57"/>
        <v>-8.3333333333333329E-2</v>
      </c>
      <c r="E471" s="21" t="e">
        <f t="shared" si="58"/>
        <v>#N/A</v>
      </c>
      <c r="F471" s="38">
        <f>'Leave Record'!G473</f>
        <v>0</v>
      </c>
      <c r="G471" s="38">
        <f>'Leave Record'!H473</f>
        <v>0</v>
      </c>
      <c r="H471" s="23">
        <f t="shared" si="59"/>
        <v>1</v>
      </c>
      <c r="I471" s="23">
        <f t="shared" si="60"/>
        <v>0</v>
      </c>
      <c r="J471" s="21" t="e">
        <f t="shared" si="61"/>
        <v>#N/A</v>
      </c>
      <c r="K471" s="23">
        <f>'Leave Record'!I473</f>
        <v>0</v>
      </c>
    </row>
    <row r="472" spans="1:11" x14ac:dyDescent="0.25">
      <c r="A472" s="38">
        <f t="shared" si="55"/>
        <v>1</v>
      </c>
      <c r="B472" s="38">
        <f>IF(K472=$P$13,'Rule 12'!$M$4,F472-1)</f>
        <v>-1</v>
      </c>
      <c r="C472" s="23">
        <f t="shared" si="56"/>
        <v>-1</v>
      </c>
      <c r="D472" s="21">
        <f t="shared" si="57"/>
        <v>-8.3333333333333329E-2</v>
      </c>
      <c r="E472" s="21" t="e">
        <f t="shared" si="58"/>
        <v>#N/A</v>
      </c>
      <c r="F472" s="38">
        <f>'Leave Record'!G474</f>
        <v>0</v>
      </c>
      <c r="G472" s="38">
        <f>'Leave Record'!H474</f>
        <v>0</v>
      </c>
      <c r="H472" s="23">
        <f t="shared" si="59"/>
        <v>1</v>
      </c>
      <c r="I472" s="23">
        <f t="shared" si="60"/>
        <v>0</v>
      </c>
      <c r="J472" s="21" t="e">
        <f t="shared" si="61"/>
        <v>#N/A</v>
      </c>
      <c r="K472" s="23">
        <f>'Leave Record'!I474</f>
        <v>0</v>
      </c>
    </row>
    <row r="473" spans="1:11" x14ac:dyDescent="0.25">
      <c r="A473" s="38">
        <f t="shared" si="55"/>
        <v>1</v>
      </c>
      <c r="B473" s="38">
        <f>IF(K473=$P$13,'Rule 12'!$M$4,F473-1)</f>
        <v>-1</v>
      </c>
      <c r="C473" s="23">
        <f t="shared" si="56"/>
        <v>-1</v>
      </c>
      <c r="D473" s="21">
        <f t="shared" si="57"/>
        <v>-8.3333333333333329E-2</v>
      </c>
      <c r="E473" s="21" t="e">
        <f t="shared" si="58"/>
        <v>#N/A</v>
      </c>
      <c r="F473" s="38">
        <f>'Leave Record'!G475</f>
        <v>0</v>
      </c>
      <c r="G473" s="38">
        <f>'Leave Record'!H475</f>
        <v>0</v>
      </c>
      <c r="H473" s="23">
        <f t="shared" si="59"/>
        <v>1</v>
      </c>
      <c r="I473" s="23">
        <f t="shared" si="60"/>
        <v>0</v>
      </c>
      <c r="J473" s="21" t="e">
        <f t="shared" si="61"/>
        <v>#N/A</v>
      </c>
      <c r="K473" s="23">
        <f>'Leave Record'!I475</f>
        <v>0</v>
      </c>
    </row>
    <row r="474" spans="1:11" x14ac:dyDescent="0.25">
      <c r="A474" s="38">
        <f t="shared" si="55"/>
        <v>1</v>
      </c>
      <c r="B474" s="38">
        <f>IF(K474=$P$13,'Rule 12'!$M$4,F474-1)</f>
        <v>-1</v>
      </c>
      <c r="C474" s="23">
        <f t="shared" si="56"/>
        <v>-1</v>
      </c>
      <c r="D474" s="21">
        <f t="shared" si="57"/>
        <v>-8.3333333333333329E-2</v>
      </c>
      <c r="E474" s="21" t="e">
        <f t="shared" si="58"/>
        <v>#N/A</v>
      </c>
      <c r="F474" s="38">
        <f>'Leave Record'!G476</f>
        <v>0</v>
      </c>
      <c r="G474" s="38">
        <f>'Leave Record'!H476</f>
        <v>0</v>
      </c>
      <c r="H474" s="23">
        <f t="shared" si="59"/>
        <v>1</v>
      </c>
      <c r="I474" s="23">
        <f t="shared" si="60"/>
        <v>0</v>
      </c>
      <c r="J474" s="21" t="e">
        <f t="shared" si="61"/>
        <v>#N/A</v>
      </c>
      <c r="K474" s="23">
        <f>'Leave Record'!I476</f>
        <v>0</v>
      </c>
    </row>
    <row r="475" spans="1:11" x14ac:dyDescent="0.25">
      <c r="A475" s="38">
        <f t="shared" si="55"/>
        <v>1</v>
      </c>
      <c r="B475" s="38">
        <f>IF(K475=$P$13,'Rule 12'!$M$4,F475-1)</f>
        <v>-1</v>
      </c>
      <c r="C475" s="23">
        <f t="shared" si="56"/>
        <v>-1</v>
      </c>
      <c r="D475" s="21">
        <f t="shared" si="57"/>
        <v>-8.3333333333333329E-2</v>
      </c>
      <c r="E475" s="21" t="e">
        <f t="shared" si="58"/>
        <v>#N/A</v>
      </c>
      <c r="F475" s="38">
        <f>'Leave Record'!G477</f>
        <v>0</v>
      </c>
      <c r="G475" s="38">
        <f>'Leave Record'!H477</f>
        <v>0</v>
      </c>
      <c r="H475" s="23">
        <f t="shared" si="59"/>
        <v>1</v>
      </c>
      <c r="I475" s="23">
        <f t="shared" si="60"/>
        <v>0</v>
      </c>
      <c r="J475" s="21" t="e">
        <f t="shared" si="61"/>
        <v>#N/A</v>
      </c>
      <c r="K475" s="23">
        <f>'Leave Record'!I477</f>
        <v>0</v>
      </c>
    </row>
    <row r="476" spans="1:11" x14ac:dyDescent="0.25">
      <c r="A476" s="38">
        <f t="shared" si="55"/>
        <v>1</v>
      </c>
      <c r="B476" s="38">
        <f>IF(K476=$P$13,'Rule 12'!$M$4,F476-1)</f>
        <v>-1</v>
      </c>
      <c r="C476" s="23">
        <f t="shared" si="56"/>
        <v>-1</v>
      </c>
      <c r="D476" s="21">
        <f t="shared" si="57"/>
        <v>-8.3333333333333329E-2</v>
      </c>
      <c r="E476" s="21" t="e">
        <f t="shared" si="58"/>
        <v>#N/A</v>
      </c>
      <c r="F476" s="38">
        <f>'Leave Record'!G478</f>
        <v>0</v>
      </c>
      <c r="G476" s="38">
        <f>'Leave Record'!H478</f>
        <v>0</v>
      </c>
      <c r="H476" s="23">
        <f t="shared" si="59"/>
        <v>1</v>
      </c>
      <c r="I476" s="23">
        <f t="shared" si="60"/>
        <v>0</v>
      </c>
      <c r="J476" s="21" t="e">
        <f t="shared" si="61"/>
        <v>#N/A</v>
      </c>
      <c r="K476" s="23">
        <f>'Leave Record'!I478</f>
        <v>0</v>
      </c>
    </row>
    <row r="477" spans="1:11" x14ac:dyDescent="0.25">
      <c r="A477" s="38">
        <f t="shared" si="55"/>
        <v>1</v>
      </c>
      <c r="B477" s="38">
        <f>IF(K477=$P$13,'Rule 12'!$M$4,F477-1)</f>
        <v>-1</v>
      </c>
      <c r="C477" s="23">
        <f t="shared" si="56"/>
        <v>-1</v>
      </c>
      <c r="D477" s="21">
        <f t="shared" si="57"/>
        <v>-8.3333333333333329E-2</v>
      </c>
      <c r="E477" s="21" t="e">
        <f t="shared" si="58"/>
        <v>#N/A</v>
      </c>
      <c r="F477" s="38">
        <f>'Leave Record'!G479</f>
        <v>0</v>
      </c>
      <c r="G477" s="38">
        <f>'Leave Record'!H479</f>
        <v>0</v>
      </c>
      <c r="H477" s="23">
        <f t="shared" si="59"/>
        <v>1</v>
      </c>
      <c r="I477" s="23">
        <f t="shared" si="60"/>
        <v>0</v>
      </c>
      <c r="J477" s="21" t="e">
        <f t="shared" si="61"/>
        <v>#N/A</v>
      </c>
      <c r="K477" s="23">
        <f>'Leave Record'!I479</f>
        <v>0</v>
      </c>
    </row>
    <row r="478" spans="1:11" x14ac:dyDescent="0.25">
      <c r="A478" s="38">
        <f t="shared" si="55"/>
        <v>1</v>
      </c>
      <c r="B478" s="38">
        <f>IF(K478=$P$13,'Rule 12'!$M$4,F478-1)</f>
        <v>-1</v>
      </c>
      <c r="C478" s="23">
        <f t="shared" si="56"/>
        <v>-1</v>
      </c>
      <c r="D478" s="21">
        <f t="shared" si="57"/>
        <v>-8.3333333333333329E-2</v>
      </c>
      <c r="E478" s="21" t="e">
        <f t="shared" si="58"/>
        <v>#N/A</v>
      </c>
      <c r="F478" s="38">
        <f>'Leave Record'!G480</f>
        <v>0</v>
      </c>
      <c r="G478" s="38">
        <f>'Leave Record'!H480</f>
        <v>0</v>
      </c>
      <c r="H478" s="23">
        <f t="shared" si="59"/>
        <v>1</v>
      </c>
      <c r="I478" s="23">
        <f t="shared" si="60"/>
        <v>0</v>
      </c>
      <c r="J478" s="21" t="e">
        <f t="shared" si="61"/>
        <v>#N/A</v>
      </c>
      <c r="K478" s="23">
        <f>'Leave Record'!I480</f>
        <v>0</v>
      </c>
    </row>
    <row r="479" spans="1:11" x14ac:dyDescent="0.25">
      <c r="A479" s="38">
        <f t="shared" si="55"/>
        <v>1</v>
      </c>
      <c r="B479" s="38">
        <f>IF(K479=$P$13,'Rule 12'!$M$4,F479-1)</f>
        <v>-1</v>
      </c>
      <c r="C479" s="23">
        <f t="shared" si="56"/>
        <v>-1</v>
      </c>
      <c r="D479" s="21">
        <f t="shared" si="57"/>
        <v>-8.3333333333333329E-2</v>
      </c>
      <c r="E479" s="21" t="e">
        <f t="shared" si="58"/>
        <v>#N/A</v>
      </c>
      <c r="F479" s="38">
        <f>'Leave Record'!G481</f>
        <v>0</v>
      </c>
      <c r="G479" s="38">
        <f>'Leave Record'!H481</f>
        <v>0</v>
      </c>
      <c r="H479" s="23">
        <f t="shared" si="59"/>
        <v>1</v>
      </c>
      <c r="I479" s="23">
        <f t="shared" si="60"/>
        <v>0</v>
      </c>
      <c r="J479" s="21" t="e">
        <f t="shared" si="61"/>
        <v>#N/A</v>
      </c>
      <c r="K479" s="23">
        <f>'Leave Record'!I481</f>
        <v>0</v>
      </c>
    </row>
    <row r="480" spans="1:11" x14ac:dyDescent="0.25">
      <c r="A480" s="38">
        <f t="shared" si="55"/>
        <v>1</v>
      </c>
      <c r="B480" s="38">
        <f>IF(K480=$P$13,'Rule 12'!$M$4,F480-1)</f>
        <v>-1</v>
      </c>
      <c r="C480" s="23">
        <f t="shared" si="56"/>
        <v>-1</v>
      </c>
      <c r="D480" s="21">
        <f t="shared" si="57"/>
        <v>-8.3333333333333329E-2</v>
      </c>
      <c r="E480" s="21" t="e">
        <f t="shared" si="58"/>
        <v>#N/A</v>
      </c>
      <c r="F480" s="38">
        <f>'Leave Record'!G482</f>
        <v>0</v>
      </c>
      <c r="G480" s="38">
        <f>'Leave Record'!H482</f>
        <v>0</v>
      </c>
      <c r="H480" s="23">
        <f t="shared" si="59"/>
        <v>1</v>
      </c>
      <c r="I480" s="23">
        <f t="shared" si="60"/>
        <v>0</v>
      </c>
      <c r="J480" s="21" t="e">
        <f t="shared" si="61"/>
        <v>#N/A</v>
      </c>
      <c r="K480" s="23">
        <f>'Leave Record'!I482</f>
        <v>0</v>
      </c>
    </row>
    <row r="481" spans="1:11" x14ac:dyDescent="0.25">
      <c r="A481" s="38">
        <f t="shared" si="55"/>
        <v>1</v>
      </c>
      <c r="B481" s="38">
        <f>IF(K481=$P$13,'Rule 12'!$M$4,F481-1)</f>
        <v>-1</v>
      </c>
      <c r="C481" s="23">
        <f t="shared" si="56"/>
        <v>-1</v>
      </c>
      <c r="D481" s="21">
        <f t="shared" si="57"/>
        <v>-8.3333333333333329E-2</v>
      </c>
      <c r="E481" s="21" t="e">
        <f t="shared" si="58"/>
        <v>#N/A</v>
      </c>
      <c r="F481" s="38">
        <f>'Leave Record'!G483</f>
        <v>0</v>
      </c>
      <c r="G481" s="38">
        <f>'Leave Record'!H483</f>
        <v>0</v>
      </c>
      <c r="H481" s="23">
        <f t="shared" si="59"/>
        <v>1</v>
      </c>
      <c r="I481" s="23">
        <f t="shared" si="60"/>
        <v>0</v>
      </c>
      <c r="J481" s="21" t="e">
        <f t="shared" si="61"/>
        <v>#N/A</v>
      </c>
      <c r="K481" s="23">
        <f>'Leave Record'!I483</f>
        <v>0</v>
      </c>
    </row>
    <row r="482" spans="1:11" x14ac:dyDescent="0.25">
      <c r="A482" s="38">
        <f t="shared" si="55"/>
        <v>1</v>
      </c>
      <c r="B482" s="38">
        <f>IF(K482=$P$13,'Rule 12'!$M$4,F482-1)</f>
        <v>-1</v>
      </c>
      <c r="C482" s="23">
        <f t="shared" si="56"/>
        <v>-1</v>
      </c>
      <c r="D482" s="21">
        <f t="shared" si="57"/>
        <v>-8.3333333333333329E-2</v>
      </c>
      <c r="E482" s="21" t="e">
        <f t="shared" si="58"/>
        <v>#N/A</v>
      </c>
      <c r="F482" s="38">
        <f>'Leave Record'!G484</f>
        <v>0</v>
      </c>
      <c r="G482" s="38">
        <f>'Leave Record'!H484</f>
        <v>0</v>
      </c>
      <c r="H482" s="23">
        <f t="shared" si="59"/>
        <v>1</v>
      </c>
      <c r="I482" s="23">
        <f t="shared" si="60"/>
        <v>0</v>
      </c>
      <c r="J482" s="21" t="e">
        <f t="shared" si="61"/>
        <v>#N/A</v>
      </c>
      <c r="K482" s="23">
        <f>'Leave Record'!I484</f>
        <v>0</v>
      </c>
    </row>
    <row r="483" spans="1:11" x14ac:dyDescent="0.25">
      <c r="A483" s="38">
        <f t="shared" si="55"/>
        <v>1</v>
      </c>
      <c r="B483" s="38">
        <f>IF(K483=$P$13,'Rule 12'!$M$4,F483-1)</f>
        <v>-1</v>
      </c>
      <c r="C483" s="23">
        <f t="shared" si="56"/>
        <v>-1</v>
      </c>
      <c r="D483" s="21">
        <f t="shared" si="57"/>
        <v>-8.3333333333333329E-2</v>
      </c>
      <c r="E483" s="21" t="e">
        <f t="shared" si="58"/>
        <v>#N/A</v>
      </c>
      <c r="F483" s="38">
        <f>'Leave Record'!G485</f>
        <v>0</v>
      </c>
      <c r="G483" s="38">
        <f>'Leave Record'!H485</f>
        <v>0</v>
      </c>
      <c r="H483" s="23">
        <f t="shared" si="59"/>
        <v>1</v>
      </c>
      <c r="I483" s="23">
        <f t="shared" si="60"/>
        <v>0</v>
      </c>
      <c r="J483" s="21" t="e">
        <f t="shared" si="61"/>
        <v>#N/A</v>
      </c>
      <c r="K483" s="23">
        <f>'Leave Record'!I485</f>
        <v>0</v>
      </c>
    </row>
    <row r="484" spans="1:11" x14ac:dyDescent="0.25">
      <c r="A484" s="38">
        <f t="shared" si="55"/>
        <v>1</v>
      </c>
      <c r="B484" s="38">
        <f>IF(K484=$P$13,'Rule 12'!$M$4,F484-1)</f>
        <v>-1</v>
      </c>
      <c r="C484" s="23">
        <f t="shared" si="56"/>
        <v>-1</v>
      </c>
      <c r="D484" s="21">
        <f t="shared" si="57"/>
        <v>-8.3333333333333329E-2</v>
      </c>
      <c r="E484" s="21" t="e">
        <f t="shared" si="58"/>
        <v>#N/A</v>
      </c>
      <c r="F484" s="38">
        <f>'Leave Record'!G486</f>
        <v>0</v>
      </c>
      <c r="G484" s="38">
        <f>'Leave Record'!H486</f>
        <v>0</v>
      </c>
      <c r="H484" s="23">
        <f t="shared" si="59"/>
        <v>1</v>
      </c>
      <c r="I484" s="23">
        <f t="shared" si="60"/>
        <v>0</v>
      </c>
      <c r="J484" s="21" t="e">
        <f t="shared" si="61"/>
        <v>#N/A</v>
      </c>
      <c r="K484" s="23">
        <f>'Leave Record'!I486</f>
        <v>0</v>
      </c>
    </row>
    <row r="485" spans="1:11" x14ac:dyDescent="0.25">
      <c r="A485" s="38">
        <f t="shared" si="55"/>
        <v>1</v>
      </c>
      <c r="B485" s="38">
        <f>IF(K485=$P$13,'Rule 12'!$M$4,F485-1)</f>
        <v>-1</v>
      </c>
      <c r="C485" s="23">
        <f t="shared" si="56"/>
        <v>-1</v>
      </c>
      <c r="D485" s="21">
        <f t="shared" si="57"/>
        <v>-8.3333333333333329E-2</v>
      </c>
      <c r="E485" s="21" t="e">
        <f t="shared" si="58"/>
        <v>#N/A</v>
      </c>
      <c r="F485" s="38">
        <f>'Leave Record'!G487</f>
        <v>0</v>
      </c>
      <c r="G485" s="38">
        <f>'Leave Record'!H487</f>
        <v>0</v>
      </c>
      <c r="H485" s="23">
        <f t="shared" si="59"/>
        <v>1</v>
      </c>
      <c r="I485" s="23">
        <f t="shared" si="60"/>
        <v>0</v>
      </c>
      <c r="J485" s="21" t="e">
        <f t="shared" si="61"/>
        <v>#N/A</v>
      </c>
      <c r="K485" s="23">
        <f>'Leave Record'!I487</f>
        <v>0</v>
      </c>
    </row>
    <row r="486" spans="1:11" x14ac:dyDescent="0.25">
      <c r="A486" s="38">
        <f t="shared" si="55"/>
        <v>1</v>
      </c>
      <c r="B486" s="38">
        <f>IF(K486=$P$13,'Rule 12'!$M$4,F486-1)</f>
        <v>-1</v>
      </c>
      <c r="C486" s="23">
        <f t="shared" si="56"/>
        <v>-1</v>
      </c>
      <c r="D486" s="21">
        <f t="shared" si="57"/>
        <v>-8.3333333333333329E-2</v>
      </c>
      <c r="E486" s="21" t="e">
        <f t="shared" si="58"/>
        <v>#N/A</v>
      </c>
      <c r="F486" s="38">
        <f>'Leave Record'!G488</f>
        <v>0</v>
      </c>
      <c r="G486" s="38">
        <f>'Leave Record'!H488</f>
        <v>0</v>
      </c>
      <c r="H486" s="23">
        <f t="shared" si="59"/>
        <v>1</v>
      </c>
      <c r="I486" s="23">
        <f t="shared" si="60"/>
        <v>0</v>
      </c>
      <c r="J486" s="21" t="e">
        <f t="shared" si="61"/>
        <v>#N/A</v>
      </c>
      <c r="K486" s="23">
        <f>'Leave Record'!I488</f>
        <v>0</v>
      </c>
    </row>
    <row r="487" spans="1:11" x14ac:dyDescent="0.25">
      <c r="A487" s="38">
        <f t="shared" si="55"/>
        <v>1</v>
      </c>
      <c r="B487" s="38">
        <f>IF(K487=$P$13,'Rule 12'!$M$4,F487-1)</f>
        <v>-1</v>
      </c>
      <c r="C487" s="23">
        <f t="shared" si="56"/>
        <v>-1</v>
      </c>
      <c r="D487" s="21">
        <f t="shared" si="57"/>
        <v>-8.3333333333333329E-2</v>
      </c>
      <c r="E487" s="21" t="e">
        <f t="shared" si="58"/>
        <v>#N/A</v>
      </c>
      <c r="F487" s="38">
        <f>'Leave Record'!G489</f>
        <v>0</v>
      </c>
      <c r="G487" s="38">
        <f>'Leave Record'!H489</f>
        <v>0</v>
      </c>
      <c r="H487" s="23">
        <f t="shared" si="59"/>
        <v>1</v>
      </c>
      <c r="I487" s="23">
        <f t="shared" si="60"/>
        <v>0</v>
      </c>
      <c r="J487" s="21" t="e">
        <f t="shared" si="61"/>
        <v>#N/A</v>
      </c>
      <c r="K487" s="23">
        <f>'Leave Record'!I489</f>
        <v>0</v>
      </c>
    </row>
    <row r="488" spans="1:11" x14ac:dyDescent="0.25">
      <c r="A488" s="38">
        <f t="shared" si="55"/>
        <v>1</v>
      </c>
      <c r="B488" s="38">
        <f>IF(K488=$P$13,'Rule 12'!$M$4,F488-1)</f>
        <v>-1</v>
      </c>
      <c r="C488" s="23">
        <f t="shared" si="56"/>
        <v>-1</v>
      </c>
      <c r="D488" s="21">
        <f t="shared" si="57"/>
        <v>-8.3333333333333329E-2</v>
      </c>
      <c r="E488" s="21" t="e">
        <f t="shared" si="58"/>
        <v>#N/A</v>
      </c>
      <c r="F488" s="38">
        <f>'Leave Record'!G490</f>
        <v>0</v>
      </c>
      <c r="G488" s="38">
        <f>'Leave Record'!H490</f>
        <v>0</v>
      </c>
      <c r="H488" s="23">
        <f t="shared" si="59"/>
        <v>1</v>
      </c>
      <c r="I488" s="23">
        <f t="shared" si="60"/>
        <v>0</v>
      </c>
      <c r="J488" s="21" t="e">
        <f t="shared" si="61"/>
        <v>#N/A</v>
      </c>
      <c r="K488" s="23">
        <f>'Leave Record'!I490</f>
        <v>0</v>
      </c>
    </row>
    <row r="489" spans="1:11" x14ac:dyDescent="0.25">
      <c r="A489" s="38">
        <f t="shared" si="55"/>
        <v>1</v>
      </c>
      <c r="B489" s="38">
        <f>IF(K489=$P$13,'Rule 12'!$M$4,F489-1)</f>
        <v>-1</v>
      </c>
      <c r="C489" s="23">
        <f t="shared" si="56"/>
        <v>-1</v>
      </c>
      <c r="D489" s="21">
        <f t="shared" si="57"/>
        <v>-8.3333333333333329E-2</v>
      </c>
      <c r="E489" s="21" t="e">
        <f t="shared" si="58"/>
        <v>#N/A</v>
      </c>
      <c r="F489" s="38">
        <f>'Leave Record'!G491</f>
        <v>0</v>
      </c>
      <c r="G489" s="38">
        <f>'Leave Record'!H491</f>
        <v>0</v>
      </c>
      <c r="H489" s="23">
        <f t="shared" si="59"/>
        <v>1</v>
      </c>
      <c r="I489" s="23">
        <f t="shared" si="60"/>
        <v>0</v>
      </c>
      <c r="J489" s="21" t="e">
        <f t="shared" si="61"/>
        <v>#N/A</v>
      </c>
      <c r="K489" s="23">
        <f>'Leave Record'!I491</f>
        <v>0</v>
      </c>
    </row>
    <row r="490" spans="1:11" x14ac:dyDescent="0.25">
      <c r="A490" s="38">
        <f t="shared" si="55"/>
        <v>1</v>
      </c>
      <c r="B490" s="38">
        <f>IF(K490=$P$13,'Rule 12'!$M$4,F490-1)</f>
        <v>-1</v>
      </c>
      <c r="C490" s="23">
        <f t="shared" si="56"/>
        <v>-1</v>
      </c>
      <c r="D490" s="21">
        <f t="shared" si="57"/>
        <v>-8.3333333333333329E-2</v>
      </c>
      <c r="E490" s="21" t="e">
        <f t="shared" si="58"/>
        <v>#N/A</v>
      </c>
      <c r="F490" s="38">
        <f>'Leave Record'!G492</f>
        <v>0</v>
      </c>
      <c r="G490" s="38">
        <f>'Leave Record'!H492</f>
        <v>0</v>
      </c>
      <c r="H490" s="23">
        <f t="shared" si="59"/>
        <v>1</v>
      </c>
      <c r="I490" s="23">
        <f t="shared" si="60"/>
        <v>0</v>
      </c>
      <c r="J490" s="21" t="e">
        <f t="shared" si="61"/>
        <v>#N/A</v>
      </c>
      <c r="K490" s="23">
        <f>'Leave Record'!I492</f>
        <v>0</v>
      </c>
    </row>
    <row r="491" spans="1:11" x14ac:dyDescent="0.25">
      <c r="A491" s="38">
        <f t="shared" si="55"/>
        <v>1</v>
      </c>
      <c r="B491" s="38">
        <f>IF(K491=$P$13,'Rule 12'!$M$4,F491-1)</f>
        <v>-1</v>
      </c>
      <c r="C491" s="23">
        <f t="shared" si="56"/>
        <v>-1</v>
      </c>
      <c r="D491" s="21">
        <f t="shared" si="57"/>
        <v>-8.3333333333333329E-2</v>
      </c>
      <c r="E491" s="21" t="e">
        <f t="shared" si="58"/>
        <v>#N/A</v>
      </c>
      <c r="F491" s="38">
        <f>'Leave Record'!G493</f>
        <v>0</v>
      </c>
      <c r="G491" s="38">
        <f>'Leave Record'!H493</f>
        <v>0</v>
      </c>
      <c r="H491" s="23">
        <f t="shared" si="59"/>
        <v>1</v>
      </c>
      <c r="I491" s="23">
        <f t="shared" si="60"/>
        <v>0</v>
      </c>
      <c r="J491" s="21" t="e">
        <f t="shared" si="61"/>
        <v>#N/A</v>
      </c>
      <c r="K491" s="23">
        <f>'Leave Record'!I493</f>
        <v>0</v>
      </c>
    </row>
    <row r="492" spans="1:11" x14ac:dyDescent="0.25">
      <c r="A492" s="38">
        <f t="shared" si="55"/>
        <v>1</v>
      </c>
      <c r="B492" s="38">
        <f>IF(K492=$P$13,'Rule 12'!$M$4,F492-1)</f>
        <v>-1</v>
      </c>
      <c r="C492" s="23">
        <f t="shared" si="56"/>
        <v>-1</v>
      </c>
      <c r="D492" s="21">
        <f t="shared" si="57"/>
        <v>-8.3333333333333329E-2</v>
      </c>
      <c r="E492" s="21" t="e">
        <f t="shared" si="58"/>
        <v>#N/A</v>
      </c>
      <c r="F492" s="38">
        <f>'Leave Record'!G494</f>
        <v>0</v>
      </c>
      <c r="G492" s="38">
        <f>'Leave Record'!H494</f>
        <v>0</v>
      </c>
      <c r="H492" s="23">
        <f t="shared" si="59"/>
        <v>1</v>
      </c>
      <c r="I492" s="23">
        <f t="shared" si="60"/>
        <v>0</v>
      </c>
      <c r="J492" s="21" t="e">
        <f t="shared" si="61"/>
        <v>#N/A</v>
      </c>
      <c r="K492" s="23">
        <f>'Leave Record'!I494</f>
        <v>0</v>
      </c>
    </row>
    <row r="493" spans="1:11" x14ac:dyDescent="0.25">
      <c r="A493" s="38">
        <f t="shared" si="55"/>
        <v>1</v>
      </c>
      <c r="B493" s="38">
        <f>IF(K493=$P$13,'Rule 12'!$M$4,F493-1)</f>
        <v>-1</v>
      </c>
      <c r="C493" s="23">
        <f t="shared" si="56"/>
        <v>-1</v>
      </c>
      <c r="D493" s="21">
        <f t="shared" si="57"/>
        <v>-8.3333333333333329E-2</v>
      </c>
      <c r="E493" s="21" t="e">
        <f t="shared" si="58"/>
        <v>#N/A</v>
      </c>
      <c r="F493" s="38">
        <f>'Leave Record'!G495</f>
        <v>0</v>
      </c>
      <c r="G493" s="38">
        <f>'Leave Record'!H495</f>
        <v>0</v>
      </c>
      <c r="H493" s="23">
        <f t="shared" si="59"/>
        <v>1</v>
      </c>
      <c r="I493" s="23">
        <f t="shared" si="60"/>
        <v>0</v>
      </c>
      <c r="J493" s="21" t="e">
        <f t="shared" si="61"/>
        <v>#N/A</v>
      </c>
      <c r="K493" s="23">
        <f>'Leave Record'!I495</f>
        <v>0</v>
      </c>
    </row>
    <row r="494" spans="1:11" x14ac:dyDescent="0.25">
      <c r="A494" s="38">
        <f t="shared" si="55"/>
        <v>1</v>
      </c>
      <c r="B494" s="38">
        <f>IF(K494=$P$13,'Rule 12'!$M$4,F494-1)</f>
        <v>-1</v>
      </c>
      <c r="C494" s="23">
        <f t="shared" si="56"/>
        <v>-1</v>
      </c>
      <c r="D494" s="21">
        <f t="shared" si="57"/>
        <v>-8.3333333333333329E-2</v>
      </c>
      <c r="E494" s="21" t="e">
        <f t="shared" si="58"/>
        <v>#N/A</v>
      </c>
      <c r="F494" s="38">
        <f>'Leave Record'!G496</f>
        <v>0</v>
      </c>
      <c r="G494" s="38">
        <f>'Leave Record'!H496</f>
        <v>0</v>
      </c>
      <c r="H494" s="23">
        <f t="shared" si="59"/>
        <v>1</v>
      </c>
      <c r="I494" s="23">
        <f t="shared" si="60"/>
        <v>0</v>
      </c>
      <c r="J494" s="21" t="e">
        <f t="shared" si="61"/>
        <v>#N/A</v>
      </c>
      <c r="K494" s="23">
        <f>'Leave Record'!I496</f>
        <v>0</v>
      </c>
    </row>
    <row r="495" spans="1:11" x14ac:dyDescent="0.25">
      <c r="A495" s="38">
        <f t="shared" si="55"/>
        <v>1</v>
      </c>
      <c r="B495" s="38">
        <f>IF(K495=$P$13,'Rule 12'!$M$4,F495-1)</f>
        <v>-1</v>
      </c>
      <c r="C495" s="23">
        <f t="shared" si="56"/>
        <v>-1</v>
      </c>
      <c r="D495" s="21">
        <f t="shared" si="57"/>
        <v>-8.3333333333333329E-2</v>
      </c>
      <c r="E495" s="21" t="e">
        <f t="shared" si="58"/>
        <v>#N/A</v>
      </c>
      <c r="F495" s="38">
        <f>'Leave Record'!G497</f>
        <v>0</v>
      </c>
      <c r="G495" s="38">
        <f>'Leave Record'!H497</f>
        <v>0</v>
      </c>
      <c r="H495" s="23">
        <f t="shared" si="59"/>
        <v>1</v>
      </c>
      <c r="I495" s="23">
        <f t="shared" si="60"/>
        <v>0</v>
      </c>
      <c r="J495" s="21" t="e">
        <f t="shared" si="61"/>
        <v>#N/A</v>
      </c>
      <c r="K495" s="23">
        <f>'Leave Record'!I497</f>
        <v>0</v>
      </c>
    </row>
    <row r="496" spans="1:11" x14ac:dyDescent="0.25">
      <c r="A496" s="38">
        <f t="shared" si="55"/>
        <v>1</v>
      </c>
      <c r="B496" s="38">
        <f>IF(K496=$P$13,'Rule 12'!$M$4,F496-1)</f>
        <v>-1</v>
      </c>
      <c r="C496" s="23">
        <f t="shared" si="56"/>
        <v>-1</v>
      </c>
      <c r="D496" s="21">
        <f t="shared" si="57"/>
        <v>-8.3333333333333329E-2</v>
      </c>
      <c r="E496" s="21" t="e">
        <f t="shared" si="58"/>
        <v>#N/A</v>
      </c>
      <c r="F496" s="38">
        <f>'Leave Record'!G498</f>
        <v>0</v>
      </c>
      <c r="G496" s="38">
        <f>'Leave Record'!H498</f>
        <v>0</v>
      </c>
      <c r="H496" s="23">
        <f t="shared" si="59"/>
        <v>1</v>
      </c>
      <c r="I496" s="23">
        <f t="shared" si="60"/>
        <v>0</v>
      </c>
      <c r="J496" s="21" t="e">
        <f t="shared" si="61"/>
        <v>#N/A</v>
      </c>
      <c r="K496" s="23">
        <f>'Leave Record'!I498</f>
        <v>0</v>
      </c>
    </row>
    <row r="497" spans="1:11" x14ac:dyDescent="0.25">
      <c r="A497" s="38">
        <f t="shared" si="55"/>
        <v>1</v>
      </c>
      <c r="B497" s="38">
        <f>IF(K497=$P$13,'Rule 12'!$M$4,F497-1)</f>
        <v>-1</v>
      </c>
      <c r="C497" s="23">
        <f t="shared" si="56"/>
        <v>-1</v>
      </c>
      <c r="D497" s="21">
        <f t="shared" si="57"/>
        <v>-8.3333333333333329E-2</v>
      </c>
      <c r="E497" s="21" t="e">
        <f t="shared" si="58"/>
        <v>#N/A</v>
      </c>
      <c r="F497" s="38">
        <f>'Leave Record'!G499</f>
        <v>0</v>
      </c>
      <c r="G497" s="38">
        <f>'Leave Record'!H499</f>
        <v>0</v>
      </c>
      <c r="H497" s="23">
        <f t="shared" si="59"/>
        <v>1</v>
      </c>
      <c r="I497" s="23">
        <f t="shared" si="60"/>
        <v>0</v>
      </c>
      <c r="J497" s="21" t="e">
        <f t="shared" si="61"/>
        <v>#N/A</v>
      </c>
      <c r="K497" s="23">
        <f>'Leave Record'!I499</f>
        <v>0</v>
      </c>
    </row>
    <row r="498" spans="1:11" x14ac:dyDescent="0.25">
      <c r="A498" s="38">
        <f t="shared" si="55"/>
        <v>1</v>
      </c>
      <c r="B498" s="38">
        <f>IF(K498=$P$13,'Rule 12'!$M$4,F498-1)</f>
        <v>-1</v>
      </c>
      <c r="C498" s="23">
        <f t="shared" si="56"/>
        <v>-1</v>
      </c>
      <c r="D498" s="21">
        <f t="shared" si="57"/>
        <v>-8.3333333333333329E-2</v>
      </c>
      <c r="E498" s="21" t="e">
        <f t="shared" si="58"/>
        <v>#N/A</v>
      </c>
      <c r="F498" s="38">
        <f>'Leave Record'!G500</f>
        <v>0</v>
      </c>
      <c r="G498" s="38">
        <f>'Leave Record'!H500</f>
        <v>0</v>
      </c>
      <c r="H498" s="23">
        <f t="shared" si="59"/>
        <v>1</v>
      </c>
      <c r="I498" s="23">
        <f t="shared" si="60"/>
        <v>0</v>
      </c>
      <c r="J498" s="21" t="e">
        <f t="shared" si="61"/>
        <v>#N/A</v>
      </c>
      <c r="K498" s="23">
        <f>'Leave Record'!I500</f>
        <v>0</v>
      </c>
    </row>
    <row r="499" spans="1:11" x14ac:dyDescent="0.25">
      <c r="A499" s="38">
        <f t="shared" si="55"/>
        <v>1</v>
      </c>
      <c r="B499" s="38">
        <f>IF(K499=$P$13,'Rule 12'!$M$4,F499-1)</f>
        <v>-1</v>
      </c>
      <c r="C499" s="23">
        <f t="shared" si="56"/>
        <v>-1</v>
      </c>
      <c r="D499" s="21">
        <f t="shared" si="57"/>
        <v>-8.3333333333333329E-2</v>
      </c>
      <c r="E499" s="21" t="e">
        <f t="shared" si="58"/>
        <v>#N/A</v>
      </c>
      <c r="F499" s="38">
        <f>'Leave Record'!G501</f>
        <v>0</v>
      </c>
      <c r="G499" s="38">
        <f>'Leave Record'!H501</f>
        <v>0</v>
      </c>
      <c r="H499" s="23">
        <f t="shared" si="59"/>
        <v>1</v>
      </c>
      <c r="I499" s="23">
        <f t="shared" si="60"/>
        <v>0</v>
      </c>
      <c r="J499" s="21" t="e">
        <f t="shared" si="61"/>
        <v>#N/A</v>
      </c>
      <c r="K499" s="23">
        <f>'Leave Record'!I501</f>
        <v>0</v>
      </c>
    </row>
    <row r="500" spans="1:11" x14ac:dyDescent="0.25">
      <c r="A500" s="38">
        <f t="shared" si="55"/>
        <v>1</v>
      </c>
      <c r="B500" s="38">
        <f>IF(K500=$P$13,'Rule 12'!$M$4,F500-1)</f>
        <v>-1</v>
      </c>
      <c r="C500" s="23">
        <f t="shared" si="56"/>
        <v>-1</v>
      </c>
      <c r="D500" s="21">
        <f t="shared" si="57"/>
        <v>-8.3333333333333329E-2</v>
      </c>
      <c r="E500" s="21" t="e">
        <f t="shared" si="58"/>
        <v>#N/A</v>
      </c>
      <c r="F500" s="38">
        <f>'Leave Record'!G502</f>
        <v>0</v>
      </c>
      <c r="G500" s="38">
        <f>'Leave Record'!H502</f>
        <v>0</v>
      </c>
      <c r="H500" s="23">
        <f t="shared" si="59"/>
        <v>1</v>
      </c>
      <c r="I500" s="23">
        <f t="shared" si="60"/>
        <v>0</v>
      </c>
      <c r="J500" s="21" t="e">
        <f t="shared" si="61"/>
        <v>#N/A</v>
      </c>
      <c r="K500" s="23">
        <f>'Leave Record'!I502</f>
        <v>0</v>
      </c>
    </row>
  </sheetData>
  <mergeCells count="16">
    <mergeCell ref="H3:H4"/>
    <mergeCell ref="B1:C1"/>
    <mergeCell ref="D1:H1"/>
    <mergeCell ref="J1:K1"/>
    <mergeCell ref="A2:C2"/>
    <mergeCell ref="D2:D4"/>
    <mergeCell ref="E2:E4"/>
    <mergeCell ref="F2:H2"/>
    <mergeCell ref="I2:I4"/>
    <mergeCell ref="J2:J4"/>
    <mergeCell ref="K2:K4"/>
    <mergeCell ref="A3:A4"/>
    <mergeCell ref="B3:B4"/>
    <mergeCell ref="C3:C4"/>
    <mergeCell ref="F3:F4"/>
    <mergeCell ref="G3:G4"/>
  </mergeCells>
  <conditionalFormatting sqref="C1">
    <cfRule type="cellIs" dxfId="19" priority="6" operator="between">
      <formula>-20000</formula>
      <formula>-1.1</formula>
    </cfRule>
  </conditionalFormatting>
  <conditionalFormatting sqref="H1">
    <cfRule type="cellIs" dxfId="18" priority="5" operator="between">
      <formula>-20000</formula>
      <formula>-0.5</formula>
    </cfRule>
  </conditionalFormatting>
  <conditionalFormatting sqref="C2:C4">
    <cfRule type="cellIs" dxfId="17" priority="4" operator="between">
      <formula>-20000</formula>
      <formula>-1.1</formula>
    </cfRule>
  </conditionalFormatting>
  <conditionalFormatting sqref="H2:H4">
    <cfRule type="cellIs" dxfId="16" priority="3" operator="between">
      <formula>-20000</formula>
      <formula>-0.5</formula>
    </cfRule>
  </conditionalFormatting>
  <conditionalFormatting sqref="K2:K4">
    <cfRule type="cellIs" dxfId="15" priority="2" operator="equal">
      <formula>"1 YEAR COMPLETED"</formula>
    </cfRule>
  </conditionalFormatting>
  <conditionalFormatting sqref="A5:K500">
    <cfRule type="expression" dxfId="14" priority="7" stopIfTrue="1">
      <formula>MOD(ROW()-5,2*1)+1&lt;=1</formula>
    </cfRule>
  </conditionalFormatting>
  <pageMargins left="0.7" right="0.7" top="0.75" bottom="0.75" header="0.3" footer="0.3"/>
  <ignoredErrors>
    <ignoredError sqref="F5:G200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F28FDE-BD02-4B3F-8C1A-1CE1E78456B9}">
          <x14:formula1>
            <xm:f>'Rule 11'!$P$8:$P$16</xm:f>
          </x14:formula1>
          <xm:sqref>K5:K500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7" tint="-0.249977111117893"/>
  </sheetPr>
  <dimension ref="A1:R500"/>
  <sheetViews>
    <sheetView workbookViewId="0">
      <pane ySplit="4" topLeftCell="A5" activePane="bottomLeft" state="frozen"/>
      <selection pane="bottomLeft" activeCell="H5" sqref="H5"/>
    </sheetView>
  </sheetViews>
  <sheetFormatPr defaultColWidth="0" defaultRowHeight="15" x14ac:dyDescent="0.25"/>
  <cols>
    <col min="1" max="1" width="10.7109375" style="2" customWidth="1"/>
    <col min="2" max="2" width="11.42578125" style="2" customWidth="1"/>
    <col min="3" max="3" width="8.7109375" style="1" customWidth="1"/>
    <col min="4" max="5" width="12.7109375" style="3" customWidth="1"/>
    <col min="6" max="7" width="10.7109375" style="2" customWidth="1"/>
    <col min="8" max="8" width="8.7109375" style="1" customWidth="1"/>
    <col min="9" max="9" width="9.140625" style="1" customWidth="1"/>
    <col min="10" max="10" width="12.7109375" style="3" customWidth="1"/>
    <col min="11" max="11" width="20.7109375" style="1" customWidth="1"/>
    <col min="12" max="12" width="9.7109375" style="6" hidden="1" customWidth="1"/>
    <col min="13" max="13" width="13.7109375" style="7" hidden="1" customWidth="1"/>
    <col min="14" max="15" width="9.140625" hidden="1" customWidth="1"/>
    <col min="16" max="16" width="20.42578125" hidden="1" customWidth="1"/>
    <col min="17" max="17" width="15" hidden="1" customWidth="1"/>
    <col min="18" max="18" width="11.85546875" hidden="1" customWidth="1"/>
    <col min="19" max="16384" width="9.140625" hidden="1"/>
  </cols>
  <sheetData>
    <row r="1" spans="1:18" ht="15.75" x14ac:dyDescent="0.25">
      <c r="A1" s="11" t="s">
        <v>0</v>
      </c>
      <c r="B1" s="49">
        <f>'Leave Entry'!B3</f>
        <v>0</v>
      </c>
      <c r="C1" s="49"/>
      <c r="D1" s="47">
        <f>'Leave Record'!A1:H1</f>
        <v>0</v>
      </c>
      <c r="E1" s="47"/>
      <c r="F1" s="47"/>
      <c r="G1" s="47"/>
      <c r="H1" s="47"/>
      <c r="I1" s="12" t="s">
        <v>1</v>
      </c>
      <c r="J1" s="49">
        <f>'Leave Entry'!B4</f>
        <v>0</v>
      </c>
      <c r="K1" s="47"/>
    </row>
    <row r="2" spans="1:18" ht="15.75" x14ac:dyDescent="0.25">
      <c r="A2" s="47" t="s">
        <v>2</v>
      </c>
      <c r="B2" s="47"/>
      <c r="C2" s="47"/>
      <c r="D2" s="50" t="s">
        <v>3</v>
      </c>
      <c r="E2" s="50" t="s">
        <v>4</v>
      </c>
      <c r="F2" s="47" t="s">
        <v>5</v>
      </c>
      <c r="G2" s="47"/>
      <c r="H2" s="47"/>
      <c r="I2" s="45" t="s">
        <v>6</v>
      </c>
      <c r="J2" s="50" t="s">
        <v>7</v>
      </c>
      <c r="K2" s="47" t="s">
        <v>8</v>
      </c>
    </row>
    <row r="3" spans="1:18" x14ac:dyDescent="0.25">
      <c r="A3" s="49" t="s">
        <v>9</v>
      </c>
      <c r="B3" s="49" t="s">
        <v>10</v>
      </c>
      <c r="C3" s="45" t="s">
        <v>11</v>
      </c>
      <c r="D3" s="50"/>
      <c r="E3" s="50"/>
      <c r="F3" s="49" t="s">
        <v>9</v>
      </c>
      <c r="G3" s="49" t="s">
        <v>10</v>
      </c>
      <c r="H3" s="45" t="s">
        <v>11</v>
      </c>
      <c r="I3" s="45"/>
      <c r="J3" s="50"/>
      <c r="K3" s="47"/>
    </row>
    <row r="4" spans="1:18" x14ac:dyDescent="0.25">
      <c r="A4" s="49"/>
      <c r="B4" s="49"/>
      <c r="C4" s="45"/>
      <c r="D4" s="50"/>
      <c r="E4" s="50"/>
      <c r="F4" s="49"/>
      <c r="G4" s="49"/>
      <c r="H4" s="45"/>
      <c r="I4" s="45"/>
      <c r="J4" s="50"/>
      <c r="K4" s="47"/>
      <c r="M4" s="10">
        <f>M9</f>
        <v>7304</v>
      </c>
    </row>
    <row r="5" spans="1:18" x14ac:dyDescent="0.25">
      <c r="A5" s="8">
        <f>'Leave Record'!D4</f>
        <v>366</v>
      </c>
      <c r="B5" s="8">
        <f>IF(K5=$P$15,$M$4,IF(K5=$P$13,'Leave Entry'!$B$4,F5-1))</f>
        <v>-1</v>
      </c>
      <c r="C5" s="23">
        <f>B5-A5+1</f>
        <v>-366</v>
      </c>
      <c r="D5" s="43">
        <f>C5/11</f>
        <v>-33.272727272727273</v>
      </c>
      <c r="E5" s="43" t="e">
        <f>'Rule 22'!$P$17+D5</f>
        <v>#N/A</v>
      </c>
      <c r="F5" s="8">
        <f>'Leave Record'!D7</f>
        <v>0</v>
      </c>
      <c r="G5" s="8">
        <f>'Leave Record'!E7</f>
        <v>0</v>
      </c>
      <c r="H5" s="23">
        <f>G5-F5+1</f>
        <v>1</v>
      </c>
      <c r="I5" s="23">
        <f>IF(K5=$P$14,H5,0)</f>
        <v>0</v>
      </c>
      <c r="J5" s="43" t="e">
        <f>E5-I5</f>
        <v>#N/A</v>
      </c>
      <c r="K5" s="23">
        <f>'Leave Record'!F7</f>
        <v>0</v>
      </c>
      <c r="Q5">
        <f>K5</f>
        <v>0</v>
      </c>
      <c r="R5" s="15" t="e">
        <f>J5</f>
        <v>#N/A</v>
      </c>
    </row>
    <row r="6" spans="1:18" x14ac:dyDescent="0.25">
      <c r="A6" s="8">
        <f>G5+1</f>
        <v>1</v>
      </c>
      <c r="B6" s="8">
        <f>IF(K6=$P$15,$M$4,IF(K6=$P$13,'Leave Entry'!$B$4,F6-1))</f>
        <v>-1</v>
      </c>
      <c r="C6" s="23">
        <f t="shared" ref="C6:C69" si="0">B6-A6+1</f>
        <v>-1</v>
      </c>
      <c r="D6" s="43">
        <f t="shared" ref="D6:D69" si="1">C6/11</f>
        <v>-9.0909090909090912E-2</v>
      </c>
      <c r="E6" s="43" t="e">
        <f>J5+D6</f>
        <v>#N/A</v>
      </c>
      <c r="F6" s="8">
        <f>'Leave Record'!D8</f>
        <v>0</v>
      </c>
      <c r="G6" s="8">
        <f>'Leave Record'!E8</f>
        <v>0</v>
      </c>
      <c r="H6" s="23">
        <f t="shared" ref="H6:H69" si="2">G6-F6+1</f>
        <v>1</v>
      </c>
      <c r="I6" s="23">
        <f t="shared" ref="I6:I69" si="3">IF(K6=$P$14,H6,0)</f>
        <v>0</v>
      </c>
      <c r="J6" s="43" t="e">
        <f>E6-I6</f>
        <v>#N/A</v>
      </c>
      <c r="K6" s="23">
        <f>'Leave Record'!F8</f>
        <v>0</v>
      </c>
      <c r="Q6">
        <f t="shared" ref="Q6:Q69" si="4">K6</f>
        <v>0</v>
      </c>
      <c r="R6" s="15" t="e">
        <f t="shared" ref="R6:R69" si="5">J6</f>
        <v>#N/A</v>
      </c>
    </row>
    <row r="7" spans="1:18" x14ac:dyDescent="0.25">
      <c r="A7" s="8">
        <f t="shared" ref="A7:A70" si="6">G6+1</f>
        <v>1</v>
      </c>
      <c r="B7" s="8">
        <f>IF(K7=$P$15,$M$4,IF(K7=$P$13,'Leave Entry'!$B$4,F7-1))</f>
        <v>-1</v>
      </c>
      <c r="C7" s="23">
        <f t="shared" si="0"/>
        <v>-1</v>
      </c>
      <c r="D7" s="43">
        <f t="shared" si="1"/>
        <v>-9.0909090909090912E-2</v>
      </c>
      <c r="E7" s="43" t="e">
        <f t="shared" ref="E7:E70" si="7">J6+D7</f>
        <v>#N/A</v>
      </c>
      <c r="F7" s="8">
        <f>'Leave Record'!D9</f>
        <v>0</v>
      </c>
      <c r="G7" s="8">
        <f>'Leave Record'!E9</f>
        <v>0</v>
      </c>
      <c r="H7" s="23">
        <f t="shared" si="2"/>
        <v>1</v>
      </c>
      <c r="I7" s="23">
        <f t="shared" si="3"/>
        <v>0</v>
      </c>
      <c r="J7" s="43" t="e">
        <f t="shared" ref="J7:J70" si="8">E7-I7</f>
        <v>#N/A</v>
      </c>
      <c r="K7" s="23">
        <f>'Leave Record'!F9</f>
        <v>0</v>
      </c>
      <c r="Q7">
        <f t="shared" si="4"/>
        <v>0</v>
      </c>
      <c r="R7" s="15" t="e">
        <f t="shared" si="5"/>
        <v>#N/A</v>
      </c>
    </row>
    <row r="8" spans="1:18" x14ac:dyDescent="0.25">
      <c r="A8" s="8">
        <f t="shared" si="6"/>
        <v>1</v>
      </c>
      <c r="B8" s="8">
        <f>IF(K8=$P$15,$M$4,IF(K8=$P$13,'Leave Entry'!$B$4,F8-1))</f>
        <v>-1</v>
      </c>
      <c r="C8" s="23">
        <f t="shared" si="0"/>
        <v>-1</v>
      </c>
      <c r="D8" s="43">
        <f t="shared" si="1"/>
        <v>-9.0909090909090912E-2</v>
      </c>
      <c r="E8" s="43" t="e">
        <f t="shared" si="7"/>
        <v>#N/A</v>
      </c>
      <c r="F8" s="8">
        <f>'Leave Record'!D10</f>
        <v>0</v>
      </c>
      <c r="G8" s="8">
        <f>'Leave Record'!E10</f>
        <v>0</v>
      </c>
      <c r="H8" s="23">
        <f t="shared" si="2"/>
        <v>1</v>
      </c>
      <c r="I8" s="23">
        <f t="shared" si="3"/>
        <v>0</v>
      </c>
      <c r="J8" s="43" t="e">
        <f t="shared" si="8"/>
        <v>#N/A</v>
      </c>
      <c r="K8" s="23">
        <f>'Leave Record'!F10</f>
        <v>0</v>
      </c>
      <c r="P8" t="s">
        <v>14</v>
      </c>
      <c r="Q8">
        <f t="shared" si="4"/>
        <v>0</v>
      </c>
      <c r="R8" s="15" t="e">
        <f t="shared" si="5"/>
        <v>#N/A</v>
      </c>
    </row>
    <row r="9" spans="1:18" x14ac:dyDescent="0.25">
      <c r="A9" s="8">
        <f t="shared" si="6"/>
        <v>1</v>
      </c>
      <c r="B9" s="8">
        <f>IF(K9=$P$15,$M$4,IF(K9=$P$13,'Leave Entry'!$B$4,F9-1))</f>
        <v>-1</v>
      </c>
      <c r="C9" s="23">
        <f t="shared" si="0"/>
        <v>-1</v>
      </c>
      <c r="D9" s="43">
        <f t="shared" si="1"/>
        <v>-9.0909090909090912E-2</v>
      </c>
      <c r="E9" s="43" t="e">
        <f t="shared" si="7"/>
        <v>#N/A</v>
      </c>
      <c r="F9" s="8">
        <f>'Leave Record'!D11</f>
        <v>0</v>
      </c>
      <c r="G9" s="8">
        <f>'Leave Record'!E11</f>
        <v>0</v>
      </c>
      <c r="H9" s="23">
        <f t="shared" si="2"/>
        <v>1</v>
      </c>
      <c r="I9" s="23">
        <f t="shared" si="3"/>
        <v>0</v>
      </c>
      <c r="J9" s="43" t="e">
        <f t="shared" si="8"/>
        <v>#N/A</v>
      </c>
      <c r="K9" s="23">
        <f>'Leave Record'!F11</f>
        <v>0</v>
      </c>
      <c r="M9" s="14">
        <f>'Leave Record'!E4</f>
        <v>7304</v>
      </c>
      <c r="P9" t="s">
        <v>15</v>
      </c>
      <c r="Q9">
        <f t="shared" si="4"/>
        <v>0</v>
      </c>
      <c r="R9" s="15" t="e">
        <f t="shared" si="5"/>
        <v>#N/A</v>
      </c>
    </row>
    <row r="10" spans="1:18" x14ac:dyDescent="0.25">
      <c r="A10" s="8">
        <f t="shared" si="6"/>
        <v>1</v>
      </c>
      <c r="B10" s="8">
        <f>IF(K10=$P$15,$M$4,IF(K10=$P$13,'Leave Entry'!$B$4,F10-1))</f>
        <v>-1</v>
      </c>
      <c r="C10" s="23">
        <f t="shared" si="0"/>
        <v>-1</v>
      </c>
      <c r="D10" s="43">
        <f t="shared" si="1"/>
        <v>-9.0909090909090912E-2</v>
      </c>
      <c r="E10" s="43" t="e">
        <f t="shared" si="7"/>
        <v>#N/A</v>
      </c>
      <c r="F10" s="8">
        <f>'Leave Record'!D12</f>
        <v>0</v>
      </c>
      <c r="G10" s="8">
        <f>'Leave Record'!E12</f>
        <v>0</v>
      </c>
      <c r="H10" s="23">
        <f t="shared" si="2"/>
        <v>1</v>
      </c>
      <c r="I10" s="23">
        <f t="shared" si="3"/>
        <v>0</v>
      </c>
      <c r="J10" s="43" t="e">
        <f t="shared" si="8"/>
        <v>#N/A</v>
      </c>
      <c r="K10" s="23">
        <f>'Leave Record'!F12</f>
        <v>0</v>
      </c>
      <c r="P10" t="s">
        <v>16</v>
      </c>
      <c r="Q10">
        <f t="shared" si="4"/>
        <v>0</v>
      </c>
      <c r="R10" s="15" t="e">
        <f t="shared" si="5"/>
        <v>#N/A</v>
      </c>
    </row>
    <row r="11" spans="1:18" x14ac:dyDescent="0.25">
      <c r="A11" s="8">
        <f t="shared" si="6"/>
        <v>1</v>
      </c>
      <c r="B11" s="8">
        <f>IF(K11=$P$15,$M$4,IF(K11=$P$13,'Leave Entry'!$B$4,F11-1))</f>
        <v>-1</v>
      </c>
      <c r="C11" s="23">
        <f t="shared" si="0"/>
        <v>-1</v>
      </c>
      <c r="D11" s="43">
        <f t="shared" si="1"/>
        <v>-9.0909090909090912E-2</v>
      </c>
      <c r="E11" s="43" t="e">
        <f t="shared" si="7"/>
        <v>#N/A</v>
      </c>
      <c r="F11" s="8">
        <f>'Leave Record'!D13</f>
        <v>0</v>
      </c>
      <c r="G11" s="8">
        <f>'Leave Record'!E13</f>
        <v>0</v>
      </c>
      <c r="H11" s="23">
        <f t="shared" si="2"/>
        <v>1</v>
      </c>
      <c r="I11" s="23">
        <f t="shared" si="3"/>
        <v>0</v>
      </c>
      <c r="J11" s="43" t="e">
        <f t="shared" si="8"/>
        <v>#N/A</v>
      </c>
      <c r="K11" s="23">
        <f>'Leave Record'!F13</f>
        <v>0</v>
      </c>
      <c r="P11" t="s">
        <v>17</v>
      </c>
      <c r="Q11">
        <f t="shared" si="4"/>
        <v>0</v>
      </c>
      <c r="R11" s="15" t="e">
        <f t="shared" si="5"/>
        <v>#N/A</v>
      </c>
    </row>
    <row r="12" spans="1:18" x14ac:dyDescent="0.25">
      <c r="A12" s="8">
        <f t="shared" si="6"/>
        <v>1</v>
      </c>
      <c r="B12" s="8">
        <f>IF(K12=$P$15,$M$4,IF(K12=$P$13,'Leave Entry'!$B$4,F12-1))</f>
        <v>-1</v>
      </c>
      <c r="C12" s="23">
        <f t="shared" si="0"/>
        <v>-1</v>
      </c>
      <c r="D12" s="43">
        <f t="shared" si="1"/>
        <v>-9.0909090909090912E-2</v>
      </c>
      <c r="E12" s="43" t="e">
        <f t="shared" si="7"/>
        <v>#N/A</v>
      </c>
      <c r="F12" s="8">
        <f>'Leave Record'!D14</f>
        <v>0</v>
      </c>
      <c r="G12" s="8">
        <f>'Leave Record'!E14</f>
        <v>0</v>
      </c>
      <c r="H12" s="23">
        <f t="shared" si="2"/>
        <v>1</v>
      </c>
      <c r="I12" s="23">
        <f t="shared" si="3"/>
        <v>0</v>
      </c>
      <c r="J12" s="43" t="e">
        <f t="shared" si="8"/>
        <v>#N/A</v>
      </c>
      <c r="K12" s="23">
        <f>'Leave Record'!F14</f>
        <v>0</v>
      </c>
      <c r="P12" t="s">
        <v>18</v>
      </c>
      <c r="Q12">
        <f t="shared" si="4"/>
        <v>0</v>
      </c>
      <c r="R12" s="15" t="e">
        <f t="shared" si="5"/>
        <v>#N/A</v>
      </c>
    </row>
    <row r="13" spans="1:18" x14ac:dyDescent="0.25">
      <c r="A13" s="8">
        <f t="shared" si="6"/>
        <v>1</v>
      </c>
      <c r="B13" s="8">
        <f>IF(K13=$P$15,$M$4,IF(K13=$P$13,'Leave Entry'!$B$4,F13-1))</f>
        <v>-1</v>
      </c>
      <c r="C13" s="23">
        <f t="shared" si="0"/>
        <v>-1</v>
      </c>
      <c r="D13" s="43">
        <f t="shared" si="1"/>
        <v>-9.0909090909090912E-2</v>
      </c>
      <c r="E13" s="43" t="e">
        <f t="shared" si="7"/>
        <v>#N/A</v>
      </c>
      <c r="F13" s="8">
        <f>'Leave Record'!D15</f>
        <v>0</v>
      </c>
      <c r="G13" s="8">
        <f>'Leave Record'!E15</f>
        <v>0</v>
      </c>
      <c r="H13" s="23">
        <f t="shared" si="2"/>
        <v>1</v>
      </c>
      <c r="I13" s="23">
        <f t="shared" si="3"/>
        <v>0</v>
      </c>
      <c r="J13" s="43" t="e">
        <f t="shared" si="8"/>
        <v>#N/A</v>
      </c>
      <c r="K13" s="23">
        <f>'Leave Record'!F15</f>
        <v>0</v>
      </c>
      <c r="P13" t="s">
        <v>19</v>
      </c>
      <c r="Q13">
        <f t="shared" si="4"/>
        <v>0</v>
      </c>
      <c r="R13" s="15" t="e">
        <f t="shared" si="5"/>
        <v>#N/A</v>
      </c>
    </row>
    <row r="14" spans="1:18" x14ac:dyDescent="0.25">
      <c r="A14" s="8">
        <f t="shared" si="6"/>
        <v>1</v>
      </c>
      <c r="B14" s="8">
        <f>IF(K14=$P$15,$M$4,IF(K14=$P$13,'Leave Entry'!$B$4,F14-1))</f>
        <v>-1</v>
      </c>
      <c r="C14" s="23">
        <f t="shared" si="0"/>
        <v>-1</v>
      </c>
      <c r="D14" s="43">
        <f t="shared" si="1"/>
        <v>-9.0909090909090912E-2</v>
      </c>
      <c r="E14" s="43" t="e">
        <f t="shared" si="7"/>
        <v>#N/A</v>
      </c>
      <c r="F14" s="8">
        <f>'Leave Record'!D16</f>
        <v>0</v>
      </c>
      <c r="G14" s="8">
        <f>'Leave Record'!E16</f>
        <v>0</v>
      </c>
      <c r="H14" s="23">
        <f t="shared" si="2"/>
        <v>1</v>
      </c>
      <c r="I14" s="23">
        <f t="shared" si="3"/>
        <v>0</v>
      </c>
      <c r="J14" s="43" t="e">
        <f t="shared" si="8"/>
        <v>#N/A</v>
      </c>
      <c r="K14" s="23">
        <f>'Leave Record'!F16</f>
        <v>0</v>
      </c>
      <c r="P14" t="s">
        <v>13</v>
      </c>
      <c r="Q14">
        <f t="shared" si="4"/>
        <v>0</v>
      </c>
      <c r="R14" s="15" t="e">
        <f t="shared" si="5"/>
        <v>#N/A</v>
      </c>
    </row>
    <row r="15" spans="1:18" x14ac:dyDescent="0.25">
      <c r="A15" s="8">
        <f t="shared" si="6"/>
        <v>1</v>
      </c>
      <c r="B15" s="8">
        <f>IF(K15=$P$15,$M$4,IF(K15=$P$13,'Leave Entry'!$B$4,F15-1))</f>
        <v>-1</v>
      </c>
      <c r="C15" s="23">
        <f t="shared" si="0"/>
        <v>-1</v>
      </c>
      <c r="D15" s="43">
        <f t="shared" si="1"/>
        <v>-9.0909090909090912E-2</v>
      </c>
      <c r="E15" s="43" t="e">
        <f t="shared" si="7"/>
        <v>#N/A</v>
      </c>
      <c r="F15" s="8">
        <f>'Leave Record'!D17</f>
        <v>0</v>
      </c>
      <c r="G15" s="8">
        <f>'Leave Record'!E17</f>
        <v>0</v>
      </c>
      <c r="H15" s="23">
        <f t="shared" si="2"/>
        <v>1</v>
      </c>
      <c r="I15" s="23">
        <f t="shared" si="3"/>
        <v>0</v>
      </c>
      <c r="J15" s="43" t="e">
        <f t="shared" si="8"/>
        <v>#N/A</v>
      </c>
      <c r="K15" s="23">
        <f>'Leave Record'!F17</f>
        <v>0</v>
      </c>
      <c r="P15" t="s">
        <v>28</v>
      </c>
      <c r="Q15">
        <f t="shared" si="4"/>
        <v>0</v>
      </c>
      <c r="R15" s="15" t="e">
        <f t="shared" si="5"/>
        <v>#N/A</v>
      </c>
    </row>
    <row r="16" spans="1:18" x14ac:dyDescent="0.25">
      <c r="A16" s="8">
        <f t="shared" si="6"/>
        <v>1</v>
      </c>
      <c r="B16" s="8">
        <f>IF(K16=$P$15,$M$4,IF(K16=$P$13,'Leave Entry'!$B$4,F16-1))</f>
        <v>-1</v>
      </c>
      <c r="C16" s="23">
        <f t="shared" si="0"/>
        <v>-1</v>
      </c>
      <c r="D16" s="43">
        <f t="shared" si="1"/>
        <v>-9.0909090909090912E-2</v>
      </c>
      <c r="E16" s="43" t="e">
        <f t="shared" si="7"/>
        <v>#N/A</v>
      </c>
      <c r="F16" s="8">
        <f>'Leave Record'!D18</f>
        <v>0</v>
      </c>
      <c r="G16" s="8">
        <f>'Leave Record'!E18</f>
        <v>0</v>
      </c>
      <c r="H16" s="23">
        <f t="shared" si="2"/>
        <v>1</v>
      </c>
      <c r="I16" s="23">
        <f t="shared" si="3"/>
        <v>0</v>
      </c>
      <c r="J16" s="43" t="e">
        <f t="shared" si="8"/>
        <v>#N/A</v>
      </c>
      <c r="K16" s="23">
        <f>'Leave Record'!F18</f>
        <v>0</v>
      </c>
      <c r="P16" t="s">
        <v>27</v>
      </c>
      <c r="Q16">
        <f t="shared" si="4"/>
        <v>0</v>
      </c>
      <c r="R16" s="15" t="e">
        <f t="shared" si="5"/>
        <v>#N/A</v>
      </c>
    </row>
    <row r="17" spans="1:18" x14ac:dyDescent="0.25">
      <c r="A17" s="8">
        <f t="shared" si="6"/>
        <v>1</v>
      </c>
      <c r="B17" s="8">
        <f>IF(K17=$P$15,$M$4,IF(K17=$P$13,'Leave Entry'!$B$4,F17-1))</f>
        <v>-1</v>
      </c>
      <c r="C17" s="23">
        <f t="shared" si="0"/>
        <v>-1</v>
      </c>
      <c r="D17" s="43">
        <f t="shared" si="1"/>
        <v>-9.0909090909090912E-2</v>
      </c>
      <c r="E17" s="43" t="e">
        <f t="shared" si="7"/>
        <v>#N/A</v>
      </c>
      <c r="F17" s="8">
        <f>'Leave Record'!D19</f>
        <v>0</v>
      </c>
      <c r="G17" s="8">
        <f>'Leave Record'!E19</f>
        <v>0</v>
      </c>
      <c r="H17" s="23">
        <f t="shared" si="2"/>
        <v>1</v>
      </c>
      <c r="I17" s="23">
        <f t="shared" si="3"/>
        <v>0</v>
      </c>
      <c r="J17" s="43" t="e">
        <f t="shared" si="8"/>
        <v>#N/A</v>
      </c>
      <c r="K17" s="23">
        <f>'Leave Record'!F19</f>
        <v>0</v>
      </c>
      <c r="P17" t="e">
        <f>VLOOKUP(P15,Q5:R200,2,FALSE)</f>
        <v>#N/A</v>
      </c>
      <c r="Q17">
        <f t="shared" si="4"/>
        <v>0</v>
      </c>
      <c r="R17" s="15" t="e">
        <f t="shared" si="5"/>
        <v>#N/A</v>
      </c>
    </row>
    <row r="18" spans="1:18" x14ac:dyDescent="0.25">
      <c r="A18" s="8">
        <f t="shared" si="6"/>
        <v>1</v>
      </c>
      <c r="B18" s="8">
        <f>IF(K18=$P$15,$M$4,IF(K18=$P$13,'Leave Entry'!$B$4,F18-1))</f>
        <v>-1</v>
      </c>
      <c r="C18" s="23">
        <f t="shared" si="0"/>
        <v>-1</v>
      </c>
      <c r="D18" s="43">
        <f t="shared" si="1"/>
        <v>-9.0909090909090912E-2</v>
      </c>
      <c r="E18" s="43" t="e">
        <f t="shared" si="7"/>
        <v>#N/A</v>
      </c>
      <c r="F18" s="8">
        <f>'Leave Record'!D20</f>
        <v>0</v>
      </c>
      <c r="G18" s="8">
        <f>'Leave Record'!E20</f>
        <v>0</v>
      </c>
      <c r="H18" s="23">
        <f t="shared" si="2"/>
        <v>1</v>
      </c>
      <c r="I18" s="23">
        <f t="shared" si="3"/>
        <v>0</v>
      </c>
      <c r="J18" s="43" t="e">
        <f t="shared" si="8"/>
        <v>#N/A</v>
      </c>
      <c r="K18" s="23">
        <f>'Leave Record'!F20</f>
        <v>0</v>
      </c>
      <c r="Q18">
        <f t="shared" si="4"/>
        <v>0</v>
      </c>
      <c r="R18" s="15" t="e">
        <f t="shared" si="5"/>
        <v>#N/A</v>
      </c>
    </row>
    <row r="19" spans="1:18" x14ac:dyDescent="0.25">
      <c r="A19" s="8">
        <f t="shared" si="6"/>
        <v>1</v>
      </c>
      <c r="B19" s="8">
        <f>IF(K19=$P$15,$M$4,IF(K19=$P$13,'Leave Entry'!$B$4,F19-1))</f>
        <v>-1</v>
      </c>
      <c r="C19" s="23">
        <f t="shared" si="0"/>
        <v>-1</v>
      </c>
      <c r="D19" s="43">
        <f t="shared" si="1"/>
        <v>-9.0909090909090912E-2</v>
      </c>
      <c r="E19" s="43" t="e">
        <f t="shared" si="7"/>
        <v>#N/A</v>
      </c>
      <c r="F19" s="8">
        <f>'Leave Record'!D21</f>
        <v>0</v>
      </c>
      <c r="G19" s="8">
        <f>'Leave Record'!E21</f>
        <v>0</v>
      </c>
      <c r="H19" s="23">
        <f t="shared" si="2"/>
        <v>1</v>
      </c>
      <c r="I19" s="23">
        <f t="shared" si="3"/>
        <v>0</v>
      </c>
      <c r="J19" s="43" t="e">
        <f t="shared" si="8"/>
        <v>#N/A</v>
      </c>
      <c r="K19" s="23">
        <f>'Leave Record'!F21</f>
        <v>0</v>
      </c>
      <c r="Q19">
        <f t="shared" si="4"/>
        <v>0</v>
      </c>
      <c r="R19" s="15" t="e">
        <f t="shared" si="5"/>
        <v>#N/A</v>
      </c>
    </row>
    <row r="20" spans="1:18" x14ac:dyDescent="0.25">
      <c r="A20" s="8">
        <f t="shared" si="6"/>
        <v>1</v>
      </c>
      <c r="B20" s="8">
        <f>IF(K20=$P$15,$M$4,IF(K20=$P$13,'Leave Entry'!$B$4,F20-1))</f>
        <v>-1</v>
      </c>
      <c r="C20" s="23">
        <f t="shared" si="0"/>
        <v>-1</v>
      </c>
      <c r="D20" s="43">
        <f t="shared" si="1"/>
        <v>-9.0909090909090912E-2</v>
      </c>
      <c r="E20" s="43" t="e">
        <f t="shared" si="7"/>
        <v>#N/A</v>
      </c>
      <c r="F20" s="8">
        <f>'Leave Record'!D22</f>
        <v>0</v>
      </c>
      <c r="G20" s="8">
        <f>'Leave Record'!E22</f>
        <v>0</v>
      </c>
      <c r="H20" s="23">
        <f t="shared" si="2"/>
        <v>1</v>
      </c>
      <c r="I20" s="23">
        <f t="shared" si="3"/>
        <v>0</v>
      </c>
      <c r="J20" s="43" t="e">
        <f t="shared" si="8"/>
        <v>#N/A</v>
      </c>
      <c r="K20" s="23">
        <f>'Leave Record'!F22</f>
        <v>0</v>
      </c>
      <c r="Q20">
        <f t="shared" si="4"/>
        <v>0</v>
      </c>
      <c r="R20" s="15" t="e">
        <f t="shared" si="5"/>
        <v>#N/A</v>
      </c>
    </row>
    <row r="21" spans="1:18" x14ac:dyDescent="0.25">
      <c r="A21" s="8">
        <f t="shared" si="6"/>
        <v>1</v>
      </c>
      <c r="B21" s="8">
        <f>IF(K21=$P$15,$M$4,IF(K21=$P$13,'Leave Entry'!$B$4,F21-1))</f>
        <v>-1</v>
      </c>
      <c r="C21" s="23">
        <f t="shared" si="0"/>
        <v>-1</v>
      </c>
      <c r="D21" s="43">
        <f t="shared" si="1"/>
        <v>-9.0909090909090912E-2</v>
      </c>
      <c r="E21" s="43" t="e">
        <f t="shared" si="7"/>
        <v>#N/A</v>
      </c>
      <c r="F21" s="8">
        <f>'Leave Record'!D23</f>
        <v>0</v>
      </c>
      <c r="G21" s="8">
        <f>'Leave Record'!E23</f>
        <v>0</v>
      </c>
      <c r="H21" s="23">
        <f t="shared" si="2"/>
        <v>1</v>
      </c>
      <c r="I21" s="23">
        <f t="shared" si="3"/>
        <v>0</v>
      </c>
      <c r="J21" s="43" t="e">
        <f t="shared" si="8"/>
        <v>#N/A</v>
      </c>
      <c r="K21" s="23">
        <f>'Leave Record'!F23</f>
        <v>0</v>
      </c>
      <c r="Q21">
        <f t="shared" si="4"/>
        <v>0</v>
      </c>
      <c r="R21" s="15" t="e">
        <f t="shared" si="5"/>
        <v>#N/A</v>
      </c>
    </row>
    <row r="22" spans="1:18" x14ac:dyDescent="0.25">
      <c r="A22" s="8">
        <f t="shared" si="6"/>
        <v>1</v>
      </c>
      <c r="B22" s="8">
        <f>IF(K22=$P$15,$M$4,IF(K22=$P$13,'Leave Entry'!$B$4,F22-1))</f>
        <v>-1</v>
      </c>
      <c r="C22" s="23">
        <f t="shared" si="0"/>
        <v>-1</v>
      </c>
      <c r="D22" s="43">
        <f t="shared" si="1"/>
        <v>-9.0909090909090912E-2</v>
      </c>
      <c r="E22" s="43" t="e">
        <f t="shared" si="7"/>
        <v>#N/A</v>
      </c>
      <c r="F22" s="8">
        <f>'Leave Record'!D24</f>
        <v>0</v>
      </c>
      <c r="G22" s="8">
        <f>'Leave Record'!E24</f>
        <v>0</v>
      </c>
      <c r="H22" s="23">
        <f t="shared" si="2"/>
        <v>1</v>
      </c>
      <c r="I22" s="23">
        <f t="shared" si="3"/>
        <v>0</v>
      </c>
      <c r="J22" s="43" t="e">
        <f t="shared" si="8"/>
        <v>#N/A</v>
      </c>
      <c r="K22" s="23">
        <f>'Leave Record'!F24</f>
        <v>0</v>
      </c>
      <c r="Q22">
        <f t="shared" si="4"/>
        <v>0</v>
      </c>
      <c r="R22" s="15" t="e">
        <f t="shared" si="5"/>
        <v>#N/A</v>
      </c>
    </row>
    <row r="23" spans="1:18" x14ac:dyDescent="0.25">
      <c r="A23" s="8">
        <f t="shared" si="6"/>
        <v>1</v>
      </c>
      <c r="B23" s="8">
        <f>IF(K23=$P$15,$M$4,IF(K23=$P$13,'Leave Entry'!$B$4,F23-1))</f>
        <v>-1</v>
      </c>
      <c r="C23" s="23">
        <f t="shared" si="0"/>
        <v>-1</v>
      </c>
      <c r="D23" s="43">
        <f t="shared" si="1"/>
        <v>-9.0909090909090912E-2</v>
      </c>
      <c r="E23" s="43" t="e">
        <f t="shared" si="7"/>
        <v>#N/A</v>
      </c>
      <c r="F23" s="8">
        <f>'Leave Record'!D25</f>
        <v>0</v>
      </c>
      <c r="G23" s="8">
        <f>'Leave Record'!E25</f>
        <v>0</v>
      </c>
      <c r="H23" s="23">
        <f t="shared" si="2"/>
        <v>1</v>
      </c>
      <c r="I23" s="23">
        <f t="shared" si="3"/>
        <v>0</v>
      </c>
      <c r="J23" s="43" t="e">
        <f t="shared" si="8"/>
        <v>#N/A</v>
      </c>
      <c r="K23" s="23">
        <f>'Leave Record'!F25</f>
        <v>0</v>
      </c>
      <c r="Q23">
        <f t="shared" si="4"/>
        <v>0</v>
      </c>
      <c r="R23" s="15" t="e">
        <f t="shared" si="5"/>
        <v>#N/A</v>
      </c>
    </row>
    <row r="24" spans="1:18" x14ac:dyDescent="0.25">
      <c r="A24" s="8">
        <f t="shared" si="6"/>
        <v>1</v>
      </c>
      <c r="B24" s="8">
        <f>IF(K24=$P$15,$M$4,IF(K24=$P$13,'Leave Entry'!$B$4,F24-1))</f>
        <v>-1</v>
      </c>
      <c r="C24" s="23">
        <f t="shared" si="0"/>
        <v>-1</v>
      </c>
      <c r="D24" s="43">
        <f t="shared" si="1"/>
        <v>-9.0909090909090912E-2</v>
      </c>
      <c r="E24" s="43" t="e">
        <f t="shared" si="7"/>
        <v>#N/A</v>
      </c>
      <c r="F24" s="8">
        <f>'Leave Record'!D26</f>
        <v>0</v>
      </c>
      <c r="G24" s="8">
        <f>'Leave Record'!E26</f>
        <v>0</v>
      </c>
      <c r="H24" s="23">
        <f t="shared" si="2"/>
        <v>1</v>
      </c>
      <c r="I24" s="23">
        <f t="shared" si="3"/>
        <v>0</v>
      </c>
      <c r="J24" s="43" t="e">
        <f t="shared" si="8"/>
        <v>#N/A</v>
      </c>
      <c r="K24" s="23">
        <f>'Leave Record'!F26</f>
        <v>0</v>
      </c>
      <c r="Q24">
        <f t="shared" si="4"/>
        <v>0</v>
      </c>
      <c r="R24" s="15" t="e">
        <f t="shared" si="5"/>
        <v>#N/A</v>
      </c>
    </row>
    <row r="25" spans="1:18" x14ac:dyDescent="0.25">
      <c r="A25" s="8">
        <f t="shared" si="6"/>
        <v>1</v>
      </c>
      <c r="B25" s="8">
        <f>IF(K25=$P$15,$M$4,IF(K25=$P$13,'Leave Entry'!$B$4,F25-1))</f>
        <v>-1</v>
      </c>
      <c r="C25" s="23">
        <f t="shared" si="0"/>
        <v>-1</v>
      </c>
      <c r="D25" s="43">
        <f t="shared" si="1"/>
        <v>-9.0909090909090912E-2</v>
      </c>
      <c r="E25" s="43" t="e">
        <f t="shared" si="7"/>
        <v>#N/A</v>
      </c>
      <c r="F25" s="8">
        <f>'Leave Record'!D27</f>
        <v>0</v>
      </c>
      <c r="G25" s="8">
        <f>'Leave Record'!E27</f>
        <v>0</v>
      </c>
      <c r="H25" s="23">
        <f t="shared" si="2"/>
        <v>1</v>
      </c>
      <c r="I25" s="23">
        <f t="shared" si="3"/>
        <v>0</v>
      </c>
      <c r="J25" s="43" t="e">
        <f t="shared" si="8"/>
        <v>#N/A</v>
      </c>
      <c r="K25" s="23">
        <f>'Leave Record'!F27</f>
        <v>0</v>
      </c>
      <c r="Q25">
        <f t="shared" si="4"/>
        <v>0</v>
      </c>
      <c r="R25" s="15" t="e">
        <f t="shared" si="5"/>
        <v>#N/A</v>
      </c>
    </row>
    <row r="26" spans="1:18" x14ac:dyDescent="0.25">
      <c r="A26" s="8">
        <f t="shared" si="6"/>
        <v>1</v>
      </c>
      <c r="B26" s="8">
        <f>IF(K26=$P$15,$M$4,IF(K26=$P$13,'Leave Entry'!$B$4,F26-1))</f>
        <v>-1</v>
      </c>
      <c r="C26" s="23">
        <f t="shared" si="0"/>
        <v>-1</v>
      </c>
      <c r="D26" s="43">
        <f t="shared" si="1"/>
        <v>-9.0909090909090912E-2</v>
      </c>
      <c r="E26" s="43" t="e">
        <f t="shared" si="7"/>
        <v>#N/A</v>
      </c>
      <c r="F26" s="8">
        <f>'Leave Record'!D28</f>
        <v>0</v>
      </c>
      <c r="G26" s="8">
        <f>'Leave Record'!E28</f>
        <v>0</v>
      </c>
      <c r="H26" s="23">
        <f t="shared" si="2"/>
        <v>1</v>
      </c>
      <c r="I26" s="23">
        <f t="shared" si="3"/>
        <v>0</v>
      </c>
      <c r="J26" s="43" t="e">
        <f t="shared" si="8"/>
        <v>#N/A</v>
      </c>
      <c r="K26" s="23">
        <f>'Leave Record'!F28</f>
        <v>0</v>
      </c>
      <c r="Q26">
        <f t="shared" si="4"/>
        <v>0</v>
      </c>
      <c r="R26" s="15" t="e">
        <f t="shared" si="5"/>
        <v>#N/A</v>
      </c>
    </row>
    <row r="27" spans="1:18" x14ac:dyDescent="0.25">
      <c r="A27" s="8">
        <f t="shared" si="6"/>
        <v>1</v>
      </c>
      <c r="B27" s="8">
        <f>IF(K27=$P$15,$M$4,IF(K27=$P$13,'Leave Entry'!$B$4,F27-1))</f>
        <v>-1</v>
      </c>
      <c r="C27" s="23">
        <f t="shared" si="0"/>
        <v>-1</v>
      </c>
      <c r="D27" s="43">
        <f t="shared" si="1"/>
        <v>-9.0909090909090912E-2</v>
      </c>
      <c r="E27" s="43" t="e">
        <f t="shared" si="7"/>
        <v>#N/A</v>
      </c>
      <c r="F27" s="8">
        <f>'Leave Record'!D29</f>
        <v>0</v>
      </c>
      <c r="G27" s="8">
        <f>'Leave Record'!E29</f>
        <v>0</v>
      </c>
      <c r="H27" s="23">
        <f t="shared" si="2"/>
        <v>1</v>
      </c>
      <c r="I27" s="23">
        <f t="shared" si="3"/>
        <v>0</v>
      </c>
      <c r="J27" s="43" t="e">
        <f t="shared" si="8"/>
        <v>#N/A</v>
      </c>
      <c r="K27" s="23">
        <f>'Leave Record'!F29</f>
        <v>0</v>
      </c>
      <c r="Q27">
        <f t="shared" si="4"/>
        <v>0</v>
      </c>
      <c r="R27" s="15" t="e">
        <f t="shared" si="5"/>
        <v>#N/A</v>
      </c>
    </row>
    <row r="28" spans="1:18" x14ac:dyDescent="0.25">
      <c r="A28" s="8">
        <f t="shared" si="6"/>
        <v>1</v>
      </c>
      <c r="B28" s="8">
        <f>IF(K28=$P$15,$M$4,IF(K28=$P$13,'Leave Entry'!$B$4,F28-1))</f>
        <v>-1</v>
      </c>
      <c r="C28" s="23">
        <f t="shared" si="0"/>
        <v>-1</v>
      </c>
      <c r="D28" s="43">
        <f t="shared" si="1"/>
        <v>-9.0909090909090912E-2</v>
      </c>
      <c r="E28" s="43" t="e">
        <f t="shared" si="7"/>
        <v>#N/A</v>
      </c>
      <c r="F28" s="8">
        <f>'Leave Record'!D30</f>
        <v>0</v>
      </c>
      <c r="G28" s="8">
        <f>'Leave Record'!E30</f>
        <v>0</v>
      </c>
      <c r="H28" s="23">
        <f t="shared" si="2"/>
        <v>1</v>
      </c>
      <c r="I28" s="23">
        <f t="shared" si="3"/>
        <v>0</v>
      </c>
      <c r="J28" s="43" t="e">
        <f t="shared" si="8"/>
        <v>#N/A</v>
      </c>
      <c r="K28" s="23">
        <f>'Leave Record'!F30</f>
        <v>0</v>
      </c>
      <c r="Q28">
        <f t="shared" si="4"/>
        <v>0</v>
      </c>
      <c r="R28" s="15" t="e">
        <f t="shared" si="5"/>
        <v>#N/A</v>
      </c>
    </row>
    <row r="29" spans="1:18" x14ac:dyDescent="0.25">
      <c r="A29" s="8">
        <f t="shared" si="6"/>
        <v>1</v>
      </c>
      <c r="B29" s="8">
        <f>IF(K29=$P$15,$M$4,IF(K29=$P$13,'Leave Entry'!$B$4,F29-1))</f>
        <v>-1</v>
      </c>
      <c r="C29" s="23">
        <f t="shared" si="0"/>
        <v>-1</v>
      </c>
      <c r="D29" s="43">
        <f t="shared" si="1"/>
        <v>-9.0909090909090912E-2</v>
      </c>
      <c r="E29" s="43" t="e">
        <f t="shared" si="7"/>
        <v>#N/A</v>
      </c>
      <c r="F29" s="8">
        <f>'Leave Record'!D31</f>
        <v>0</v>
      </c>
      <c r="G29" s="8">
        <f>'Leave Record'!E31</f>
        <v>0</v>
      </c>
      <c r="H29" s="23">
        <f t="shared" si="2"/>
        <v>1</v>
      </c>
      <c r="I29" s="23">
        <f t="shared" si="3"/>
        <v>0</v>
      </c>
      <c r="J29" s="43" t="e">
        <f t="shared" si="8"/>
        <v>#N/A</v>
      </c>
      <c r="K29" s="23">
        <f>'Leave Record'!F31</f>
        <v>0</v>
      </c>
      <c r="Q29">
        <f t="shared" si="4"/>
        <v>0</v>
      </c>
      <c r="R29" s="15" t="e">
        <f t="shared" si="5"/>
        <v>#N/A</v>
      </c>
    </row>
    <row r="30" spans="1:18" x14ac:dyDescent="0.25">
      <c r="A30" s="8">
        <f t="shared" si="6"/>
        <v>1</v>
      </c>
      <c r="B30" s="8">
        <f>IF(K30=$P$15,$M$4,IF(K30=$P$13,'Leave Entry'!$B$4,F30-1))</f>
        <v>-1</v>
      </c>
      <c r="C30" s="23">
        <f t="shared" si="0"/>
        <v>-1</v>
      </c>
      <c r="D30" s="43">
        <f t="shared" si="1"/>
        <v>-9.0909090909090912E-2</v>
      </c>
      <c r="E30" s="43" t="e">
        <f t="shared" si="7"/>
        <v>#N/A</v>
      </c>
      <c r="F30" s="8">
        <f>'Leave Record'!D32</f>
        <v>0</v>
      </c>
      <c r="G30" s="8">
        <f>'Leave Record'!E32</f>
        <v>0</v>
      </c>
      <c r="H30" s="23">
        <f t="shared" si="2"/>
        <v>1</v>
      </c>
      <c r="I30" s="23">
        <f t="shared" si="3"/>
        <v>0</v>
      </c>
      <c r="J30" s="43" t="e">
        <f t="shared" si="8"/>
        <v>#N/A</v>
      </c>
      <c r="K30" s="23">
        <f>'Leave Record'!F32</f>
        <v>0</v>
      </c>
      <c r="Q30">
        <f t="shared" si="4"/>
        <v>0</v>
      </c>
      <c r="R30" s="15" t="e">
        <f t="shared" si="5"/>
        <v>#N/A</v>
      </c>
    </row>
    <row r="31" spans="1:18" x14ac:dyDescent="0.25">
      <c r="A31" s="8">
        <f t="shared" si="6"/>
        <v>1</v>
      </c>
      <c r="B31" s="8">
        <f>IF(K31=$P$15,$M$4,IF(K31=$P$13,'Leave Entry'!$B$4,F31-1))</f>
        <v>-1</v>
      </c>
      <c r="C31" s="23">
        <f t="shared" si="0"/>
        <v>-1</v>
      </c>
      <c r="D31" s="43">
        <f t="shared" si="1"/>
        <v>-9.0909090909090912E-2</v>
      </c>
      <c r="E31" s="43" t="e">
        <f t="shared" si="7"/>
        <v>#N/A</v>
      </c>
      <c r="F31" s="8">
        <f>'Leave Record'!D33</f>
        <v>0</v>
      </c>
      <c r="G31" s="8">
        <f>'Leave Record'!E33</f>
        <v>0</v>
      </c>
      <c r="H31" s="23">
        <f t="shared" si="2"/>
        <v>1</v>
      </c>
      <c r="I31" s="23">
        <f t="shared" si="3"/>
        <v>0</v>
      </c>
      <c r="J31" s="43" t="e">
        <f t="shared" si="8"/>
        <v>#N/A</v>
      </c>
      <c r="K31" s="23">
        <f>'Leave Record'!F33</f>
        <v>0</v>
      </c>
      <c r="Q31">
        <f t="shared" si="4"/>
        <v>0</v>
      </c>
      <c r="R31" s="15" t="e">
        <f t="shared" si="5"/>
        <v>#N/A</v>
      </c>
    </row>
    <row r="32" spans="1:18" x14ac:dyDescent="0.25">
      <c r="A32" s="8">
        <f t="shared" si="6"/>
        <v>1</v>
      </c>
      <c r="B32" s="8">
        <f>IF(K32=$P$15,$M$4,IF(K32=$P$13,'Leave Entry'!$B$4,F32-1))</f>
        <v>-1</v>
      </c>
      <c r="C32" s="23">
        <f t="shared" si="0"/>
        <v>-1</v>
      </c>
      <c r="D32" s="43">
        <f t="shared" si="1"/>
        <v>-9.0909090909090912E-2</v>
      </c>
      <c r="E32" s="43" t="e">
        <f t="shared" si="7"/>
        <v>#N/A</v>
      </c>
      <c r="F32" s="8">
        <f>'Leave Record'!D34</f>
        <v>0</v>
      </c>
      <c r="G32" s="8">
        <f>'Leave Record'!E34</f>
        <v>0</v>
      </c>
      <c r="H32" s="23">
        <f t="shared" si="2"/>
        <v>1</v>
      </c>
      <c r="I32" s="23">
        <f t="shared" si="3"/>
        <v>0</v>
      </c>
      <c r="J32" s="43" t="e">
        <f t="shared" si="8"/>
        <v>#N/A</v>
      </c>
      <c r="K32" s="23">
        <f>'Leave Record'!F34</f>
        <v>0</v>
      </c>
      <c r="Q32">
        <f t="shared" si="4"/>
        <v>0</v>
      </c>
      <c r="R32" s="15" t="e">
        <f t="shared" si="5"/>
        <v>#N/A</v>
      </c>
    </row>
    <row r="33" spans="1:18" x14ac:dyDescent="0.25">
      <c r="A33" s="8">
        <f t="shared" si="6"/>
        <v>1</v>
      </c>
      <c r="B33" s="8">
        <f>IF(K33=$P$15,$M$4,IF(K33=$P$13,'Leave Entry'!$B$4,F33-1))</f>
        <v>-1</v>
      </c>
      <c r="C33" s="23">
        <f t="shared" si="0"/>
        <v>-1</v>
      </c>
      <c r="D33" s="43">
        <f t="shared" si="1"/>
        <v>-9.0909090909090912E-2</v>
      </c>
      <c r="E33" s="43" t="e">
        <f t="shared" si="7"/>
        <v>#N/A</v>
      </c>
      <c r="F33" s="8">
        <f>'Leave Record'!D35</f>
        <v>0</v>
      </c>
      <c r="G33" s="8">
        <f>'Leave Record'!E35</f>
        <v>0</v>
      </c>
      <c r="H33" s="23">
        <f t="shared" si="2"/>
        <v>1</v>
      </c>
      <c r="I33" s="23">
        <f t="shared" si="3"/>
        <v>0</v>
      </c>
      <c r="J33" s="43" t="e">
        <f t="shared" si="8"/>
        <v>#N/A</v>
      </c>
      <c r="K33" s="23">
        <f>'Leave Record'!F35</f>
        <v>0</v>
      </c>
      <c r="Q33">
        <f t="shared" si="4"/>
        <v>0</v>
      </c>
      <c r="R33" s="15" t="e">
        <f t="shared" si="5"/>
        <v>#N/A</v>
      </c>
    </row>
    <row r="34" spans="1:18" x14ac:dyDescent="0.25">
      <c r="A34" s="8">
        <f t="shared" si="6"/>
        <v>1</v>
      </c>
      <c r="B34" s="8">
        <f>IF(K34=$P$15,$M$4,IF(K34=$P$13,'Leave Entry'!$B$4,F34-1))</f>
        <v>-1</v>
      </c>
      <c r="C34" s="23">
        <f t="shared" si="0"/>
        <v>-1</v>
      </c>
      <c r="D34" s="43">
        <f t="shared" si="1"/>
        <v>-9.0909090909090912E-2</v>
      </c>
      <c r="E34" s="43" t="e">
        <f t="shared" si="7"/>
        <v>#N/A</v>
      </c>
      <c r="F34" s="8">
        <f>'Leave Record'!D36</f>
        <v>0</v>
      </c>
      <c r="G34" s="8">
        <f>'Leave Record'!E36</f>
        <v>0</v>
      </c>
      <c r="H34" s="23">
        <f t="shared" si="2"/>
        <v>1</v>
      </c>
      <c r="I34" s="23">
        <f t="shared" si="3"/>
        <v>0</v>
      </c>
      <c r="J34" s="43" t="e">
        <f t="shared" si="8"/>
        <v>#N/A</v>
      </c>
      <c r="K34" s="23">
        <f>'Leave Record'!F36</f>
        <v>0</v>
      </c>
      <c r="Q34">
        <f t="shared" si="4"/>
        <v>0</v>
      </c>
      <c r="R34" s="15" t="e">
        <f t="shared" si="5"/>
        <v>#N/A</v>
      </c>
    </row>
    <row r="35" spans="1:18" x14ac:dyDescent="0.25">
      <c r="A35" s="8">
        <f t="shared" si="6"/>
        <v>1</v>
      </c>
      <c r="B35" s="8">
        <f>IF(K35=$P$15,$M$4,IF(K35=$P$13,'Leave Entry'!$B$4,F35-1))</f>
        <v>-1</v>
      </c>
      <c r="C35" s="23">
        <f t="shared" si="0"/>
        <v>-1</v>
      </c>
      <c r="D35" s="43">
        <f t="shared" si="1"/>
        <v>-9.0909090909090912E-2</v>
      </c>
      <c r="E35" s="43" t="e">
        <f t="shared" si="7"/>
        <v>#N/A</v>
      </c>
      <c r="F35" s="8">
        <f>'Leave Record'!D37</f>
        <v>0</v>
      </c>
      <c r="G35" s="8">
        <f>'Leave Record'!E37</f>
        <v>0</v>
      </c>
      <c r="H35" s="23">
        <f t="shared" si="2"/>
        <v>1</v>
      </c>
      <c r="I35" s="23">
        <f t="shared" si="3"/>
        <v>0</v>
      </c>
      <c r="J35" s="43" t="e">
        <f t="shared" si="8"/>
        <v>#N/A</v>
      </c>
      <c r="K35" s="23">
        <f>'Leave Record'!F37</f>
        <v>0</v>
      </c>
      <c r="Q35">
        <f t="shared" si="4"/>
        <v>0</v>
      </c>
      <c r="R35" s="15" t="e">
        <f t="shared" si="5"/>
        <v>#N/A</v>
      </c>
    </row>
    <row r="36" spans="1:18" x14ac:dyDescent="0.25">
      <c r="A36" s="8">
        <f t="shared" si="6"/>
        <v>1</v>
      </c>
      <c r="B36" s="8">
        <f>IF(K36=$P$15,$M$4,IF(K36=$P$13,'Leave Entry'!$B$4,F36-1))</f>
        <v>-1</v>
      </c>
      <c r="C36" s="23">
        <f t="shared" si="0"/>
        <v>-1</v>
      </c>
      <c r="D36" s="43">
        <f t="shared" si="1"/>
        <v>-9.0909090909090912E-2</v>
      </c>
      <c r="E36" s="43" t="e">
        <f t="shared" si="7"/>
        <v>#N/A</v>
      </c>
      <c r="F36" s="8">
        <f>'Leave Record'!D38</f>
        <v>0</v>
      </c>
      <c r="G36" s="8">
        <f>'Leave Record'!E38</f>
        <v>0</v>
      </c>
      <c r="H36" s="23">
        <f t="shared" si="2"/>
        <v>1</v>
      </c>
      <c r="I36" s="23">
        <f t="shared" si="3"/>
        <v>0</v>
      </c>
      <c r="J36" s="43" t="e">
        <f t="shared" si="8"/>
        <v>#N/A</v>
      </c>
      <c r="K36" s="23">
        <f>'Leave Record'!F38</f>
        <v>0</v>
      </c>
      <c r="Q36">
        <f t="shared" si="4"/>
        <v>0</v>
      </c>
      <c r="R36" s="15" t="e">
        <f t="shared" si="5"/>
        <v>#N/A</v>
      </c>
    </row>
    <row r="37" spans="1:18" x14ac:dyDescent="0.25">
      <c r="A37" s="8">
        <f t="shared" si="6"/>
        <v>1</v>
      </c>
      <c r="B37" s="8">
        <f>IF(K37=$P$15,$M$4,IF(K37=$P$13,'Leave Entry'!$B$4,F37-1))</f>
        <v>-1</v>
      </c>
      <c r="C37" s="23">
        <f t="shared" si="0"/>
        <v>-1</v>
      </c>
      <c r="D37" s="43">
        <f t="shared" si="1"/>
        <v>-9.0909090909090912E-2</v>
      </c>
      <c r="E37" s="43" t="e">
        <f t="shared" si="7"/>
        <v>#N/A</v>
      </c>
      <c r="F37" s="8">
        <f>'Leave Record'!D39</f>
        <v>0</v>
      </c>
      <c r="G37" s="8">
        <f>'Leave Record'!E39</f>
        <v>0</v>
      </c>
      <c r="H37" s="23">
        <f t="shared" si="2"/>
        <v>1</v>
      </c>
      <c r="I37" s="23">
        <f t="shared" si="3"/>
        <v>0</v>
      </c>
      <c r="J37" s="43" t="e">
        <f t="shared" si="8"/>
        <v>#N/A</v>
      </c>
      <c r="K37" s="23">
        <f>'Leave Record'!F39</f>
        <v>0</v>
      </c>
      <c r="Q37">
        <f t="shared" si="4"/>
        <v>0</v>
      </c>
      <c r="R37" s="15" t="e">
        <f t="shared" si="5"/>
        <v>#N/A</v>
      </c>
    </row>
    <row r="38" spans="1:18" x14ac:dyDescent="0.25">
      <c r="A38" s="8">
        <f t="shared" si="6"/>
        <v>1</v>
      </c>
      <c r="B38" s="8">
        <f>IF(K38=$P$15,$M$4,IF(K38=$P$13,'Leave Entry'!$B$4,F38-1))</f>
        <v>-1</v>
      </c>
      <c r="C38" s="23">
        <f t="shared" si="0"/>
        <v>-1</v>
      </c>
      <c r="D38" s="43">
        <f t="shared" si="1"/>
        <v>-9.0909090909090912E-2</v>
      </c>
      <c r="E38" s="43" t="e">
        <f t="shared" si="7"/>
        <v>#N/A</v>
      </c>
      <c r="F38" s="8">
        <f>'Leave Record'!D40</f>
        <v>0</v>
      </c>
      <c r="G38" s="8">
        <f>'Leave Record'!E40</f>
        <v>0</v>
      </c>
      <c r="H38" s="23">
        <f t="shared" si="2"/>
        <v>1</v>
      </c>
      <c r="I38" s="23">
        <f t="shared" si="3"/>
        <v>0</v>
      </c>
      <c r="J38" s="43" t="e">
        <f t="shared" si="8"/>
        <v>#N/A</v>
      </c>
      <c r="K38" s="23">
        <f>'Leave Record'!F40</f>
        <v>0</v>
      </c>
      <c r="Q38">
        <f t="shared" si="4"/>
        <v>0</v>
      </c>
      <c r="R38" s="15" t="e">
        <f t="shared" si="5"/>
        <v>#N/A</v>
      </c>
    </row>
    <row r="39" spans="1:18" x14ac:dyDescent="0.25">
      <c r="A39" s="8">
        <f t="shared" si="6"/>
        <v>1</v>
      </c>
      <c r="B39" s="8">
        <f>IF(K39=$P$15,$M$4,IF(K39=$P$13,'Leave Entry'!$B$4,F39-1))</f>
        <v>-1</v>
      </c>
      <c r="C39" s="23">
        <f t="shared" si="0"/>
        <v>-1</v>
      </c>
      <c r="D39" s="43">
        <f t="shared" si="1"/>
        <v>-9.0909090909090912E-2</v>
      </c>
      <c r="E39" s="43" t="e">
        <f t="shared" si="7"/>
        <v>#N/A</v>
      </c>
      <c r="F39" s="8">
        <f>'Leave Record'!D41</f>
        <v>0</v>
      </c>
      <c r="G39" s="8">
        <f>'Leave Record'!E41</f>
        <v>0</v>
      </c>
      <c r="H39" s="23">
        <f t="shared" si="2"/>
        <v>1</v>
      </c>
      <c r="I39" s="23">
        <f t="shared" si="3"/>
        <v>0</v>
      </c>
      <c r="J39" s="43" t="e">
        <f t="shared" si="8"/>
        <v>#N/A</v>
      </c>
      <c r="K39" s="23">
        <f>'Leave Record'!F41</f>
        <v>0</v>
      </c>
      <c r="Q39">
        <f t="shared" si="4"/>
        <v>0</v>
      </c>
      <c r="R39" s="15" t="e">
        <f t="shared" si="5"/>
        <v>#N/A</v>
      </c>
    </row>
    <row r="40" spans="1:18" x14ac:dyDescent="0.25">
      <c r="A40" s="8">
        <f t="shared" si="6"/>
        <v>1</v>
      </c>
      <c r="B40" s="8">
        <f>IF(K40=$P$15,$M$4,IF(K40=$P$13,'Leave Entry'!$B$4,F40-1))</f>
        <v>-1</v>
      </c>
      <c r="C40" s="23">
        <f t="shared" si="0"/>
        <v>-1</v>
      </c>
      <c r="D40" s="43">
        <f t="shared" si="1"/>
        <v>-9.0909090909090912E-2</v>
      </c>
      <c r="E40" s="43" t="e">
        <f t="shared" si="7"/>
        <v>#N/A</v>
      </c>
      <c r="F40" s="8">
        <f>'Leave Record'!D42</f>
        <v>0</v>
      </c>
      <c r="G40" s="8">
        <f>'Leave Record'!E42</f>
        <v>0</v>
      </c>
      <c r="H40" s="23">
        <f t="shared" si="2"/>
        <v>1</v>
      </c>
      <c r="I40" s="23">
        <f t="shared" si="3"/>
        <v>0</v>
      </c>
      <c r="J40" s="43" t="e">
        <f t="shared" si="8"/>
        <v>#N/A</v>
      </c>
      <c r="K40" s="23">
        <f>'Leave Record'!F42</f>
        <v>0</v>
      </c>
      <c r="Q40">
        <f t="shared" si="4"/>
        <v>0</v>
      </c>
      <c r="R40" s="15" t="e">
        <f t="shared" si="5"/>
        <v>#N/A</v>
      </c>
    </row>
    <row r="41" spans="1:18" x14ac:dyDescent="0.25">
      <c r="A41" s="8">
        <f t="shared" si="6"/>
        <v>1</v>
      </c>
      <c r="B41" s="8">
        <f>IF(K41=$P$15,$M$4,IF(K41=$P$13,'Leave Entry'!$B$4,F41-1))</f>
        <v>-1</v>
      </c>
      <c r="C41" s="23">
        <f t="shared" si="0"/>
        <v>-1</v>
      </c>
      <c r="D41" s="43">
        <f t="shared" si="1"/>
        <v>-9.0909090909090912E-2</v>
      </c>
      <c r="E41" s="43" t="e">
        <f t="shared" si="7"/>
        <v>#N/A</v>
      </c>
      <c r="F41" s="8">
        <f>'Leave Record'!D43</f>
        <v>0</v>
      </c>
      <c r="G41" s="8">
        <f>'Leave Record'!E43</f>
        <v>0</v>
      </c>
      <c r="H41" s="23">
        <f t="shared" si="2"/>
        <v>1</v>
      </c>
      <c r="I41" s="23">
        <f t="shared" si="3"/>
        <v>0</v>
      </c>
      <c r="J41" s="43" t="e">
        <f t="shared" si="8"/>
        <v>#N/A</v>
      </c>
      <c r="K41" s="23">
        <f>'Leave Record'!F43</f>
        <v>0</v>
      </c>
      <c r="Q41">
        <f t="shared" si="4"/>
        <v>0</v>
      </c>
      <c r="R41" s="15" t="e">
        <f t="shared" si="5"/>
        <v>#N/A</v>
      </c>
    </row>
    <row r="42" spans="1:18" x14ac:dyDescent="0.25">
      <c r="A42" s="8">
        <f t="shared" si="6"/>
        <v>1</v>
      </c>
      <c r="B42" s="8">
        <f>IF(K42=$P$15,$M$4,IF(K42=$P$13,'Leave Entry'!$B$4,F42-1))</f>
        <v>-1</v>
      </c>
      <c r="C42" s="23">
        <f t="shared" si="0"/>
        <v>-1</v>
      </c>
      <c r="D42" s="43">
        <f t="shared" si="1"/>
        <v>-9.0909090909090912E-2</v>
      </c>
      <c r="E42" s="43" t="e">
        <f t="shared" si="7"/>
        <v>#N/A</v>
      </c>
      <c r="F42" s="8">
        <f>'Leave Record'!D44</f>
        <v>0</v>
      </c>
      <c r="G42" s="8">
        <f>'Leave Record'!E44</f>
        <v>0</v>
      </c>
      <c r="H42" s="23">
        <f t="shared" si="2"/>
        <v>1</v>
      </c>
      <c r="I42" s="23">
        <f t="shared" si="3"/>
        <v>0</v>
      </c>
      <c r="J42" s="43" t="e">
        <f t="shared" si="8"/>
        <v>#N/A</v>
      </c>
      <c r="K42" s="23">
        <f>'Leave Record'!F44</f>
        <v>0</v>
      </c>
      <c r="Q42">
        <f t="shared" si="4"/>
        <v>0</v>
      </c>
      <c r="R42" s="15" t="e">
        <f t="shared" si="5"/>
        <v>#N/A</v>
      </c>
    </row>
    <row r="43" spans="1:18" x14ac:dyDescent="0.25">
      <c r="A43" s="8">
        <f t="shared" si="6"/>
        <v>1</v>
      </c>
      <c r="B43" s="8">
        <f>IF(K43=$P$15,$M$4,IF(K43=$P$13,'Leave Entry'!$B$4,F43-1))</f>
        <v>-1</v>
      </c>
      <c r="C43" s="23">
        <f t="shared" si="0"/>
        <v>-1</v>
      </c>
      <c r="D43" s="43">
        <f t="shared" si="1"/>
        <v>-9.0909090909090912E-2</v>
      </c>
      <c r="E43" s="43" t="e">
        <f t="shared" si="7"/>
        <v>#N/A</v>
      </c>
      <c r="F43" s="8">
        <f>'Leave Record'!D45</f>
        <v>0</v>
      </c>
      <c r="G43" s="8">
        <f>'Leave Record'!E45</f>
        <v>0</v>
      </c>
      <c r="H43" s="23">
        <f t="shared" si="2"/>
        <v>1</v>
      </c>
      <c r="I43" s="23">
        <f t="shared" si="3"/>
        <v>0</v>
      </c>
      <c r="J43" s="43" t="e">
        <f t="shared" si="8"/>
        <v>#N/A</v>
      </c>
      <c r="K43" s="23">
        <f>'Leave Record'!F45</f>
        <v>0</v>
      </c>
      <c r="Q43">
        <f t="shared" si="4"/>
        <v>0</v>
      </c>
      <c r="R43" s="15" t="e">
        <f t="shared" si="5"/>
        <v>#N/A</v>
      </c>
    </row>
    <row r="44" spans="1:18" x14ac:dyDescent="0.25">
      <c r="A44" s="8">
        <f t="shared" si="6"/>
        <v>1</v>
      </c>
      <c r="B44" s="8">
        <f>IF(K44=$P$15,$M$4,IF(K44=$P$13,'Leave Entry'!$B$4,F44-1))</f>
        <v>-1</v>
      </c>
      <c r="C44" s="23">
        <f t="shared" si="0"/>
        <v>-1</v>
      </c>
      <c r="D44" s="43">
        <f t="shared" si="1"/>
        <v>-9.0909090909090912E-2</v>
      </c>
      <c r="E44" s="43" t="e">
        <f t="shared" si="7"/>
        <v>#N/A</v>
      </c>
      <c r="F44" s="8">
        <f>'Leave Record'!D46</f>
        <v>0</v>
      </c>
      <c r="G44" s="8">
        <f>'Leave Record'!E46</f>
        <v>0</v>
      </c>
      <c r="H44" s="23">
        <f t="shared" si="2"/>
        <v>1</v>
      </c>
      <c r="I44" s="23">
        <f t="shared" si="3"/>
        <v>0</v>
      </c>
      <c r="J44" s="43" t="e">
        <f t="shared" si="8"/>
        <v>#N/A</v>
      </c>
      <c r="K44" s="23">
        <f>'Leave Record'!F46</f>
        <v>0</v>
      </c>
      <c r="Q44">
        <f t="shared" si="4"/>
        <v>0</v>
      </c>
      <c r="R44" s="15" t="e">
        <f t="shared" si="5"/>
        <v>#N/A</v>
      </c>
    </row>
    <row r="45" spans="1:18" x14ac:dyDescent="0.25">
      <c r="A45" s="8">
        <f t="shared" si="6"/>
        <v>1</v>
      </c>
      <c r="B45" s="8">
        <f>IF(K45=$P$15,$M$4,IF(K45=$P$13,'Leave Entry'!$B$4,F45-1))</f>
        <v>-1</v>
      </c>
      <c r="C45" s="23">
        <f t="shared" si="0"/>
        <v>-1</v>
      </c>
      <c r="D45" s="43">
        <f t="shared" si="1"/>
        <v>-9.0909090909090912E-2</v>
      </c>
      <c r="E45" s="43" t="e">
        <f t="shared" si="7"/>
        <v>#N/A</v>
      </c>
      <c r="F45" s="8">
        <f>'Leave Record'!D47</f>
        <v>0</v>
      </c>
      <c r="G45" s="8">
        <f>'Leave Record'!E47</f>
        <v>0</v>
      </c>
      <c r="H45" s="23">
        <f t="shared" si="2"/>
        <v>1</v>
      </c>
      <c r="I45" s="23">
        <f t="shared" si="3"/>
        <v>0</v>
      </c>
      <c r="J45" s="43" t="e">
        <f t="shared" si="8"/>
        <v>#N/A</v>
      </c>
      <c r="K45" s="23">
        <f>'Leave Record'!F47</f>
        <v>0</v>
      </c>
      <c r="Q45">
        <f t="shared" si="4"/>
        <v>0</v>
      </c>
      <c r="R45" s="15" t="e">
        <f t="shared" si="5"/>
        <v>#N/A</v>
      </c>
    </row>
    <row r="46" spans="1:18" x14ac:dyDescent="0.25">
      <c r="A46" s="8">
        <f t="shared" si="6"/>
        <v>1</v>
      </c>
      <c r="B46" s="8">
        <f>IF(K46=$P$15,$M$4,IF(K46=$P$13,'Leave Entry'!$B$4,F46-1))</f>
        <v>-1</v>
      </c>
      <c r="C46" s="23">
        <f t="shared" si="0"/>
        <v>-1</v>
      </c>
      <c r="D46" s="43">
        <f t="shared" si="1"/>
        <v>-9.0909090909090912E-2</v>
      </c>
      <c r="E46" s="43" t="e">
        <f t="shared" si="7"/>
        <v>#N/A</v>
      </c>
      <c r="F46" s="8">
        <f>'Leave Record'!D48</f>
        <v>0</v>
      </c>
      <c r="G46" s="8">
        <f>'Leave Record'!E48</f>
        <v>0</v>
      </c>
      <c r="H46" s="23">
        <f t="shared" si="2"/>
        <v>1</v>
      </c>
      <c r="I46" s="23">
        <f t="shared" si="3"/>
        <v>0</v>
      </c>
      <c r="J46" s="43" t="e">
        <f t="shared" si="8"/>
        <v>#N/A</v>
      </c>
      <c r="K46" s="23">
        <f>'Leave Record'!F48</f>
        <v>0</v>
      </c>
      <c r="Q46">
        <f t="shared" si="4"/>
        <v>0</v>
      </c>
      <c r="R46" s="15" t="e">
        <f t="shared" si="5"/>
        <v>#N/A</v>
      </c>
    </row>
    <row r="47" spans="1:18" x14ac:dyDescent="0.25">
      <c r="A47" s="8">
        <f t="shared" si="6"/>
        <v>1</v>
      </c>
      <c r="B47" s="8">
        <f>IF(K47=$P$15,$M$4,IF(K47=$P$13,'Leave Entry'!$B$4,F47-1))</f>
        <v>-1</v>
      </c>
      <c r="C47" s="23">
        <f t="shared" si="0"/>
        <v>-1</v>
      </c>
      <c r="D47" s="43">
        <f t="shared" si="1"/>
        <v>-9.0909090909090912E-2</v>
      </c>
      <c r="E47" s="43" t="e">
        <f t="shared" si="7"/>
        <v>#N/A</v>
      </c>
      <c r="F47" s="8">
        <f>'Leave Record'!D49</f>
        <v>0</v>
      </c>
      <c r="G47" s="8">
        <f>'Leave Record'!E49</f>
        <v>0</v>
      </c>
      <c r="H47" s="23">
        <f t="shared" si="2"/>
        <v>1</v>
      </c>
      <c r="I47" s="23">
        <f t="shared" si="3"/>
        <v>0</v>
      </c>
      <c r="J47" s="43" t="e">
        <f t="shared" si="8"/>
        <v>#N/A</v>
      </c>
      <c r="K47" s="23">
        <f>'Leave Record'!F49</f>
        <v>0</v>
      </c>
      <c r="Q47">
        <f t="shared" si="4"/>
        <v>0</v>
      </c>
      <c r="R47" s="15" t="e">
        <f t="shared" si="5"/>
        <v>#N/A</v>
      </c>
    </row>
    <row r="48" spans="1:18" x14ac:dyDescent="0.25">
      <c r="A48" s="8">
        <f t="shared" si="6"/>
        <v>1</v>
      </c>
      <c r="B48" s="8">
        <f>IF(K48=$P$15,$M$4,IF(K48=$P$13,'Leave Entry'!$B$4,F48-1))</f>
        <v>-1</v>
      </c>
      <c r="C48" s="23">
        <f t="shared" si="0"/>
        <v>-1</v>
      </c>
      <c r="D48" s="43">
        <f t="shared" si="1"/>
        <v>-9.0909090909090912E-2</v>
      </c>
      <c r="E48" s="43" t="e">
        <f t="shared" si="7"/>
        <v>#N/A</v>
      </c>
      <c r="F48" s="8">
        <f>'Leave Record'!D50</f>
        <v>0</v>
      </c>
      <c r="G48" s="8">
        <f>'Leave Record'!E50</f>
        <v>0</v>
      </c>
      <c r="H48" s="23">
        <f t="shared" si="2"/>
        <v>1</v>
      </c>
      <c r="I48" s="23">
        <f t="shared" si="3"/>
        <v>0</v>
      </c>
      <c r="J48" s="43" t="e">
        <f t="shared" si="8"/>
        <v>#N/A</v>
      </c>
      <c r="K48" s="23">
        <f>'Leave Record'!F50</f>
        <v>0</v>
      </c>
      <c r="Q48">
        <f t="shared" si="4"/>
        <v>0</v>
      </c>
      <c r="R48" s="15" t="e">
        <f t="shared" si="5"/>
        <v>#N/A</v>
      </c>
    </row>
    <row r="49" spans="1:18" x14ac:dyDescent="0.25">
      <c r="A49" s="8">
        <f t="shared" si="6"/>
        <v>1</v>
      </c>
      <c r="B49" s="8">
        <f>IF(K49=$P$15,$M$4,IF(K49=$P$13,'Leave Entry'!$B$4,F49-1))</f>
        <v>-1</v>
      </c>
      <c r="C49" s="23">
        <f t="shared" si="0"/>
        <v>-1</v>
      </c>
      <c r="D49" s="43">
        <f t="shared" si="1"/>
        <v>-9.0909090909090912E-2</v>
      </c>
      <c r="E49" s="43" t="e">
        <f t="shared" si="7"/>
        <v>#N/A</v>
      </c>
      <c r="F49" s="8">
        <f>'Leave Record'!D51</f>
        <v>0</v>
      </c>
      <c r="G49" s="8">
        <f>'Leave Record'!E51</f>
        <v>0</v>
      </c>
      <c r="H49" s="23">
        <f t="shared" si="2"/>
        <v>1</v>
      </c>
      <c r="I49" s="23">
        <f t="shared" si="3"/>
        <v>0</v>
      </c>
      <c r="J49" s="43" t="e">
        <f t="shared" si="8"/>
        <v>#N/A</v>
      </c>
      <c r="K49" s="23">
        <f>'Leave Record'!F51</f>
        <v>0</v>
      </c>
      <c r="Q49">
        <f t="shared" si="4"/>
        <v>0</v>
      </c>
      <c r="R49" s="15" t="e">
        <f t="shared" si="5"/>
        <v>#N/A</v>
      </c>
    </row>
    <row r="50" spans="1:18" x14ac:dyDescent="0.25">
      <c r="A50" s="8">
        <f t="shared" si="6"/>
        <v>1</v>
      </c>
      <c r="B50" s="8">
        <f>IF(K50=$P$15,$M$4,IF(K50=$P$13,'Leave Entry'!$B$4,F50-1))</f>
        <v>-1</v>
      </c>
      <c r="C50" s="23">
        <f t="shared" si="0"/>
        <v>-1</v>
      </c>
      <c r="D50" s="43">
        <f t="shared" si="1"/>
        <v>-9.0909090909090912E-2</v>
      </c>
      <c r="E50" s="43" t="e">
        <f t="shared" si="7"/>
        <v>#N/A</v>
      </c>
      <c r="F50" s="8">
        <f>'Leave Record'!D52</f>
        <v>0</v>
      </c>
      <c r="G50" s="8">
        <f>'Leave Record'!E52</f>
        <v>0</v>
      </c>
      <c r="H50" s="23">
        <f t="shared" si="2"/>
        <v>1</v>
      </c>
      <c r="I50" s="23">
        <f t="shared" si="3"/>
        <v>0</v>
      </c>
      <c r="J50" s="43" t="e">
        <f t="shared" si="8"/>
        <v>#N/A</v>
      </c>
      <c r="K50" s="23">
        <f>'Leave Record'!F52</f>
        <v>0</v>
      </c>
      <c r="Q50">
        <f t="shared" si="4"/>
        <v>0</v>
      </c>
      <c r="R50" s="15" t="e">
        <f t="shared" si="5"/>
        <v>#N/A</v>
      </c>
    </row>
    <row r="51" spans="1:18" x14ac:dyDescent="0.25">
      <c r="A51" s="8">
        <f t="shared" si="6"/>
        <v>1</v>
      </c>
      <c r="B51" s="8">
        <f>IF(K51=$P$15,$M$4,IF(K51=$P$13,'Leave Entry'!$B$4,F51-1))</f>
        <v>-1</v>
      </c>
      <c r="C51" s="23">
        <f t="shared" si="0"/>
        <v>-1</v>
      </c>
      <c r="D51" s="43">
        <f t="shared" si="1"/>
        <v>-9.0909090909090912E-2</v>
      </c>
      <c r="E51" s="43" t="e">
        <f t="shared" si="7"/>
        <v>#N/A</v>
      </c>
      <c r="F51" s="8">
        <f>'Leave Record'!D53</f>
        <v>0</v>
      </c>
      <c r="G51" s="8">
        <f>'Leave Record'!E53</f>
        <v>0</v>
      </c>
      <c r="H51" s="23">
        <f t="shared" si="2"/>
        <v>1</v>
      </c>
      <c r="I51" s="23">
        <f t="shared" si="3"/>
        <v>0</v>
      </c>
      <c r="J51" s="43" t="e">
        <f t="shared" si="8"/>
        <v>#N/A</v>
      </c>
      <c r="K51" s="23">
        <f>'Leave Record'!F53</f>
        <v>0</v>
      </c>
      <c r="Q51">
        <f t="shared" si="4"/>
        <v>0</v>
      </c>
      <c r="R51" s="15" t="e">
        <f t="shared" si="5"/>
        <v>#N/A</v>
      </c>
    </row>
    <row r="52" spans="1:18" x14ac:dyDescent="0.25">
      <c r="A52" s="8">
        <f t="shared" si="6"/>
        <v>1</v>
      </c>
      <c r="B52" s="8">
        <f>IF(K52=$P$15,$M$4,IF(K52=$P$13,'Leave Entry'!$B$4,F52-1))</f>
        <v>-1</v>
      </c>
      <c r="C52" s="23">
        <f t="shared" si="0"/>
        <v>-1</v>
      </c>
      <c r="D52" s="43">
        <f t="shared" si="1"/>
        <v>-9.0909090909090912E-2</v>
      </c>
      <c r="E52" s="43" t="e">
        <f t="shared" si="7"/>
        <v>#N/A</v>
      </c>
      <c r="F52" s="8">
        <f>'Leave Record'!D54</f>
        <v>0</v>
      </c>
      <c r="G52" s="8">
        <f>'Leave Record'!E54</f>
        <v>0</v>
      </c>
      <c r="H52" s="23">
        <f t="shared" si="2"/>
        <v>1</v>
      </c>
      <c r="I52" s="23">
        <f t="shared" si="3"/>
        <v>0</v>
      </c>
      <c r="J52" s="43" t="e">
        <f t="shared" si="8"/>
        <v>#N/A</v>
      </c>
      <c r="K52" s="23">
        <f>'Leave Record'!F54</f>
        <v>0</v>
      </c>
      <c r="Q52">
        <f t="shared" si="4"/>
        <v>0</v>
      </c>
      <c r="R52" s="15" t="e">
        <f t="shared" si="5"/>
        <v>#N/A</v>
      </c>
    </row>
    <row r="53" spans="1:18" x14ac:dyDescent="0.25">
      <c r="A53" s="8">
        <f t="shared" si="6"/>
        <v>1</v>
      </c>
      <c r="B53" s="8">
        <f>IF(K53=$P$15,$M$4,IF(K53=$P$13,'Leave Entry'!$B$4,F53-1))</f>
        <v>-1</v>
      </c>
      <c r="C53" s="23">
        <f t="shared" si="0"/>
        <v>-1</v>
      </c>
      <c r="D53" s="43">
        <f t="shared" si="1"/>
        <v>-9.0909090909090912E-2</v>
      </c>
      <c r="E53" s="43" t="e">
        <f t="shared" si="7"/>
        <v>#N/A</v>
      </c>
      <c r="F53" s="8">
        <f>'Leave Record'!D55</f>
        <v>0</v>
      </c>
      <c r="G53" s="8">
        <f>'Leave Record'!E55</f>
        <v>0</v>
      </c>
      <c r="H53" s="23">
        <f t="shared" si="2"/>
        <v>1</v>
      </c>
      <c r="I53" s="23">
        <f t="shared" si="3"/>
        <v>0</v>
      </c>
      <c r="J53" s="43" t="e">
        <f t="shared" si="8"/>
        <v>#N/A</v>
      </c>
      <c r="K53" s="23">
        <f>'Leave Record'!F55</f>
        <v>0</v>
      </c>
      <c r="Q53">
        <f t="shared" si="4"/>
        <v>0</v>
      </c>
      <c r="R53" s="15" t="e">
        <f t="shared" si="5"/>
        <v>#N/A</v>
      </c>
    </row>
    <row r="54" spans="1:18" x14ac:dyDescent="0.25">
      <c r="A54" s="8">
        <f t="shared" si="6"/>
        <v>1</v>
      </c>
      <c r="B54" s="8">
        <f>IF(K54=$P$15,$M$4,IF(K54=$P$13,'Leave Entry'!$B$4,F54-1))</f>
        <v>-1</v>
      </c>
      <c r="C54" s="23">
        <f t="shared" si="0"/>
        <v>-1</v>
      </c>
      <c r="D54" s="43">
        <f t="shared" si="1"/>
        <v>-9.0909090909090912E-2</v>
      </c>
      <c r="E54" s="43" t="e">
        <f t="shared" si="7"/>
        <v>#N/A</v>
      </c>
      <c r="F54" s="8">
        <f>'Leave Record'!D56</f>
        <v>0</v>
      </c>
      <c r="G54" s="8">
        <f>'Leave Record'!E56</f>
        <v>0</v>
      </c>
      <c r="H54" s="23">
        <f t="shared" si="2"/>
        <v>1</v>
      </c>
      <c r="I54" s="23">
        <f t="shared" si="3"/>
        <v>0</v>
      </c>
      <c r="J54" s="43" t="e">
        <f t="shared" si="8"/>
        <v>#N/A</v>
      </c>
      <c r="K54" s="23">
        <f>'Leave Record'!F56</f>
        <v>0</v>
      </c>
      <c r="Q54">
        <f t="shared" si="4"/>
        <v>0</v>
      </c>
      <c r="R54" s="15" t="e">
        <f t="shared" si="5"/>
        <v>#N/A</v>
      </c>
    </row>
    <row r="55" spans="1:18" x14ac:dyDescent="0.25">
      <c r="A55" s="8">
        <f t="shared" si="6"/>
        <v>1</v>
      </c>
      <c r="B55" s="8">
        <f>IF(K55=$P$15,$M$4,IF(K55=$P$13,'Leave Entry'!$B$4,F55-1))</f>
        <v>-1</v>
      </c>
      <c r="C55" s="23">
        <f t="shared" si="0"/>
        <v>-1</v>
      </c>
      <c r="D55" s="43">
        <f t="shared" si="1"/>
        <v>-9.0909090909090912E-2</v>
      </c>
      <c r="E55" s="43" t="e">
        <f t="shared" si="7"/>
        <v>#N/A</v>
      </c>
      <c r="F55" s="8">
        <f>'Leave Record'!D57</f>
        <v>0</v>
      </c>
      <c r="G55" s="8">
        <f>'Leave Record'!E57</f>
        <v>0</v>
      </c>
      <c r="H55" s="23">
        <f t="shared" si="2"/>
        <v>1</v>
      </c>
      <c r="I55" s="23">
        <f t="shared" si="3"/>
        <v>0</v>
      </c>
      <c r="J55" s="43" t="e">
        <f t="shared" si="8"/>
        <v>#N/A</v>
      </c>
      <c r="K55" s="23">
        <f>'Leave Record'!F57</f>
        <v>0</v>
      </c>
      <c r="Q55">
        <f t="shared" si="4"/>
        <v>0</v>
      </c>
      <c r="R55" s="15" t="e">
        <f t="shared" si="5"/>
        <v>#N/A</v>
      </c>
    </row>
    <row r="56" spans="1:18" x14ac:dyDescent="0.25">
      <c r="A56" s="8">
        <f t="shared" si="6"/>
        <v>1</v>
      </c>
      <c r="B56" s="8">
        <f>IF(K56=$P$15,$M$4,IF(K56=$P$13,'Leave Entry'!$B$4,F56-1))</f>
        <v>-1</v>
      </c>
      <c r="C56" s="23">
        <f t="shared" si="0"/>
        <v>-1</v>
      </c>
      <c r="D56" s="43">
        <f t="shared" si="1"/>
        <v>-9.0909090909090912E-2</v>
      </c>
      <c r="E56" s="43" t="e">
        <f t="shared" si="7"/>
        <v>#N/A</v>
      </c>
      <c r="F56" s="8">
        <f>'Leave Record'!D58</f>
        <v>0</v>
      </c>
      <c r="G56" s="8">
        <f>'Leave Record'!E58</f>
        <v>0</v>
      </c>
      <c r="H56" s="23">
        <f t="shared" si="2"/>
        <v>1</v>
      </c>
      <c r="I56" s="23">
        <f t="shared" si="3"/>
        <v>0</v>
      </c>
      <c r="J56" s="43" t="e">
        <f t="shared" si="8"/>
        <v>#N/A</v>
      </c>
      <c r="K56" s="23">
        <f>'Leave Record'!F58</f>
        <v>0</v>
      </c>
      <c r="Q56">
        <f t="shared" si="4"/>
        <v>0</v>
      </c>
      <c r="R56" s="15" t="e">
        <f t="shared" si="5"/>
        <v>#N/A</v>
      </c>
    </row>
    <row r="57" spans="1:18" x14ac:dyDescent="0.25">
      <c r="A57" s="8">
        <f t="shared" si="6"/>
        <v>1</v>
      </c>
      <c r="B57" s="8">
        <f>IF(K57=$P$15,$M$4,IF(K57=$P$13,'Leave Entry'!$B$4,F57-1))</f>
        <v>-1</v>
      </c>
      <c r="C57" s="23">
        <f t="shared" si="0"/>
        <v>-1</v>
      </c>
      <c r="D57" s="43">
        <f t="shared" si="1"/>
        <v>-9.0909090909090912E-2</v>
      </c>
      <c r="E57" s="43" t="e">
        <f t="shared" si="7"/>
        <v>#N/A</v>
      </c>
      <c r="F57" s="8">
        <f>'Leave Record'!D59</f>
        <v>0</v>
      </c>
      <c r="G57" s="8">
        <f>'Leave Record'!E59</f>
        <v>0</v>
      </c>
      <c r="H57" s="23">
        <f t="shared" si="2"/>
        <v>1</v>
      </c>
      <c r="I57" s="23">
        <f t="shared" si="3"/>
        <v>0</v>
      </c>
      <c r="J57" s="43" t="e">
        <f t="shared" si="8"/>
        <v>#N/A</v>
      </c>
      <c r="K57" s="23">
        <f>'Leave Record'!F59</f>
        <v>0</v>
      </c>
      <c r="Q57">
        <f t="shared" si="4"/>
        <v>0</v>
      </c>
      <c r="R57" s="15" t="e">
        <f t="shared" si="5"/>
        <v>#N/A</v>
      </c>
    </row>
    <row r="58" spans="1:18" x14ac:dyDescent="0.25">
      <c r="A58" s="8">
        <f t="shared" si="6"/>
        <v>1</v>
      </c>
      <c r="B58" s="8">
        <f>IF(K58=$P$15,$M$4,IF(K58=$P$13,'Leave Entry'!$B$4,F58-1))</f>
        <v>-1</v>
      </c>
      <c r="C58" s="23">
        <f t="shared" si="0"/>
        <v>-1</v>
      </c>
      <c r="D58" s="43">
        <f t="shared" si="1"/>
        <v>-9.0909090909090912E-2</v>
      </c>
      <c r="E58" s="43" t="e">
        <f t="shared" si="7"/>
        <v>#N/A</v>
      </c>
      <c r="F58" s="8">
        <f>'Leave Record'!D60</f>
        <v>0</v>
      </c>
      <c r="G58" s="8">
        <f>'Leave Record'!E60</f>
        <v>0</v>
      </c>
      <c r="H58" s="23">
        <f t="shared" si="2"/>
        <v>1</v>
      </c>
      <c r="I58" s="23">
        <f t="shared" si="3"/>
        <v>0</v>
      </c>
      <c r="J58" s="43" t="e">
        <f t="shared" si="8"/>
        <v>#N/A</v>
      </c>
      <c r="K58" s="23">
        <f>'Leave Record'!F60</f>
        <v>0</v>
      </c>
      <c r="Q58">
        <f t="shared" si="4"/>
        <v>0</v>
      </c>
      <c r="R58" s="15" t="e">
        <f t="shared" si="5"/>
        <v>#N/A</v>
      </c>
    </row>
    <row r="59" spans="1:18" x14ac:dyDescent="0.25">
      <c r="A59" s="8">
        <f t="shared" si="6"/>
        <v>1</v>
      </c>
      <c r="B59" s="8">
        <f>IF(K59=$P$15,$M$4,IF(K59=$P$13,'Leave Entry'!$B$4,F59-1))</f>
        <v>-1</v>
      </c>
      <c r="C59" s="23">
        <f t="shared" si="0"/>
        <v>-1</v>
      </c>
      <c r="D59" s="43">
        <f t="shared" si="1"/>
        <v>-9.0909090909090912E-2</v>
      </c>
      <c r="E59" s="43" t="e">
        <f t="shared" si="7"/>
        <v>#N/A</v>
      </c>
      <c r="F59" s="8">
        <f>'Leave Record'!D61</f>
        <v>0</v>
      </c>
      <c r="G59" s="8">
        <f>'Leave Record'!E61</f>
        <v>0</v>
      </c>
      <c r="H59" s="23">
        <f t="shared" si="2"/>
        <v>1</v>
      </c>
      <c r="I59" s="23">
        <f t="shared" si="3"/>
        <v>0</v>
      </c>
      <c r="J59" s="43" t="e">
        <f t="shared" si="8"/>
        <v>#N/A</v>
      </c>
      <c r="K59" s="23">
        <f>'Leave Record'!F61</f>
        <v>0</v>
      </c>
      <c r="Q59">
        <f t="shared" si="4"/>
        <v>0</v>
      </c>
      <c r="R59" s="15" t="e">
        <f t="shared" si="5"/>
        <v>#N/A</v>
      </c>
    </row>
    <row r="60" spans="1:18" x14ac:dyDescent="0.25">
      <c r="A60" s="8">
        <f t="shared" si="6"/>
        <v>1</v>
      </c>
      <c r="B60" s="8">
        <f>IF(K60=$P$15,$M$4,IF(K60=$P$13,'Leave Entry'!$B$4,F60-1))</f>
        <v>-1</v>
      </c>
      <c r="C60" s="23">
        <f t="shared" si="0"/>
        <v>-1</v>
      </c>
      <c r="D60" s="43">
        <f t="shared" si="1"/>
        <v>-9.0909090909090912E-2</v>
      </c>
      <c r="E60" s="43" t="e">
        <f t="shared" si="7"/>
        <v>#N/A</v>
      </c>
      <c r="F60" s="8">
        <f>'Leave Record'!D62</f>
        <v>0</v>
      </c>
      <c r="G60" s="8">
        <f>'Leave Record'!E62</f>
        <v>0</v>
      </c>
      <c r="H60" s="23">
        <f t="shared" si="2"/>
        <v>1</v>
      </c>
      <c r="I60" s="23">
        <f t="shared" si="3"/>
        <v>0</v>
      </c>
      <c r="J60" s="43" t="e">
        <f t="shared" si="8"/>
        <v>#N/A</v>
      </c>
      <c r="K60" s="23">
        <f>'Leave Record'!F62</f>
        <v>0</v>
      </c>
      <c r="Q60">
        <f t="shared" si="4"/>
        <v>0</v>
      </c>
      <c r="R60" s="15" t="e">
        <f t="shared" si="5"/>
        <v>#N/A</v>
      </c>
    </row>
    <row r="61" spans="1:18" x14ac:dyDescent="0.25">
      <c r="A61" s="8">
        <f t="shared" si="6"/>
        <v>1</v>
      </c>
      <c r="B61" s="8">
        <f>IF(K61=$P$15,$M$4,IF(K61=$P$13,'Leave Entry'!$B$4,F61-1))</f>
        <v>-1</v>
      </c>
      <c r="C61" s="23">
        <f t="shared" si="0"/>
        <v>-1</v>
      </c>
      <c r="D61" s="43">
        <f t="shared" si="1"/>
        <v>-9.0909090909090912E-2</v>
      </c>
      <c r="E61" s="43" t="e">
        <f t="shared" si="7"/>
        <v>#N/A</v>
      </c>
      <c r="F61" s="8">
        <f>'Leave Record'!D63</f>
        <v>0</v>
      </c>
      <c r="G61" s="8">
        <f>'Leave Record'!E63</f>
        <v>0</v>
      </c>
      <c r="H61" s="23">
        <f t="shared" si="2"/>
        <v>1</v>
      </c>
      <c r="I61" s="23">
        <f t="shared" si="3"/>
        <v>0</v>
      </c>
      <c r="J61" s="43" t="e">
        <f t="shared" si="8"/>
        <v>#N/A</v>
      </c>
      <c r="K61" s="23">
        <f>'Leave Record'!F63</f>
        <v>0</v>
      </c>
      <c r="Q61">
        <f t="shared" si="4"/>
        <v>0</v>
      </c>
      <c r="R61" s="15" t="e">
        <f t="shared" si="5"/>
        <v>#N/A</v>
      </c>
    </row>
    <row r="62" spans="1:18" x14ac:dyDescent="0.25">
      <c r="A62" s="8">
        <f t="shared" si="6"/>
        <v>1</v>
      </c>
      <c r="B62" s="8">
        <f>IF(K62=$P$15,$M$4,IF(K62=$P$13,'Leave Entry'!$B$4,F62-1))</f>
        <v>-1</v>
      </c>
      <c r="C62" s="23">
        <f t="shared" si="0"/>
        <v>-1</v>
      </c>
      <c r="D62" s="43">
        <f t="shared" si="1"/>
        <v>-9.0909090909090912E-2</v>
      </c>
      <c r="E62" s="43" t="e">
        <f t="shared" si="7"/>
        <v>#N/A</v>
      </c>
      <c r="F62" s="8">
        <f>'Leave Record'!D64</f>
        <v>0</v>
      </c>
      <c r="G62" s="8">
        <f>'Leave Record'!E64</f>
        <v>0</v>
      </c>
      <c r="H62" s="23">
        <f t="shared" si="2"/>
        <v>1</v>
      </c>
      <c r="I62" s="23">
        <f t="shared" si="3"/>
        <v>0</v>
      </c>
      <c r="J62" s="43" t="e">
        <f t="shared" si="8"/>
        <v>#N/A</v>
      </c>
      <c r="K62" s="23">
        <f>'Leave Record'!F64</f>
        <v>0</v>
      </c>
      <c r="Q62">
        <f t="shared" si="4"/>
        <v>0</v>
      </c>
      <c r="R62" s="15" t="e">
        <f t="shared" si="5"/>
        <v>#N/A</v>
      </c>
    </row>
    <row r="63" spans="1:18" x14ac:dyDescent="0.25">
      <c r="A63" s="8">
        <f t="shared" si="6"/>
        <v>1</v>
      </c>
      <c r="B63" s="8">
        <f>IF(K63=$P$15,$M$4,IF(K63=$P$13,'Leave Entry'!$B$4,F63-1))</f>
        <v>-1</v>
      </c>
      <c r="C63" s="23">
        <f t="shared" si="0"/>
        <v>-1</v>
      </c>
      <c r="D63" s="43">
        <f t="shared" si="1"/>
        <v>-9.0909090909090912E-2</v>
      </c>
      <c r="E63" s="43" t="e">
        <f t="shared" si="7"/>
        <v>#N/A</v>
      </c>
      <c r="F63" s="8">
        <f>'Leave Record'!D65</f>
        <v>0</v>
      </c>
      <c r="G63" s="8">
        <f>'Leave Record'!E65</f>
        <v>0</v>
      </c>
      <c r="H63" s="23">
        <f t="shared" si="2"/>
        <v>1</v>
      </c>
      <c r="I63" s="23">
        <f t="shared" si="3"/>
        <v>0</v>
      </c>
      <c r="J63" s="43" t="e">
        <f t="shared" si="8"/>
        <v>#N/A</v>
      </c>
      <c r="K63" s="23">
        <f>'Leave Record'!F65</f>
        <v>0</v>
      </c>
      <c r="Q63">
        <f t="shared" si="4"/>
        <v>0</v>
      </c>
      <c r="R63" s="15" t="e">
        <f t="shared" si="5"/>
        <v>#N/A</v>
      </c>
    </row>
    <row r="64" spans="1:18" x14ac:dyDescent="0.25">
      <c r="A64" s="8">
        <f t="shared" si="6"/>
        <v>1</v>
      </c>
      <c r="B64" s="8">
        <f>IF(K64=$P$15,$M$4,IF(K64=$P$13,'Leave Entry'!$B$4,F64-1))</f>
        <v>-1</v>
      </c>
      <c r="C64" s="23">
        <f t="shared" si="0"/>
        <v>-1</v>
      </c>
      <c r="D64" s="43">
        <f t="shared" si="1"/>
        <v>-9.0909090909090912E-2</v>
      </c>
      <c r="E64" s="43" t="e">
        <f t="shared" si="7"/>
        <v>#N/A</v>
      </c>
      <c r="F64" s="8">
        <f>'Leave Record'!D66</f>
        <v>0</v>
      </c>
      <c r="G64" s="8">
        <f>'Leave Record'!E66</f>
        <v>0</v>
      </c>
      <c r="H64" s="23">
        <f t="shared" si="2"/>
        <v>1</v>
      </c>
      <c r="I64" s="23">
        <f t="shared" si="3"/>
        <v>0</v>
      </c>
      <c r="J64" s="43" t="e">
        <f t="shared" si="8"/>
        <v>#N/A</v>
      </c>
      <c r="K64" s="23">
        <f>'Leave Record'!F66</f>
        <v>0</v>
      </c>
      <c r="Q64">
        <f t="shared" si="4"/>
        <v>0</v>
      </c>
      <c r="R64" s="15" t="e">
        <f t="shared" si="5"/>
        <v>#N/A</v>
      </c>
    </row>
    <row r="65" spans="1:18" x14ac:dyDescent="0.25">
      <c r="A65" s="8">
        <f t="shared" si="6"/>
        <v>1</v>
      </c>
      <c r="B65" s="8">
        <f>IF(K65=$P$15,$M$4,IF(K65=$P$13,'Leave Entry'!$B$4,F65-1))</f>
        <v>-1</v>
      </c>
      <c r="C65" s="23">
        <f t="shared" si="0"/>
        <v>-1</v>
      </c>
      <c r="D65" s="43">
        <f t="shared" si="1"/>
        <v>-9.0909090909090912E-2</v>
      </c>
      <c r="E65" s="43" t="e">
        <f t="shared" si="7"/>
        <v>#N/A</v>
      </c>
      <c r="F65" s="8">
        <f>'Leave Record'!D67</f>
        <v>0</v>
      </c>
      <c r="G65" s="8">
        <f>'Leave Record'!E67</f>
        <v>0</v>
      </c>
      <c r="H65" s="23">
        <f t="shared" si="2"/>
        <v>1</v>
      </c>
      <c r="I65" s="23">
        <f t="shared" si="3"/>
        <v>0</v>
      </c>
      <c r="J65" s="43" t="e">
        <f t="shared" si="8"/>
        <v>#N/A</v>
      </c>
      <c r="K65" s="23">
        <f>'Leave Record'!F67</f>
        <v>0</v>
      </c>
      <c r="Q65">
        <f t="shared" si="4"/>
        <v>0</v>
      </c>
      <c r="R65" s="15" t="e">
        <f t="shared" si="5"/>
        <v>#N/A</v>
      </c>
    </row>
    <row r="66" spans="1:18" x14ac:dyDescent="0.25">
      <c r="A66" s="8">
        <f t="shared" si="6"/>
        <v>1</v>
      </c>
      <c r="B66" s="8">
        <f>IF(K66=$P$15,$M$4,IF(K66=$P$13,'Leave Entry'!$B$4,F66-1))</f>
        <v>-1</v>
      </c>
      <c r="C66" s="23">
        <f t="shared" si="0"/>
        <v>-1</v>
      </c>
      <c r="D66" s="43">
        <f t="shared" si="1"/>
        <v>-9.0909090909090912E-2</v>
      </c>
      <c r="E66" s="43" t="e">
        <f t="shared" si="7"/>
        <v>#N/A</v>
      </c>
      <c r="F66" s="8">
        <f>'Leave Record'!D68</f>
        <v>0</v>
      </c>
      <c r="G66" s="8">
        <f>'Leave Record'!E68</f>
        <v>0</v>
      </c>
      <c r="H66" s="23">
        <f t="shared" si="2"/>
        <v>1</v>
      </c>
      <c r="I66" s="23">
        <f t="shared" si="3"/>
        <v>0</v>
      </c>
      <c r="J66" s="43" t="e">
        <f t="shared" si="8"/>
        <v>#N/A</v>
      </c>
      <c r="K66" s="23">
        <f>'Leave Record'!F68</f>
        <v>0</v>
      </c>
      <c r="Q66">
        <f t="shared" si="4"/>
        <v>0</v>
      </c>
      <c r="R66" s="15" t="e">
        <f t="shared" si="5"/>
        <v>#N/A</v>
      </c>
    </row>
    <row r="67" spans="1:18" x14ac:dyDescent="0.25">
      <c r="A67" s="8">
        <f t="shared" si="6"/>
        <v>1</v>
      </c>
      <c r="B67" s="8">
        <f>IF(K67=$P$15,$M$4,IF(K67=$P$13,'Leave Entry'!$B$4,F67-1))</f>
        <v>-1</v>
      </c>
      <c r="C67" s="23">
        <f t="shared" si="0"/>
        <v>-1</v>
      </c>
      <c r="D67" s="43">
        <f t="shared" si="1"/>
        <v>-9.0909090909090912E-2</v>
      </c>
      <c r="E67" s="43" t="e">
        <f t="shared" si="7"/>
        <v>#N/A</v>
      </c>
      <c r="F67" s="8">
        <f>'Leave Record'!D69</f>
        <v>0</v>
      </c>
      <c r="G67" s="8">
        <f>'Leave Record'!E69</f>
        <v>0</v>
      </c>
      <c r="H67" s="23">
        <f t="shared" si="2"/>
        <v>1</v>
      </c>
      <c r="I67" s="23">
        <f t="shared" si="3"/>
        <v>0</v>
      </c>
      <c r="J67" s="43" t="e">
        <f t="shared" si="8"/>
        <v>#N/A</v>
      </c>
      <c r="K67" s="23">
        <f>'Leave Record'!F69</f>
        <v>0</v>
      </c>
      <c r="Q67">
        <f t="shared" si="4"/>
        <v>0</v>
      </c>
      <c r="R67" s="15" t="e">
        <f t="shared" si="5"/>
        <v>#N/A</v>
      </c>
    </row>
    <row r="68" spans="1:18" x14ac:dyDescent="0.25">
      <c r="A68" s="8">
        <f t="shared" si="6"/>
        <v>1</v>
      </c>
      <c r="B68" s="8">
        <f>IF(K68=$P$15,$M$4,IF(K68=$P$13,'Leave Entry'!$B$4,F68-1))</f>
        <v>-1</v>
      </c>
      <c r="C68" s="23">
        <f t="shared" si="0"/>
        <v>-1</v>
      </c>
      <c r="D68" s="43">
        <f t="shared" si="1"/>
        <v>-9.0909090909090912E-2</v>
      </c>
      <c r="E68" s="43" t="e">
        <f t="shared" si="7"/>
        <v>#N/A</v>
      </c>
      <c r="F68" s="8">
        <f>'Leave Record'!D70</f>
        <v>0</v>
      </c>
      <c r="G68" s="8">
        <f>'Leave Record'!E70</f>
        <v>0</v>
      </c>
      <c r="H68" s="23">
        <f t="shared" si="2"/>
        <v>1</v>
      </c>
      <c r="I68" s="23">
        <f t="shared" si="3"/>
        <v>0</v>
      </c>
      <c r="J68" s="43" t="e">
        <f t="shared" si="8"/>
        <v>#N/A</v>
      </c>
      <c r="K68" s="23">
        <f>'Leave Record'!F70</f>
        <v>0</v>
      </c>
      <c r="Q68">
        <f t="shared" si="4"/>
        <v>0</v>
      </c>
      <c r="R68" s="15" t="e">
        <f t="shared" si="5"/>
        <v>#N/A</v>
      </c>
    </row>
    <row r="69" spans="1:18" x14ac:dyDescent="0.25">
      <c r="A69" s="8">
        <f t="shared" si="6"/>
        <v>1</v>
      </c>
      <c r="B69" s="8">
        <f>IF(K69=$P$15,$M$4,IF(K69=$P$13,'Leave Entry'!$B$4,F69-1))</f>
        <v>-1</v>
      </c>
      <c r="C69" s="23">
        <f t="shared" si="0"/>
        <v>-1</v>
      </c>
      <c r="D69" s="43">
        <f t="shared" si="1"/>
        <v>-9.0909090909090912E-2</v>
      </c>
      <c r="E69" s="43" t="e">
        <f t="shared" si="7"/>
        <v>#N/A</v>
      </c>
      <c r="F69" s="8">
        <f>'Leave Record'!D71</f>
        <v>0</v>
      </c>
      <c r="G69" s="8">
        <f>'Leave Record'!E71</f>
        <v>0</v>
      </c>
      <c r="H69" s="23">
        <f t="shared" si="2"/>
        <v>1</v>
      </c>
      <c r="I69" s="23">
        <f t="shared" si="3"/>
        <v>0</v>
      </c>
      <c r="J69" s="43" t="e">
        <f t="shared" si="8"/>
        <v>#N/A</v>
      </c>
      <c r="K69" s="23">
        <f>'Leave Record'!F71</f>
        <v>0</v>
      </c>
      <c r="Q69">
        <f t="shared" si="4"/>
        <v>0</v>
      </c>
      <c r="R69" s="15" t="e">
        <f t="shared" si="5"/>
        <v>#N/A</v>
      </c>
    </row>
    <row r="70" spans="1:18" x14ac:dyDescent="0.25">
      <c r="A70" s="8">
        <f t="shared" si="6"/>
        <v>1</v>
      </c>
      <c r="B70" s="8">
        <f>IF(K70=$P$15,$M$4,IF(K70=$P$13,'Leave Entry'!$B$4,F70-1))</f>
        <v>-1</v>
      </c>
      <c r="C70" s="23">
        <f t="shared" ref="C70:C133" si="9">B70-A70+1</f>
        <v>-1</v>
      </c>
      <c r="D70" s="43">
        <f t="shared" ref="D70:D133" si="10">C70/11</f>
        <v>-9.0909090909090912E-2</v>
      </c>
      <c r="E70" s="43" t="e">
        <f t="shared" si="7"/>
        <v>#N/A</v>
      </c>
      <c r="F70" s="8">
        <f>'Leave Record'!D72</f>
        <v>0</v>
      </c>
      <c r="G70" s="8">
        <f>'Leave Record'!E72</f>
        <v>0</v>
      </c>
      <c r="H70" s="23">
        <f t="shared" ref="H70:H133" si="11">G70-F70+1</f>
        <v>1</v>
      </c>
      <c r="I70" s="23">
        <f t="shared" ref="I70:I133" si="12">IF(K70=$P$14,H70,0)</f>
        <v>0</v>
      </c>
      <c r="J70" s="43" t="e">
        <f t="shared" si="8"/>
        <v>#N/A</v>
      </c>
      <c r="K70" s="23">
        <f>'Leave Record'!F72</f>
        <v>0</v>
      </c>
      <c r="Q70">
        <f t="shared" ref="Q70:Q133" si="13">K70</f>
        <v>0</v>
      </c>
      <c r="R70" s="15" t="e">
        <f t="shared" ref="R70:R133" si="14">J70</f>
        <v>#N/A</v>
      </c>
    </row>
    <row r="71" spans="1:18" x14ac:dyDescent="0.25">
      <c r="A71" s="8">
        <f t="shared" ref="A71:A134" si="15">G70+1</f>
        <v>1</v>
      </c>
      <c r="B71" s="8">
        <f>IF(K71=$P$15,$M$4,IF(K71=$P$13,'Leave Entry'!$B$4,F71-1))</f>
        <v>-1</v>
      </c>
      <c r="C71" s="23">
        <f t="shared" si="9"/>
        <v>-1</v>
      </c>
      <c r="D71" s="43">
        <f t="shared" si="10"/>
        <v>-9.0909090909090912E-2</v>
      </c>
      <c r="E71" s="43" t="e">
        <f t="shared" ref="E71:E134" si="16">J70+D71</f>
        <v>#N/A</v>
      </c>
      <c r="F71" s="8">
        <f>'Leave Record'!D73</f>
        <v>0</v>
      </c>
      <c r="G71" s="8">
        <f>'Leave Record'!E73</f>
        <v>0</v>
      </c>
      <c r="H71" s="23">
        <f t="shared" si="11"/>
        <v>1</v>
      </c>
      <c r="I71" s="23">
        <f t="shared" si="12"/>
        <v>0</v>
      </c>
      <c r="J71" s="43" t="e">
        <f t="shared" ref="J71:J134" si="17">E71-I71</f>
        <v>#N/A</v>
      </c>
      <c r="K71" s="23">
        <f>'Leave Record'!F73</f>
        <v>0</v>
      </c>
      <c r="Q71">
        <f t="shared" si="13"/>
        <v>0</v>
      </c>
      <c r="R71" s="15" t="e">
        <f t="shared" si="14"/>
        <v>#N/A</v>
      </c>
    </row>
    <row r="72" spans="1:18" x14ac:dyDescent="0.25">
      <c r="A72" s="8">
        <f t="shared" si="15"/>
        <v>1</v>
      </c>
      <c r="B72" s="8">
        <f>IF(K72=$P$15,$M$4,IF(K72=$P$13,'Leave Entry'!$B$4,F72-1))</f>
        <v>-1</v>
      </c>
      <c r="C72" s="23">
        <f t="shared" si="9"/>
        <v>-1</v>
      </c>
      <c r="D72" s="43">
        <f t="shared" si="10"/>
        <v>-9.0909090909090912E-2</v>
      </c>
      <c r="E72" s="43" t="e">
        <f t="shared" si="16"/>
        <v>#N/A</v>
      </c>
      <c r="F72" s="8">
        <f>'Leave Record'!D74</f>
        <v>0</v>
      </c>
      <c r="G72" s="8">
        <f>'Leave Record'!E74</f>
        <v>0</v>
      </c>
      <c r="H72" s="23">
        <f t="shared" si="11"/>
        <v>1</v>
      </c>
      <c r="I72" s="23">
        <f t="shared" si="12"/>
        <v>0</v>
      </c>
      <c r="J72" s="43" t="e">
        <f t="shared" si="17"/>
        <v>#N/A</v>
      </c>
      <c r="K72" s="23">
        <f>'Leave Record'!F74</f>
        <v>0</v>
      </c>
      <c r="Q72">
        <f t="shared" si="13"/>
        <v>0</v>
      </c>
      <c r="R72" s="15" t="e">
        <f t="shared" si="14"/>
        <v>#N/A</v>
      </c>
    </row>
    <row r="73" spans="1:18" x14ac:dyDescent="0.25">
      <c r="A73" s="8">
        <f t="shared" si="15"/>
        <v>1</v>
      </c>
      <c r="B73" s="8">
        <f>IF(K73=$P$15,$M$4,IF(K73=$P$13,'Leave Entry'!$B$4,F73-1))</f>
        <v>-1</v>
      </c>
      <c r="C73" s="23">
        <f t="shared" si="9"/>
        <v>-1</v>
      </c>
      <c r="D73" s="43">
        <f t="shared" si="10"/>
        <v>-9.0909090909090912E-2</v>
      </c>
      <c r="E73" s="43" t="e">
        <f t="shared" si="16"/>
        <v>#N/A</v>
      </c>
      <c r="F73" s="8">
        <f>'Leave Record'!D75</f>
        <v>0</v>
      </c>
      <c r="G73" s="8">
        <f>'Leave Record'!E75</f>
        <v>0</v>
      </c>
      <c r="H73" s="23">
        <f t="shared" si="11"/>
        <v>1</v>
      </c>
      <c r="I73" s="23">
        <f t="shared" si="12"/>
        <v>0</v>
      </c>
      <c r="J73" s="43" t="e">
        <f t="shared" si="17"/>
        <v>#N/A</v>
      </c>
      <c r="K73" s="23">
        <f>'Leave Record'!F75</f>
        <v>0</v>
      </c>
      <c r="Q73">
        <f t="shared" si="13"/>
        <v>0</v>
      </c>
      <c r="R73" s="15" t="e">
        <f t="shared" si="14"/>
        <v>#N/A</v>
      </c>
    </row>
    <row r="74" spans="1:18" x14ac:dyDescent="0.25">
      <c r="A74" s="8">
        <f t="shared" si="15"/>
        <v>1</v>
      </c>
      <c r="B74" s="8">
        <f>IF(K74=$P$15,$M$4,IF(K74=$P$13,'Leave Entry'!$B$4,F74-1))</f>
        <v>-1</v>
      </c>
      <c r="C74" s="23">
        <f t="shared" si="9"/>
        <v>-1</v>
      </c>
      <c r="D74" s="43">
        <f t="shared" si="10"/>
        <v>-9.0909090909090912E-2</v>
      </c>
      <c r="E74" s="43" t="e">
        <f t="shared" si="16"/>
        <v>#N/A</v>
      </c>
      <c r="F74" s="8">
        <f>'Leave Record'!D76</f>
        <v>0</v>
      </c>
      <c r="G74" s="8">
        <f>'Leave Record'!E76</f>
        <v>0</v>
      </c>
      <c r="H74" s="23">
        <f t="shared" si="11"/>
        <v>1</v>
      </c>
      <c r="I74" s="23">
        <f t="shared" si="12"/>
        <v>0</v>
      </c>
      <c r="J74" s="43" t="e">
        <f t="shared" si="17"/>
        <v>#N/A</v>
      </c>
      <c r="K74" s="23">
        <f>'Leave Record'!F76</f>
        <v>0</v>
      </c>
      <c r="Q74">
        <f t="shared" si="13"/>
        <v>0</v>
      </c>
      <c r="R74" s="15" t="e">
        <f t="shared" si="14"/>
        <v>#N/A</v>
      </c>
    </row>
    <row r="75" spans="1:18" x14ac:dyDescent="0.25">
      <c r="A75" s="8">
        <f t="shared" si="15"/>
        <v>1</v>
      </c>
      <c r="B75" s="8">
        <f>IF(K75=$P$15,$M$4,IF(K75=$P$13,'Leave Entry'!$B$4,F75-1))</f>
        <v>-1</v>
      </c>
      <c r="C75" s="23">
        <f t="shared" si="9"/>
        <v>-1</v>
      </c>
      <c r="D75" s="43">
        <f t="shared" si="10"/>
        <v>-9.0909090909090912E-2</v>
      </c>
      <c r="E75" s="43" t="e">
        <f t="shared" si="16"/>
        <v>#N/A</v>
      </c>
      <c r="F75" s="8">
        <f>'Leave Record'!D77</f>
        <v>0</v>
      </c>
      <c r="G75" s="8">
        <f>'Leave Record'!E77</f>
        <v>0</v>
      </c>
      <c r="H75" s="23">
        <f t="shared" si="11"/>
        <v>1</v>
      </c>
      <c r="I75" s="23">
        <f t="shared" si="12"/>
        <v>0</v>
      </c>
      <c r="J75" s="43" t="e">
        <f t="shared" si="17"/>
        <v>#N/A</v>
      </c>
      <c r="K75" s="23">
        <f>'Leave Record'!F77</f>
        <v>0</v>
      </c>
      <c r="Q75">
        <f t="shared" si="13"/>
        <v>0</v>
      </c>
      <c r="R75" s="15" t="e">
        <f t="shared" si="14"/>
        <v>#N/A</v>
      </c>
    </row>
    <row r="76" spans="1:18" x14ac:dyDescent="0.25">
      <c r="A76" s="8">
        <f t="shared" si="15"/>
        <v>1</v>
      </c>
      <c r="B76" s="8">
        <f>IF(K76=$P$15,$M$4,IF(K76=$P$13,'Leave Entry'!$B$4,F76-1))</f>
        <v>-1</v>
      </c>
      <c r="C76" s="23">
        <f t="shared" si="9"/>
        <v>-1</v>
      </c>
      <c r="D76" s="43">
        <f t="shared" si="10"/>
        <v>-9.0909090909090912E-2</v>
      </c>
      <c r="E76" s="43" t="e">
        <f t="shared" si="16"/>
        <v>#N/A</v>
      </c>
      <c r="F76" s="8">
        <f>'Leave Record'!D78</f>
        <v>0</v>
      </c>
      <c r="G76" s="8">
        <f>'Leave Record'!E78</f>
        <v>0</v>
      </c>
      <c r="H76" s="23">
        <f t="shared" si="11"/>
        <v>1</v>
      </c>
      <c r="I76" s="23">
        <f t="shared" si="12"/>
        <v>0</v>
      </c>
      <c r="J76" s="43" t="e">
        <f t="shared" si="17"/>
        <v>#N/A</v>
      </c>
      <c r="K76" s="23">
        <f>'Leave Record'!F78</f>
        <v>0</v>
      </c>
      <c r="Q76">
        <f t="shared" si="13"/>
        <v>0</v>
      </c>
      <c r="R76" s="15" t="e">
        <f t="shared" si="14"/>
        <v>#N/A</v>
      </c>
    </row>
    <row r="77" spans="1:18" x14ac:dyDescent="0.25">
      <c r="A77" s="8">
        <f t="shared" si="15"/>
        <v>1</v>
      </c>
      <c r="B77" s="8">
        <f>IF(K77=$P$15,$M$4,IF(K77=$P$13,'Leave Entry'!$B$4,F77-1))</f>
        <v>-1</v>
      </c>
      <c r="C77" s="23">
        <f t="shared" si="9"/>
        <v>-1</v>
      </c>
      <c r="D77" s="43">
        <f t="shared" si="10"/>
        <v>-9.0909090909090912E-2</v>
      </c>
      <c r="E77" s="43" t="e">
        <f t="shared" si="16"/>
        <v>#N/A</v>
      </c>
      <c r="F77" s="8">
        <f>'Leave Record'!D79</f>
        <v>0</v>
      </c>
      <c r="G77" s="8">
        <f>'Leave Record'!E79</f>
        <v>0</v>
      </c>
      <c r="H77" s="23">
        <f t="shared" si="11"/>
        <v>1</v>
      </c>
      <c r="I77" s="23">
        <f t="shared" si="12"/>
        <v>0</v>
      </c>
      <c r="J77" s="43" t="e">
        <f t="shared" si="17"/>
        <v>#N/A</v>
      </c>
      <c r="K77" s="23">
        <f>'Leave Record'!F79</f>
        <v>0</v>
      </c>
      <c r="Q77">
        <f t="shared" si="13"/>
        <v>0</v>
      </c>
      <c r="R77" s="15" t="e">
        <f t="shared" si="14"/>
        <v>#N/A</v>
      </c>
    </row>
    <row r="78" spans="1:18" x14ac:dyDescent="0.25">
      <c r="A78" s="8">
        <f t="shared" si="15"/>
        <v>1</v>
      </c>
      <c r="B78" s="8">
        <f>IF(K78=$P$15,$M$4,IF(K78=$P$13,'Leave Entry'!$B$4,F78-1))</f>
        <v>-1</v>
      </c>
      <c r="C78" s="23">
        <f t="shared" si="9"/>
        <v>-1</v>
      </c>
      <c r="D78" s="43">
        <f t="shared" si="10"/>
        <v>-9.0909090909090912E-2</v>
      </c>
      <c r="E78" s="43" t="e">
        <f t="shared" si="16"/>
        <v>#N/A</v>
      </c>
      <c r="F78" s="8">
        <f>'Leave Record'!D80</f>
        <v>0</v>
      </c>
      <c r="G78" s="8">
        <f>'Leave Record'!E80</f>
        <v>0</v>
      </c>
      <c r="H78" s="23">
        <f t="shared" si="11"/>
        <v>1</v>
      </c>
      <c r="I78" s="23">
        <f t="shared" si="12"/>
        <v>0</v>
      </c>
      <c r="J78" s="43" t="e">
        <f t="shared" si="17"/>
        <v>#N/A</v>
      </c>
      <c r="K78" s="23">
        <f>'Leave Record'!F80</f>
        <v>0</v>
      </c>
      <c r="Q78">
        <f t="shared" si="13"/>
        <v>0</v>
      </c>
      <c r="R78" s="15" t="e">
        <f t="shared" si="14"/>
        <v>#N/A</v>
      </c>
    </row>
    <row r="79" spans="1:18" x14ac:dyDescent="0.25">
      <c r="A79" s="8">
        <f t="shared" si="15"/>
        <v>1</v>
      </c>
      <c r="B79" s="8">
        <f>IF(K79=$P$15,$M$4,IF(K79=$P$13,'Leave Entry'!$B$4,F79-1))</f>
        <v>-1</v>
      </c>
      <c r="C79" s="23">
        <f t="shared" si="9"/>
        <v>-1</v>
      </c>
      <c r="D79" s="43">
        <f t="shared" si="10"/>
        <v>-9.0909090909090912E-2</v>
      </c>
      <c r="E79" s="43" t="e">
        <f t="shared" si="16"/>
        <v>#N/A</v>
      </c>
      <c r="F79" s="8">
        <f>'Leave Record'!D81</f>
        <v>0</v>
      </c>
      <c r="G79" s="8">
        <f>'Leave Record'!E81</f>
        <v>0</v>
      </c>
      <c r="H79" s="23">
        <f t="shared" si="11"/>
        <v>1</v>
      </c>
      <c r="I79" s="23">
        <f t="shared" si="12"/>
        <v>0</v>
      </c>
      <c r="J79" s="43" t="e">
        <f t="shared" si="17"/>
        <v>#N/A</v>
      </c>
      <c r="K79" s="23">
        <f>'Leave Record'!F81</f>
        <v>0</v>
      </c>
      <c r="Q79">
        <f t="shared" si="13"/>
        <v>0</v>
      </c>
      <c r="R79" s="15" t="e">
        <f t="shared" si="14"/>
        <v>#N/A</v>
      </c>
    </row>
    <row r="80" spans="1:18" x14ac:dyDescent="0.25">
      <c r="A80" s="8">
        <f t="shared" si="15"/>
        <v>1</v>
      </c>
      <c r="B80" s="8">
        <f>IF(K80=$P$15,$M$4,IF(K80=$P$13,'Leave Entry'!$B$4,F80-1))</f>
        <v>-1</v>
      </c>
      <c r="C80" s="23">
        <f t="shared" si="9"/>
        <v>-1</v>
      </c>
      <c r="D80" s="43">
        <f t="shared" si="10"/>
        <v>-9.0909090909090912E-2</v>
      </c>
      <c r="E80" s="43" t="e">
        <f t="shared" si="16"/>
        <v>#N/A</v>
      </c>
      <c r="F80" s="8">
        <f>'Leave Record'!D82</f>
        <v>0</v>
      </c>
      <c r="G80" s="8">
        <f>'Leave Record'!E82</f>
        <v>0</v>
      </c>
      <c r="H80" s="23">
        <f t="shared" si="11"/>
        <v>1</v>
      </c>
      <c r="I80" s="23">
        <f t="shared" si="12"/>
        <v>0</v>
      </c>
      <c r="J80" s="43" t="e">
        <f t="shared" si="17"/>
        <v>#N/A</v>
      </c>
      <c r="K80" s="23">
        <f>'Leave Record'!F82</f>
        <v>0</v>
      </c>
      <c r="Q80">
        <f t="shared" si="13"/>
        <v>0</v>
      </c>
      <c r="R80" s="15" t="e">
        <f t="shared" si="14"/>
        <v>#N/A</v>
      </c>
    </row>
    <row r="81" spans="1:18" x14ac:dyDescent="0.25">
      <c r="A81" s="8">
        <f t="shared" si="15"/>
        <v>1</v>
      </c>
      <c r="B81" s="8">
        <f>IF(K81=$P$15,$M$4,IF(K81=$P$13,'Leave Entry'!$B$4,F81-1))</f>
        <v>-1</v>
      </c>
      <c r="C81" s="23">
        <f t="shared" si="9"/>
        <v>-1</v>
      </c>
      <c r="D81" s="43">
        <f t="shared" si="10"/>
        <v>-9.0909090909090912E-2</v>
      </c>
      <c r="E81" s="43" t="e">
        <f t="shared" si="16"/>
        <v>#N/A</v>
      </c>
      <c r="F81" s="8">
        <f>'Leave Record'!D83</f>
        <v>0</v>
      </c>
      <c r="G81" s="8">
        <f>'Leave Record'!E83</f>
        <v>0</v>
      </c>
      <c r="H81" s="23">
        <f t="shared" si="11"/>
        <v>1</v>
      </c>
      <c r="I81" s="23">
        <f t="shared" si="12"/>
        <v>0</v>
      </c>
      <c r="J81" s="43" t="e">
        <f t="shared" si="17"/>
        <v>#N/A</v>
      </c>
      <c r="K81" s="23">
        <f>'Leave Record'!F83</f>
        <v>0</v>
      </c>
      <c r="Q81">
        <f t="shared" si="13"/>
        <v>0</v>
      </c>
      <c r="R81" s="15" t="e">
        <f t="shared" si="14"/>
        <v>#N/A</v>
      </c>
    </row>
    <row r="82" spans="1:18" x14ac:dyDescent="0.25">
      <c r="A82" s="8">
        <f t="shared" si="15"/>
        <v>1</v>
      </c>
      <c r="B82" s="8">
        <f>IF(K82=$P$15,$M$4,IF(K82=$P$13,'Leave Entry'!$B$4,F82-1))</f>
        <v>-1</v>
      </c>
      <c r="C82" s="23">
        <f t="shared" si="9"/>
        <v>-1</v>
      </c>
      <c r="D82" s="43">
        <f t="shared" si="10"/>
        <v>-9.0909090909090912E-2</v>
      </c>
      <c r="E82" s="43" t="e">
        <f t="shared" si="16"/>
        <v>#N/A</v>
      </c>
      <c r="F82" s="8">
        <f>'Leave Record'!D84</f>
        <v>0</v>
      </c>
      <c r="G82" s="8">
        <f>'Leave Record'!E84</f>
        <v>0</v>
      </c>
      <c r="H82" s="23">
        <f t="shared" si="11"/>
        <v>1</v>
      </c>
      <c r="I82" s="23">
        <f t="shared" si="12"/>
        <v>0</v>
      </c>
      <c r="J82" s="43" t="e">
        <f t="shared" si="17"/>
        <v>#N/A</v>
      </c>
      <c r="K82" s="23">
        <f>'Leave Record'!F84</f>
        <v>0</v>
      </c>
      <c r="Q82">
        <f t="shared" si="13"/>
        <v>0</v>
      </c>
      <c r="R82" s="15" t="e">
        <f t="shared" si="14"/>
        <v>#N/A</v>
      </c>
    </row>
    <row r="83" spans="1:18" x14ac:dyDescent="0.25">
      <c r="A83" s="8">
        <f t="shared" si="15"/>
        <v>1</v>
      </c>
      <c r="B83" s="8">
        <f>IF(K83=$P$15,$M$4,IF(K83=$P$13,'Leave Entry'!$B$4,F83-1))</f>
        <v>-1</v>
      </c>
      <c r="C83" s="23">
        <f t="shared" si="9"/>
        <v>-1</v>
      </c>
      <c r="D83" s="43">
        <f t="shared" si="10"/>
        <v>-9.0909090909090912E-2</v>
      </c>
      <c r="E83" s="43" t="e">
        <f t="shared" si="16"/>
        <v>#N/A</v>
      </c>
      <c r="F83" s="8">
        <f>'Leave Record'!D85</f>
        <v>0</v>
      </c>
      <c r="G83" s="8">
        <f>'Leave Record'!E85</f>
        <v>0</v>
      </c>
      <c r="H83" s="23">
        <f t="shared" si="11"/>
        <v>1</v>
      </c>
      <c r="I83" s="23">
        <f t="shared" si="12"/>
        <v>0</v>
      </c>
      <c r="J83" s="43" t="e">
        <f t="shared" si="17"/>
        <v>#N/A</v>
      </c>
      <c r="K83" s="23">
        <f>'Leave Record'!F85</f>
        <v>0</v>
      </c>
      <c r="Q83">
        <f t="shared" si="13"/>
        <v>0</v>
      </c>
      <c r="R83" s="15" t="e">
        <f t="shared" si="14"/>
        <v>#N/A</v>
      </c>
    </row>
    <row r="84" spans="1:18" x14ac:dyDescent="0.25">
      <c r="A84" s="8">
        <f t="shared" si="15"/>
        <v>1</v>
      </c>
      <c r="B84" s="8">
        <f>IF(K84=$P$15,$M$4,IF(K84=$P$13,'Leave Entry'!$B$4,F84-1))</f>
        <v>-1</v>
      </c>
      <c r="C84" s="23">
        <f t="shared" si="9"/>
        <v>-1</v>
      </c>
      <c r="D84" s="43">
        <f t="shared" si="10"/>
        <v>-9.0909090909090912E-2</v>
      </c>
      <c r="E84" s="43" t="e">
        <f t="shared" si="16"/>
        <v>#N/A</v>
      </c>
      <c r="F84" s="8">
        <f>'Leave Record'!D86</f>
        <v>0</v>
      </c>
      <c r="G84" s="8">
        <f>'Leave Record'!E86</f>
        <v>0</v>
      </c>
      <c r="H84" s="23">
        <f t="shared" si="11"/>
        <v>1</v>
      </c>
      <c r="I84" s="23">
        <f t="shared" si="12"/>
        <v>0</v>
      </c>
      <c r="J84" s="43" t="e">
        <f t="shared" si="17"/>
        <v>#N/A</v>
      </c>
      <c r="K84" s="23">
        <f>'Leave Record'!F86</f>
        <v>0</v>
      </c>
      <c r="Q84">
        <f t="shared" si="13"/>
        <v>0</v>
      </c>
      <c r="R84" s="15" t="e">
        <f t="shared" si="14"/>
        <v>#N/A</v>
      </c>
    </row>
    <row r="85" spans="1:18" x14ac:dyDescent="0.25">
      <c r="A85" s="8">
        <f t="shared" si="15"/>
        <v>1</v>
      </c>
      <c r="B85" s="8">
        <f>IF(K85=$P$15,$M$4,IF(K85=$P$13,'Leave Entry'!$B$4,F85-1))</f>
        <v>-1</v>
      </c>
      <c r="C85" s="23">
        <f t="shared" si="9"/>
        <v>-1</v>
      </c>
      <c r="D85" s="43">
        <f t="shared" si="10"/>
        <v>-9.0909090909090912E-2</v>
      </c>
      <c r="E85" s="43" t="e">
        <f t="shared" si="16"/>
        <v>#N/A</v>
      </c>
      <c r="F85" s="8">
        <f>'Leave Record'!D87</f>
        <v>0</v>
      </c>
      <c r="G85" s="8">
        <f>'Leave Record'!E87</f>
        <v>0</v>
      </c>
      <c r="H85" s="23">
        <f t="shared" si="11"/>
        <v>1</v>
      </c>
      <c r="I85" s="23">
        <f t="shared" si="12"/>
        <v>0</v>
      </c>
      <c r="J85" s="43" t="e">
        <f t="shared" si="17"/>
        <v>#N/A</v>
      </c>
      <c r="K85" s="23">
        <f>'Leave Record'!F87</f>
        <v>0</v>
      </c>
      <c r="Q85">
        <f t="shared" si="13"/>
        <v>0</v>
      </c>
      <c r="R85" s="15" t="e">
        <f t="shared" si="14"/>
        <v>#N/A</v>
      </c>
    </row>
    <row r="86" spans="1:18" x14ac:dyDescent="0.25">
      <c r="A86" s="8">
        <f t="shared" si="15"/>
        <v>1</v>
      </c>
      <c r="B86" s="8">
        <f>IF(K86=$P$15,$M$4,IF(K86=$P$13,'Leave Entry'!$B$4,F86-1))</f>
        <v>-1</v>
      </c>
      <c r="C86" s="23">
        <f t="shared" si="9"/>
        <v>-1</v>
      </c>
      <c r="D86" s="43">
        <f t="shared" si="10"/>
        <v>-9.0909090909090912E-2</v>
      </c>
      <c r="E86" s="43" t="e">
        <f t="shared" si="16"/>
        <v>#N/A</v>
      </c>
      <c r="F86" s="8">
        <f>'Leave Record'!D88</f>
        <v>0</v>
      </c>
      <c r="G86" s="8">
        <f>'Leave Record'!E88</f>
        <v>0</v>
      </c>
      <c r="H86" s="23">
        <f t="shared" si="11"/>
        <v>1</v>
      </c>
      <c r="I86" s="23">
        <f t="shared" si="12"/>
        <v>0</v>
      </c>
      <c r="J86" s="43" t="e">
        <f t="shared" si="17"/>
        <v>#N/A</v>
      </c>
      <c r="K86" s="23">
        <f>'Leave Record'!F88</f>
        <v>0</v>
      </c>
      <c r="Q86">
        <f t="shared" si="13"/>
        <v>0</v>
      </c>
      <c r="R86" s="15" t="e">
        <f t="shared" si="14"/>
        <v>#N/A</v>
      </c>
    </row>
    <row r="87" spans="1:18" x14ac:dyDescent="0.25">
      <c r="A87" s="8">
        <f t="shared" si="15"/>
        <v>1</v>
      </c>
      <c r="B87" s="8">
        <f>IF(K87=$P$15,$M$4,IF(K87=$P$13,'Leave Entry'!$B$4,F87-1))</f>
        <v>-1</v>
      </c>
      <c r="C87" s="23">
        <f t="shared" si="9"/>
        <v>-1</v>
      </c>
      <c r="D87" s="43">
        <f t="shared" si="10"/>
        <v>-9.0909090909090912E-2</v>
      </c>
      <c r="E87" s="43" t="e">
        <f t="shared" si="16"/>
        <v>#N/A</v>
      </c>
      <c r="F87" s="8">
        <f>'Leave Record'!D89</f>
        <v>0</v>
      </c>
      <c r="G87" s="8">
        <f>'Leave Record'!E89</f>
        <v>0</v>
      </c>
      <c r="H87" s="23">
        <f t="shared" si="11"/>
        <v>1</v>
      </c>
      <c r="I87" s="23">
        <f t="shared" si="12"/>
        <v>0</v>
      </c>
      <c r="J87" s="43" t="e">
        <f t="shared" si="17"/>
        <v>#N/A</v>
      </c>
      <c r="K87" s="23">
        <f>'Leave Record'!F89</f>
        <v>0</v>
      </c>
      <c r="Q87">
        <f t="shared" si="13"/>
        <v>0</v>
      </c>
      <c r="R87" s="15" t="e">
        <f t="shared" si="14"/>
        <v>#N/A</v>
      </c>
    </row>
    <row r="88" spans="1:18" x14ac:dyDescent="0.25">
      <c r="A88" s="8">
        <f t="shared" si="15"/>
        <v>1</v>
      </c>
      <c r="B88" s="8">
        <f>IF(K88=$P$15,$M$4,IF(K88=$P$13,'Leave Entry'!$B$4,F88-1))</f>
        <v>-1</v>
      </c>
      <c r="C88" s="23">
        <f t="shared" si="9"/>
        <v>-1</v>
      </c>
      <c r="D88" s="43">
        <f t="shared" si="10"/>
        <v>-9.0909090909090912E-2</v>
      </c>
      <c r="E88" s="43" t="e">
        <f t="shared" si="16"/>
        <v>#N/A</v>
      </c>
      <c r="F88" s="8">
        <f>'Leave Record'!D90</f>
        <v>0</v>
      </c>
      <c r="G88" s="8">
        <f>'Leave Record'!E90</f>
        <v>0</v>
      </c>
      <c r="H88" s="23">
        <f t="shared" si="11"/>
        <v>1</v>
      </c>
      <c r="I88" s="23">
        <f t="shared" si="12"/>
        <v>0</v>
      </c>
      <c r="J88" s="43" t="e">
        <f t="shared" si="17"/>
        <v>#N/A</v>
      </c>
      <c r="K88" s="23">
        <f>'Leave Record'!F90</f>
        <v>0</v>
      </c>
      <c r="Q88">
        <f t="shared" si="13"/>
        <v>0</v>
      </c>
      <c r="R88" s="15" t="e">
        <f t="shared" si="14"/>
        <v>#N/A</v>
      </c>
    </row>
    <row r="89" spans="1:18" x14ac:dyDescent="0.25">
      <c r="A89" s="8">
        <f t="shared" si="15"/>
        <v>1</v>
      </c>
      <c r="B89" s="8">
        <f>IF(K89=$P$15,$M$4,IF(K89=$P$13,'Leave Entry'!$B$4,F89-1))</f>
        <v>-1</v>
      </c>
      <c r="C89" s="23">
        <f t="shared" si="9"/>
        <v>-1</v>
      </c>
      <c r="D89" s="43">
        <f t="shared" si="10"/>
        <v>-9.0909090909090912E-2</v>
      </c>
      <c r="E89" s="43" t="e">
        <f t="shared" si="16"/>
        <v>#N/A</v>
      </c>
      <c r="F89" s="8">
        <f>'Leave Record'!D91</f>
        <v>0</v>
      </c>
      <c r="G89" s="8">
        <f>'Leave Record'!E91</f>
        <v>0</v>
      </c>
      <c r="H89" s="23">
        <f t="shared" si="11"/>
        <v>1</v>
      </c>
      <c r="I89" s="23">
        <f t="shared" si="12"/>
        <v>0</v>
      </c>
      <c r="J89" s="43" t="e">
        <f t="shared" si="17"/>
        <v>#N/A</v>
      </c>
      <c r="K89" s="23">
        <f>'Leave Record'!F91</f>
        <v>0</v>
      </c>
      <c r="Q89">
        <f t="shared" si="13"/>
        <v>0</v>
      </c>
      <c r="R89" s="15" t="e">
        <f t="shared" si="14"/>
        <v>#N/A</v>
      </c>
    </row>
    <row r="90" spans="1:18" x14ac:dyDescent="0.25">
      <c r="A90" s="8">
        <f t="shared" si="15"/>
        <v>1</v>
      </c>
      <c r="B90" s="8">
        <f>IF(K90=$P$15,$M$4,IF(K90=$P$13,'Leave Entry'!$B$4,F90-1))</f>
        <v>-1</v>
      </c>
      <c r="C90" s="23">
        <f t="shared" si="9"/>
        <v>-1</v>
      </c>
      <c r="D90" s="43">
        <f t="shared" si="10"/>
        <v>-9.0909090909090912E-2</v>
      </c>
      <c r="E90" s="43" t="e">
        <f t="shared" si="16"/>
        <v>#N/A</v>
      </c>
      <c r="F90" s="8">
        <f>'Leave Record'!D92</f>
        <v>0</v>
      </c>
      <c r="G90" s="8">
        <f>'Leave Record'!E92</f>
        <v>0</v>
      </c>
      <c r="H90" s="23">
        <f t="shared" si="11"/>
        <v>1</v>
      </c>
      <c r="I90" s="23">
        <f t="shared" si="12"/>
        <v>0</v>
      </c>
      <c r="J90" s="43" t="e">
        <f t="shared" si="17"/>
        <v>#N/A</v>
      </c>
      <c r="K90" s="23">
        <f>'Leave Record'!F92</f>
        <v>0</v>
      </c>
      <c r="Q90">
        <f t="shared" si="13"/>
        <v>0</v>
      </c>
      <c r="R90" s="15" t="e">
        <f t="shared" si="14"/>
        <v>#N/A</v>
      </c>
    </row>
    <row r="91" spans="1:18" x14ac:dyDescent="0.25">
      <c r="A91" s="8">
        <f t="shared" si="15"/>
        <v>1</v>
      </c>
      <c r="B91" s="8">
        <f>IF(K91=$P$15,$M$4,IF(K91=$P$13,'Leave Entry'!$B$4,F91-1))</f>
        <v>-1</v>
      </c>
      <c r="C91" s="23">
        <f t="shared" si="9"/>
        <v>-1</v>
      </c>
      <c r="D91" s="43">
        <f t="shared" si="10"/>
        <v>-9.0909090909090912E-2</v>
      </c>
      <c r="E91" s="43" t="e">
        <f t="shared" si="16"/>
        <v>#N/A</v>
      </c>
      <c r="F91" s="8">
        <f>'Leave Record'!D93</f>
        <v>0</v>
      </c>
      <c r="G91" s="8">
        <f>'Leave Record'!E93</f>
        <v>0</v>
      </c>
      <c r="H91" s="23">
        <f t="shared" si="11"/>
        <v>1</v>
      </c>
      <c r="I91" s="23">
        <f t="shared" si="12"/>
        <v>0</v>
      </c>
      <c r="J91" s="43" t="e">
        <f t="shared" si="17"/>
        <v>#N/A</v>
      </c>
      <c r="K91" s="23">
        <f>'Leave Record'!F93</f>
        <v>0</v>
      </c>
      <c r="Q91">
        <f t="shared" si="13"/>
        <v>0</v>
      </c>
      <c r="R91" s="15" t="e">
        <f t="shared" si="14"/>
        <v>#N/A</v>
      </c>
    </row>
    <row r="92" spans="1:18" x14ac:dyDescent="0.25">
      <c r="A92" s="8">
        <f t="shared" si="15"/>
        <v>1</v>
      </c>
      <c r="B92" s="8">
        <f>IF(K92=$P$15,$M$4,IF(K92=$P$13,'Leave Entry'!$B$4,F92-1))</f>
        <v>-1</v>
      </c>
      <c r="C92" s="23">
        <f t="shared" si="9"/>
        <v>-1</v>
      </c>
      <c r="D92" s="43">
        <f t="shared" si="10"/>
        <v>-9.0909090909090912E-2</v>
      </c>
      <c r="E92" s="43" t="e">
        <f t="shared" si="16"/>
        <v>#N/A</v>
      </c>
      <c r="F92" s="8">
        <f>'Leave Record'!D94</f>
        <v>0</v>
      </c>
      <c r="G92" s="8">
        <f>'Leave Record'!E94</f>
        <v>0</v>
      </c>
      <c r="H92" s="23">
        <f t="shared" si="11"/>
        <v>1</v>
      </c>
      <c r="I92" s="23">
        <f t="shared" si="12"/>
        <v>0</v>
      </c>
      <c r="J92" s="43" t="e">
        <f t="shared" si="17"/>
        <v>#N/A</v>
      </c>
      <c r="K92" s="23">
        <f>'Leave Record'!F94</f>
        <v>0</v>
      </c>
      <c r="Q92">
        <f t="shared" si="13"/>
        <v>0</v>
      </c>
      <c r="R92" s="15" t="e">
        <f t="shared" si="14"/>
        <v>#N/A</v>
      </c>
    </row>
    <row r="93" spans="1:18" x14ac:dyDescent="0.25">
      <c r="A93" s="8">
        <f t="shared" si="15"/>
        <v>1</v>
      </c>
      <c r="B93" s="8">
        <f>IF(K93=$P$15,$M$4,IF(K93=$P$13,'Leave Entry'!$B$4,F93-1))</f>
        <v>-1</v>
      </c>
      <c r="C93" s="23">
        <f t="shared" si="9"/>
        <v>-1</v>
      </c>
      <c r="D93" s="43">
        <f t="shared" si="10"/>
        <v>-9.0909090909090912E-2</v>
      </c>
      <c r="E93" s="43" t="e">
        <f t="shared" si="16"/>
        <v>#N/A</v>
      </c>
      <c r="F93" s="8">
        <f>'Leave Record'!D95</f>
        <v>0</v>
      </c>
      <c r="G93" s="8">
        <f>'Leave Record'!E95</f>
        <v>0</v>
      </c>
      <c r="H93" s="23">
        <f t="shared" si="11"/>
        <v>1</v>
      </c>
      <c r="I93" s="23">
        <f t="shared" si="12"/>
        <v>0</v>
      </c>
      <c r="J93" s="43" t="e">
        <f t="shared" si="17"/>
        <v>#N/A</v>
      </c>
      <c r="K93" s="23">
        <f>'Leave Record'!F95</f>
        <v>0</v>
      </c>
      <c r="Q93">
        <f t="shared" si="13"/>
        <v>0</v>
      </c>
      <c r="R93" s="15" t="e">
        <f t="shared" si="14"/>
        <v>#N/A</v>
      </c>
    </row>
    <row r="94" spans="1:18" x14ac:dyDescent="0.25">
      <c r="A94" s="8">
        <f t="shared" si="15"/>
        <v>1</v>
      </c>
      <c r="B94" s="8">
        <f>IF(K94=$P$15,$M$4,IF(K94=$P$13,'Leave Entry'!$B$4,F94-1))</f>
        <v>-1</v>
      </c>
      <c r="C94" s="23">
        <f t="shared" si="9"/>
        <v>-1</v>
      </c>
      <c r="D94" s="43">
        <f t="shared" si="10"/>
        <v>-9.0909090909090912E-2</v>
      </c>
      <c r="E94" s="43" t="e">
        <f t="shared" si="16"/>
        <v>#N/A</v>
      </c>
      <c r="F94" s="8">
        <f>'Leave Record'!D96</f>
        <v>0</v>
      </c>
      <c r="G94" s="8">
        <f>'Leave Record'!E96</f>
        <v>0</v>
      </c>
      <c r="H94" s="23">
        <f t="shared" si="11"/>
        <v>1</v>
      </c>
      <c r="I94" s="23">
        <f t="shared" si="12"/>
        <v>0</v>
      </c>
      <c r="J94" s="43" t="e">
        <f t="shared" si="17"/>
        <v>#N/A</v>
      </c>
      <c r="K94" s="23">
        <f>'Leave Record'!F96</f>
        <v>0</v>
      </c>
      <c r="Q94">
        <f t="shared" si="13"/>
        <v>0</v>
      </c>
      <c r="R94" s="15" t="e">
        <f t="shared" si="14"/>
        <v>#N/A</v>
      </c>
    </row>
    <row r="95" spans="1:18" x14ac:dyDescent="0.25">
      <c r="A95" s="8">
        <f t="shared" si="15"/>
        <v>1</v>
      </c>
      <c r="B95" s="8">
        <f>IF(K95=$P$15,$M$4,IF(K95=$P$13,'Leave Entry'!$B$4,F95-1))</f>
        <v>-1</v>
      </c>
      <c r="C95" s="23">
        <f t="shared" si="9"/>
        <v>-1</v>
      </c>
      <c r="D95" s="43">
        <f t="shared" si="10"/>
        <v>-9.0909090909090912E-2</v>
      </c>
      <c r="E95" s="43" t="e">
        <f t="shared" si="16"/>
        <v>#N/A</v>
      </c>
      <c r="F95" s="8">
        <f>'Leave Record'!D97</f>
        <v>0</v>
      </c>
      <c r="G95" s="8">
        <f>'Leave Record'!E97</f>
        <v>0</v>
      </c>
      <c r="H95" s="23">
        <f t="shared" si="11"/>
        <v>1</v>
      </c>
      <c r="I95" s="23">
        <f t="shared" si="12"/>
        <v>0</v>
      </c>
      <c r="J95" s="43" t="e">
        <f t="shared" si="17"/>
        <v>#N/A</v>
      </c>
      <c r="K95" s="23">
        <f>'Leave Record'!F97</f>
        <v>0</v>
      </c>
      <c r="Q95">
        <f t="shared" si="13"/>
        <v>0</v>
      </c>
      <c r="R95" s="15" t="e">
        <f t="shared" si="14"/>
        <v>#N/A</v>
      </c>
    </row>
    <row r="96" spans="1:18" x14ac:dyDescent="0.25">
      <c r="A96" s="8">
        <f t="shared" si="15"/>
        <v>1</v>
      </c>
      <c r="B96" s="8">
        <f>IF(K96=$P$15,$M$4,IF(K96=$P$13,'Leave Entry'!$B$4,F96-1))</f>
        <v>-1</v>
      </c>
      <c r="C96" s="23">
        <f t="shared" si="9"/>
        <v>-1</v>
      </c>
      <c r="D96" s="43">
        <f t="shared" si="10"/>
        <v>-9.0909090909090912E-2</v>
      </c>
      <c r="E96" s="43" t="e">
        <f t="shared" si="16"/>
        <v>#N/A</v>
      </c>
      <c r="F96" s="8">
        <f>'Leave Record'!D98</f>
        <v>0</v>
      </c>
      <c r="G96" s="8">
        <f>'Leave Record'!E98</f>
        <v>0</v>
      </c>
      <c r="H96" s="23">
        <f t="shared" si="11"/>
        <v>1</v>
      </c>
      <c r="I96" s="23">
        <f t="shared" si="12"/>
        <v>0</v>
      </c>
      <c r="J96" s="43" t="e">
        <f t="shared" si="17"/>
        <v>#N/A</v>
      </c>
      <c r="K96" s="23">
        <f>'Leave Record'!F98</f>
        <v>0</v>
      </c>
      <c r="Q96">
        <f t="shared" si="13"/>
        <v>0</v>
      </c>
      <c r="R96" s="15" t="e">
        <f t="shared" si="14"/>
        <v>#N/A</v>
      </c>
    </row>
    <row r="97" spans="1:18" x14ac:dyDescent="0.25">
      <c r="A97" s="8">
        <f t="shared" si="15"/>
        <v>1</v>
      </c>
      <c r="B97" s="8">
        <f>IF(K97=$P$15,$M$4,IF(K97=$P$13,'Leave Entry'!$B$4,F97-1))</f>
        <v>-1</v>
      </c>
      <c r="C97" s="23">
        <f t="shared" si="9"/>
        <v>-1</v>
      </c>
      <c r="D97" s="43">
        <f t="shared" si="10"/>
        <v>-9.0909090909090912E-2</v>
      </c>
      <c r="E97" s="43" t="e">
        <f t="shared" si="16"/>
        <v>#N/A</v>
      </c>
      <c r="F97" s="8">
        <f>'Leave Record'!D99</f>
        <v>0</v>
      </c>
      <c r="G97" s="8">
        <f>'Leave Record'!E99</f>
        <v>0</v>
      </c>
      <c r="H97" s="23">
        <f t="shared" si="11"/>
        <v>1</v>
      </c>
      <c r="I97" s="23">
        <f t="shared" si="12"/>
        <v>0</v>
      </c>
      <c r="J97" s="43" t="e">
        <f t="shared" si="17"/>
        <v>#N/A</v>
      </c>
      <c r="K97" s="23">
        <f>'Leave Record'!F99</f>
        <v>0</v>
      </c>
      <c r="Q97">
        <f t="shared" si="13"/>
        <v>0</v>
      </c>
      <c r="R97" s="15" t="e">
        <f t="shared" si="14"/>
        <v>#N/A</v>
      </c>
    </row>
    <row r="98" spans="1:18" x14ac:dyDescent="0.25">
      <c r="A98" s="8">
        <f t="shared" si="15"/>
        <v>1</v>
      </c>
      <c r="B98" s="8">
        <f>IF(K98=$P$15,$M$4,IF(K98=$P$13,'Leave Entry'!$B$4,F98-1))</f>
        <v>-1</v>
      </c>
      <c r="C98" s="23">
        <f t="shared" si="9"/>
        <v>-1</v>
      </c>
      <c r="D98" s="43">
        <f t="shared" si="10"/>
        <v>-9.0909090909090912E-2</v>
      </c>
      <c r="E98" s="43" t="e">
        <f t="shared" si="16"/>
        <v>#N/A</v>
      </c>
      <c r="F98" s="8">
        <f>'Leave Record'!D100</f>
        <v>0</v>
      </c>
      <c r="G98" s="8">
        <f>'Leave Record'!E100</f>
        <v>0</v>
      </c>
      <c r="H98" s="23">
        <f t="shared" si="11"/>
        <v>1</v>
      </c>
      <c r="I98" s="23">
        <f t="shared" si="12"/>
        <v>0</v>
      </c>
      <c r="J98" s="43" t="e">
        <f t="shared" si="17"/>
        <v>#N/A</v>
      </c>
      <c r="K98" s="23">
        <f>'Leave Record'!F100</f>
        <v>0</v>
      </c>
      <c r="Q98">
        <f t="shared" si="13"/>
        <v>0</v>
      </c>
      <c r="R98" s="15" t="e">
        <f t="shared" si="14"/>
        <v>#N/A</v>
      </c>
    </row>
    <row r="99" spans="1:18" x14ac:dyDescent="0.25">
      <c r="A99" s="8">
        <f t="shared" si="15"/>
        <v>1</v>
      </c>
      <c r="B99" s="8">
        <f>IF(K99=$P$15,$M$4,IF(K99=$P$13,'Leave Entry'!$B$4,F99-1))</f>
        <v>-1</v>
      </c>
      <c r="C99" s="23">
        <f t="shared" si="9"/>
        <v>-1</v>
      </c>
      <c r="D99" s="43">
        <f t="shared" si="10"/>
        <v>-9.0909090909090912E-2</v>
      </c>
      <c r="E99" s="43" t="e">
        <f t="shared" si="16"/>
        <v>#N/A</v>
      </c>
      <c r="F99" s="8">
        <f>'Leave Record'!D101</f>
        <v>0</v>
      </c>
      <c r="G99" s="8">
        <f>'Leave Record'!E101</f>
        <v>0</v>
      </c>
      <c r="H99" s="23">
        <f t="shared" si="11"/>
        <v>1</v>
      </c>
      <c r="I99" s="23">
        <f t="shared" si="12"/>
        <v>0</v>
      </c>
      <c r="J99" s="43" t="e">
        <f t="shared" si="17"/>
        <v>#N/A</v>
      </c>
      <c r="K99" s="23">
        <f>'Leave Record'!F101</f>
        <v>0</v>
      </c>
      <c r="Q99">
        <f t="shared" si="13"/>
        <v>0</v>
      </c>
      <c r="R99" s="15" t="e">
        <f t="shared" si="14"/>
        <v>#N/A</v>
      </c>
    </row>
    <row r="100" spans="1:18" x14ac:dyDescent="0.25">
      <c r="A100" s="8">
        <f t="shared" si="15"/>
        <v>1</v>
      </c>
      <c r="B100" s="8">
        <f>IF(K100=$P$15,$M$4,IF(K100=$P$13,'Leave Entry'!$B$4,F100-1))</f>
        <v>-1</v>
      </c>
      <c r="C100" s="23">
        <f t="shared" si="9"/>
        <v>-1</v>
      </c>
      <c r="D100" s="43">
        <f t="shared" si="10"/>
        <v>-9.0909090909090912E-2</v>
      </c>
      <c r="E100" s="43" t="e">
        <f t="shared" si="16"/>
        <v>#N/A</v>
      </c>
      <c r="F100" s="8">
        <f>'Leave Record'!D102</f>
        <v>0</v>
      </c>
      <c r="G100" s="8">
        <f>'Leave Record'!E102</f>
        <v>0</v>
      </c>
      <c r="H100" s="23">
        <f t="shared" si="11"/>
        <v>1</v>
      </c>
      <c r="I100" s="23">
        <f t="shared" si="12"/>
        <v>0</v>
      </c>
      <c r="J100" s="43" t="e">
        <f t="shared" si="17"/>
        <v>#N/A</v>
      </c>
      <c r="K100" s="23">
        <f>'Leave Record'!F102</f>
        <v>0</v>
      </c>
      <c r="Q100">
        <f t="shared" si="13"/>
        <v>0</v>
      </c>
      <c r="R100" s="15" t="e">
        <f t="shared" si="14"/>
        <v>#N/A</v>
      </c>
    </row>
    <row r="101" spans="1:18" x14ac:dyDescent="0.25">
      <c r="A101" s="8">
        <f t="shared" si="15"/>
        <v>1</v>
      </c>
      <c r="B101" s="8">
        <f>IF(K101=$P$15,$M$4,IF(K101=$P$13,'Leave Entry'!$B$4,F101-1))</f>
        <v>-1</v>
      </c>
      <c r="C101" s="23">
        <f t="shared" si="9"/>
        <v>-1</v>
      </c>
      <c r="D101" s="43">
        <f t="shared" si="10"/>
        <v>-9.0909090909090912E-2</v>
      </c>
      <c r="E101" s="43" t="e">
        <f t="shared" si="16"/>
        <v>#N/A</v>
      </c>
      <c r="F101" s="8">
        <f>'Leave Record'!D103</f>
        <v>0</v>
      </c>
      <c r="G101" s="8">
        <f>'Leave Record'!E103</f>
        <v>0</v>
      </c>
      <c r="H101" s="23">
        <f t="shared" si="11"/>
        <v>1</v>
      </c>
      <c r="I101" s="23">
        <f t="shared" si="12"/>
        <v>0</v>
      </c>
      <c r="J101" s="43" t="e">
        <f t="shared" si="17"/>
        <v>#N/A</v>
      </c>
      <c r="K101" s="23">
        <f>'Leave Record'!F103</f>
        <v>0</v>
      </c>
      <c r="Q101">
        <f t="shared" si="13"/>
        <v>0</v>
      </c>
      <c r="R101" s="15" t="e">
        <f t="shared" si="14"/>
        <v>#N/A</v>
      </c>
    </row>
    <row r="102" spans="1:18" x14ac:dyDescent="0.25">
      <c r="A102" s="8">
        <f t="shared" si="15"/>
        <v>1</v>
      </c>
      <c r="B102" s="8">
        <f>IF(K102=$P$15,$M$4,IF(K102=$P$13,'Leave Entry'!$B$4,F102-1))</f>
        <v>-1</v>
      </c>
      <c r="C102" s="23">
        <f t="shared" si="9"/>
        <v>-1</v>
      </c>
      <c r="D102" s="43">
        <f t="shared" si="10"/>
        <v>-9.0909090909090912E-2</v>
      </c>
      <c r="E102" s="43" t="e">
        <f t="shared" si="16"/>
        <v>#N/A</v>
      </c>
      <c r="F102" s="8">
        <f>'Leave Record'!D104</f>
        <v>0</v>
      </c>
      <c r="G102" s="8">
        <f>'Leave Record'!E104</f>
        <v>0</v>
      </c>
      <c r="H102" s="23">
        <f t="shared" si="11"/>
        <v>1</v>
      </c>
      <c r="I102" s="23">
        <f t="shared" si="12"/>
        <v>0</v>
      </c>
      <c r="J102" s="43" t="e">
        <f t="shared" si="17"/>
        <v>#N/A</v>
      </c>
      <c r="K102" s="23">
        <f>'Leave Record'!F104</f>
        <v>0</v>
      </c>
      <c r="Q102">
        <f t="shared" si="13"/>
        <v>0</v>
      </c>
      <c r="R102" s="15" t="e">
        <f t="shared" si="14"/>
        <v>#N/A</v>
      </c>
    </row>
    <row r="103" spans="1:18" x14ac:dyDescent="0.25">
      <c r="A103" s="8">
        <f t="shared" si="15"/>
        <v>1</v>
      </c>
      <c r="B103" s="8">
        <f>IF(K103=$P$15,$M$4,IF(K103=$P$13,'Leave Entry'!$B$4,F103-1))</f>
        <v>-1</v>
      </c>
      <c r="C103" s="23">
        <f t="shared" si="9"/>
        <v>-1</v>
      </c>
      <c r="D103" s="43">
        <f t="shared" si="10"/>
        <v>-9.0909090909090912E-2</v>
      </c>
      <c r="E103" s="43" t="e">
        <f t="shared" si="16"/>
        <v>#N/A</v>
      </c>
      <c r="F103" s="8">
        <f>'Leave Record'!D105</f>
        <v>0</v>
      </c>
      <c r="G103" s="8">
        <f>'Leave Record'!E105</f>
        <v>0</v>
      </c>
      <c r="H103" s="23">
        <f t="shared" si="11"/>
        <v>1</v>
      </c>
      <c r="I103" s="23">
        <f t="shared" si="12"/>
        <v>0</v>
      </c>
      <c r="J103" s="43" t="e">
        <f t="shared" si="17"/>
        <v>#N/A</v>
      </c>
      <c r="K103" s="23">
        <f>'Leave Record'!F105</f>
        <v>0</v>
      </c>
      <c r="Q103">
        <f t="shared" si="13"/>
        <v>0</v>
      </c>
      <c r="R103" s="15" t="e">
        <f t="shared" si="14"/>
        <v>#N/A</v>
      </c>
    </row>
    <row r="104" spans="1:18" x14ac:dyDescent="0.25">
      <c r="A104" s="8">
        <f t="shared" si="15"/>
        <v>1</v>
      </c>
      <c r="B104" s="8">
        <f>IF(K104=$P$15,$M$4,IF(K104=$P$13,'Leave Entry'!$B$4,F104-1))</f>
        <v>-1</v>
      </c>
      <c r="C104" s="23">
        <f t="shared" si="9"/>
        <v>-1</v>
      </c>
      <c r="D104" s="43">
        <f t="shared" si="10"/>
        <v>-9.0909090909090912E-2</v>
      </c>
      <c r="E104" s="43" t="e">
        <f t="shared" si="16"/>
        <v>#N/A</v>
      </c>
      <c r="F104" s="8">
        <f>'Leave Record'!D106</f>
        <v>0</v>
      </c>
      <c r="G104" s="8">
        <f>'Leave Record'!E106</f>
        <v>0</v>
      </c>
      <c r="H104" s="23">
        <f t="shared" si="11"/>
        <v>1</v>
      </c>
      <c r="I104" s="23">
        <f t="shared" si="12"/>
        <v>0</v>
      </c>
      <c r="J104" s="43" t="e">
        <f t="shared" si="17"/>
        <v>#N/A</v>
      </c>
      <c r="K104" s="23">
        <f>'Leave Record'!F106</f>
        <v>0</v>
      </c>
      <c r="Q104">
        <f t="shared" si="13"/>
        <v>0</v>
      </c>
      <c r="R104" s="15" t="e">
        <f t="shared" si="14"/>
        <v>#N/A</v>
      </c>
    </row>
    <row r="105" spans="1:18" x14ac:dyDescent="0.25">
      <c r="A105" s="8">
        <f t="shared" si="15"/>
        <v>1</v>
      </c>
      <c r="B105" s="8">
        <f>IF(K105=$P$15,$M$4,IF(K105=$P$13,'Leave Entry'!$B$4,F105-1))</f>
        <v>-1</v>
      </c>
      <c r="C105" s="23">
        <f t="shared" si="9"/>
        <v>-1</v>
      </c>
      <c r="D105" s="43">
        <f t="shared" si="10"/>
        <v>-9.0909090909090912E-2</v>
      </c>
      <c r="E105" s="43" t="e">
        <f t="shared" si="16"/>
        <v>#N/A</v>
      </c>
      <c r="F105" s="8">
        <f>'Leave Record'!D107</f>
        <v>0</v>
      </c>
      <c r="G105" s="8">
        <f>'Leave Record'!E107</f>
        <v>0</v>
      </c>
      <c r="H105" s="23">
        <f t="shared" si="11"/>
        <v>1</v>
      </c>
      <c r="I105" s="23">
        <f t="shared" si="12"/>
        <v>0</v>
      </c>
      <c r="J105" s="43" t="e">
        <f t="shared" si="17"/>
        <v>#N/A</v>
      </c>
      <c r="K105" s="23">
        <f>'Leave Record'!F107</f>
        <v>0</v>
      </c>
      <c r="Q105">
        <f t="shared" si="13"/>
        <v>0</v>
      </c>
      <c r="R105" s="15" t="e">
        <f t="shared" si="14"/>
        <v>#N/A</v>
      </c>
    </row>
    <row r="106" spans="1:18" x14ac:dyDescent="0.25">
      <c r="A106" s="8">
        <f t="shared" si="15"/>
        <v>1</v>
      </c>
      <c r="B106" s="8">
        <f>IF(K106=$P$15,$M$4,IF(K106=$P$13,'Leave Entry'!$B$4,F106-1))</f>
        <v>-1</v>
      </c>
      <c r="C106" s="23">
        <f t="shared" si="9"/>
        <v>-1</v>
      </c>
      <c r="D106" s="43">
        <f t="shared" si="10"/>
        <v>-9.0909090909090912E-2</v>
      </c>
      <c r="E106" s="43" t="e">
        <f t="shared" si="16"/>
        <v>#N/A</v>
      </c>
      <c r="F106" s="8">
        <f>'Leave Record'!D108</f>
        <v>0</v>
      </c>
      <c r="G106" s="8">
        <f>'Leave Record'!E108</f>
        <v>0</v>
      </c>
      <c r="H106" s="23">
        <f t="shared" si="11"/>
        <v>1</v>
      </c>
      <c r="I106" s="23">
        <f t="shared" si="12"/>
        <v>0</v>
      </c>
      <c r="J106" s="43" t="e">
        <f t="shared" si="17"/>
        <v>#N/A</v>
      </c>
      <c r="K106" s="23">
        <f>'Leave Record'!F108</f>
        <v>0</v>
      </c>
      <c r="Q106">
        <f t="shared" si="13"/>
        <v>0</v>
      </c>
      <c r="R106" s="15" t="e">
        <f t="shared" si="14"/>
        <v>#N/A</v>
      </c>
    </row>
    <row r="107" spans="1:18" x14ac:dyDescent="0.25">
      <c r="A107" s="8">
        <f t="shared" si="15"/>
        <v>1</v>
      </c>
      <c r="B107" s="8">
        <f>IF(K107=$P$15,$M$4,IF(K107=$P$13,'Leave Entry'!$B$4,F107-1))</f>
        <v>-1</v>
      </c>
      <c r="C107" s="23">
        <f t="shared" si="9"/>
        <v>-1</v>
      </c>
      <c r="D107" s="43">
        <f t="shared" si="10"/>
        <v>-9.0909090909090912E-2</v>
      </c>
      <c r="E107" s="43" t="e">
        <f t="shared" si="16"/>
        <v>#N/A</v>
      </c>
      <c r="F107" s="8">
        <f>'Leave Record'!D109</f>
        <v>0</v>
      </c>
      <c r="G107" s="8">
        <f>'Leave Record'!E109</f>
        <v>0</v>
      </c>
      <c r="H107" s="23">
        <f t="shared" si="11"/>
        <v>1</v>
      </c>
      <c r="I107" s="23">
        <f t="shared" si="12"/>
        <v>0</v>
      </c>
      <c r="J107" s="43" t="e">
        <f t="shared" si="17"/>
        <v>#N/A</v>
      </c>
      <c r="K107" s="23">
        <f>'Leave Record'!F109</f>
        <v>0</v>
      </c>
      <c r="Q107">
        <f t="shared" si="13"/>
        <v>0</v>
      </c>
      <c r="R107" s="15" t="e">
        <f t="shared" si="14"/>
        <v>#N/A</v>
      </c>
    </row>
    <row r="108" spans="1:18" x14ac:dyDescent="0.25">
      <c r="A108" s="8">
        <f t="shared" si="15"/>
        <v>1</v>
      </c>
      <c r="B108" s="8">
        <f>IF(K108=$P$15,$M$4,IF(K108=$P$13,'Leave Entry'!$B$4,F108-1))</f>
        <v>-1</v>
      </c>
      <c r="C108" s="23">
        <f t="shared" si="9"/>
        <v>-1</v>
      </c>
      <c r="D108" s="43">
        <f t="shared" si="10"/>
        <v>-9.0909090909090912E-2</v>
      </c>
      <c r="E108" s="43" t="e">
        <f t="shared" si="16"/>
        <v>#N/A</v>
      </c>
      <c r="F108" s="8">
        <f>'Leave Record'!D110</f>
        <v>0</v>
      </c>
      <c r="G108" s="8">
        <f>'Leave Record'!E110</f>
        <v>0</v>
      </c>
      <c r="H108" s="23">
        <f t="shared" si="11"/>
        <v>1</v>
      </c>
      <c r="I108" s="23">
        <f t="shared" si="12"/>
        <v>0</v>
      </c>
      <c r="J108" s="43" t="e">
        <f t="shared" si="17"/>
        <v>#N/A</v>
      </c>
      <c r="K108" s="23">
        <f>'Leave Record'!F110</f>
        <v>0</v>
      </c>
      <c r="Q108">
        <f t="shared" si="13"/>
        <v>0</v>
      </c>
      <c r="R108" s="15" t="e">
        <f t="shared" si="14"/>
        <v>#N/A</v>
      </c>
    </row>
    <row r="109" spans="1:18" x14ac:dyDescent="0.25">
      <c r="A109" s="8">
        <f t="shared" si="15"/>
        <v>1</v>
      </c>
      <c r="B109" s="8">
        <f>IF(K109=$P$15,$M$4,IF(K109=$P$13,'Leave Entry'!$B$4,F109-1))</f>
        <v>-1</v>
      </c>
      <c r="C109" s="23">
        <f t="shared" si="9"/>
        <v>-1</v>
      </c>
      <c r="D109" s="43">
        <f t="shared" si="10"/>
        <v>-9.0909090909090912E-2</v>
      </c>
      <c r="E109" s="43" t="e">
        <f t="shared" si="16"/>
        <v>#N/A</v>
      </c>
      <c r="F109" s="8">
        <f>'Leave Record'!D111</f>
        <v>0</v>
      </c>
      <c r="G109" s="8">
        <f>'Leave Record'!E111</f>
        <v>0</v>
      </c>
      <c r="H109" s="23">
        <f t="shared" si="11"/>
        <v>1</v>
      </c>
      <c r="I109" s="23">
        <f t="shared" si="12"/>
        <v>0</v>
      </c>
      <c r="J109" s="43" t="e">
        <f t="shared" si="17"/>
        <v>#N/A</v>
      </c>
      <c r="K109" s="23">
        <f>'Leave Record'!F111</f>
        <v>0</v>
      </c>
      <c r="Q109">
        <f t="shared" si="13"/>
        <v>0</v>
      </c>
      <c r="R109" s="15" t="e">
        <f t="shared" si="14"/>
        <v>#N/A</v>
      </c>
    </row>
    <row r="110" spans="1:18" x14ac:dyDescent="0.25">
      <c r="A110" s="8">
        <f t="shared" si="15"/>
        <v>1</v>
      </c>
      <c r="B110" s="8">
        <f>IF(K110=$P$15,$M$4,IF(K110=$P$13,'Leave Entry'!$B$4,F110-1))</f>
        <v>-1</v>
      </c>
      <c r="C110" s="23">
        <f t="shared" si="9"/>
        <v>-1</v>
      </c>
      <c r="D110" s="43">
        <f t="shared" si="10"/>
        <v>-9.0909090909090912E-2</v>
      </c>
      <c r="E110" s="43" t="e">
        <f t="shared" si="16"/>
        <v>#N/A</v>
      </c>
      <c r="F110" s="8">
        <f>'Leave Record'!D112</f>
        <v>0</v>
      </c>
      <c r="G110" s="8">
        <f>'Leave Record'!E112</f>
        <v>0</v>
      </c>
      <c r="H110" s="23">
        <f t="shared" si="11"/>
        <v>1</v>
      </c>
      <c r="I110" s="23">
        <f t="shared" si="12"/>
        <v>0</v>
      </c>
      <c r="J110" s="43" t="e">
        <f t="shared" si="17"/>
        <v>#N/A</v>
      </c>
      <c r="K110" s="23">
        <f>'Leave Record'!F112</f>
        <v>0</v>
      </c>
      <c r="Q110">
        <f t="shared" si="13"/>
        <v>0</v>
      </c>
      <c r="R110" s="15" t="e">
        <f t="shared" si="14"/>
        <v>#N/A</v>
      </c>
    </row>
    <row r="111" spans="1:18" x14ac:dyDescent="0.25">
      <c r="A111" s="8">
        <f t="shared" si="15"/>
        <v>1</v>
      </c>
      <c r="B111" s="8">
        <f>IF(K111=$P$15,$M$4,IF(K111=$P$13,'Leave Entry'!$B$4,F111-1))</f>
        <v>-1</v>
      </c>
      <c r="C111" s="23">
        <f t="shared" si="9"/>
        <v>-1</v>
      </c>
      <c r="D111" s="43">
        <f t="shared" si="10"/>
        <v>-9.0909090909090912E-2</v>
      </c>
      <c r="E111" s="43" t="e">
        <f t="shared" si="16"/>
        <v>#N/A</v>
      </c>
      <c r="F111" s="8">
        <f>'Leave Record'!D113</f>
        <v>0</v>
      </c>
      <c r="G111" s="8">
        <f>'Leave Record'!E113</f>
        <v>0</v>
      </c>
      <c r="H111" s="23">
        <f t="shared" si="11"/>
        <v>1</v>
      </c>
      <c r="I111" s="23">
        <f t="shared" si="12"/>
        <v>0</v>
      </c>
      <c r="J111" s="43" t="e">
        <f t="shared" si="17"/>
        <v>#N/A</v>
      </c>
      <c r="K111" s="23">
        <f>'Leave Record'!F113</f>
        <v>0</v>
      </c>
      <c r="Q111">
        <f t="shared" si="13"/>
        <v>0</v>
      </c>
      <c r="R111" s="15" t="e">
        <f t="shared" si="14"/>
        <v>#N/A</v>
      </c>
    </row>
    <row r="112" spans="1:18" x14ac:dyDescent="0.25">
      <c r="A112" s="8">
        <f t="shared" si="15"/>
        <v>1</v>
      </c>
      <c r="B112" s="8">
        <f>IF(K112=$P$15,$M$4,IF(K112=$P$13,'Leave Entry'!$B$4,F112-1))</f>
        <v>-1</v>
      </c>
      <c r="C112" s="23">
        <f t="shared" si="9"/>
        <v>-1</v>
      </c>
      <c r="D112" s="43">
        <f t="shared" si="10"/>
        <v>-9.0909090909090912E-2</v>
      </c>
      <c r="E112" s="43" t="e">
        <f t="shared" si="16"/>
        <v>#N/A</v>
      </c>
      <c r="F112" s="8">
        <f>'Leave Record'!D114</f>
        <v>0</v>
      </c>
      <c r="G112" s="8">
        <f>'Leave Record'!E114</f>
        <v>0</v>
      </c>
      <c r="H112" s="23">
        <f t="shared" si="11"/>
        <v>1</v>
      </c>
      <c r="I112" s="23">
        <f t="shared" si="12"/>
        <v>0</v>
      </c>
      <c r="J112" s="43" t="e">
        <f t="shared" si="17"/>
        <v>#N/A</v>
      </c>
      <c r="K112" s="23">
        <f>'Leave Record'!F114</f>
        <v>0</v>
      </c>
      <c r="Q112">
        <f t="shared" si="13"/>
        <v>0</v>
      </c>
      <c r="R112" s="15" t="e">
        <f t="shared" si="14"/>
        <v>#N/A</v>
      </c>
    </row>
    <row r="113" spans="1:18" x14ac:dyDescent="0.25">
      <c r="A113" s="8">
        <f t="shared" si="15"/>
        <v>1</v>
      </c>
      <c r="B113" s="8">
        <f>IF(K113=$P$15,$M$4,IF(K113=$P$13,'Leave Entry'!$B$4,F113-1))</f>
        <v>-1</v>
      </c>
      <c r="C113" s="23">
        <f t="shared" si="9"/>
        <v>-1</v>
      </c>
      <c r="D113" s="43">
        <f t="shared" si="10"/>
        <v>-9.0909090909090912E-2</v>
      </c>
      <c r="E113" s="43" t="e">
        <f t="shared" si="16"/>
        <v>#N/A</v>
      </c>
      <c r="F113" s="8">
        <f>'Leave Record'!D115</f>
        <v>0</v>
      </c>
      <c r="G113" s="8">
        <f>'Leave Record'!E115</f>
        <v>0</v>
      </c>
      <c r="H113" s="23">
        <f t="shared" si="11"/>
        <v>1</v>
      </c>
      <c r="I113" s="23">
        <f t="shared" si="12"/>
        <v>0</v>
      </c>
      <c r="J113" s="43" t="e">
        <f t="shared" si="17"/>
        <v>#N/A</v>
      </c>
      <c r="K113" s="23">
        <f>'Leave Record'!F115</f>
        <v>0</v>
      </c>
      <c r="Q113">
        <f t="shared" si="13"/>
        <v>0</v>
      </c>
      <c r="R113" s="15" t="e">
        <f t="shared" si="14"/>
        <v>#N/A</v>
      </c>
    </row>
    <row r="114" spans="1:18" x14ac:dyDescent="0.25">
      <c r="A114" s="8">
        <f t="shared" si="15"/>
        <v>1</v>
      </c>
      <c r="B114" s="8">
        <f>IF(K114=$P$15,$M$4,IF(K114=$P$13,'Leave Entry'!$B$4,F114-1))</f>
        <v>-1</v>
      </c>
      <c r="C114" s="23">
        <f t="shared" si="9"/>
        <v>-1</v>
      </c>
      <c r="D114" s="43">
        <f t="shared" si="10"/>
        <v>-9.0909090909090912E-2</v>
      </c>
      <c r="E114" s="43" t="e">
        <f t="shared" si="16"/>
        <v>#N/A</v>
      </c>
      <c r="F114" s="8">
        <f>'Leave Record'!D116</f>
        <v>0</v>
      </c>
      <c r="G114" s="8">
        <f>'Leave Record'!E116</f>
        <v>0</v>
      </c>
      <c r="H114" s="23">
        <f t="shared" si="11"/>
        <v>1</v>
      </c>
      <c r="I114" s="23">
        <f t="shared" si="12"/>
        <v>0</v>
      </c>
      <c r="J114" s="43" t="e">
        <f t="shared" si="17"/>
        <v>#N/A</v>
      </c>
      <c r="K114" s="23">
        <f>'Leave Record'!F116</f>
        <v>0</v>
      </c>
      <c r="Q114">
        <f t="shared" si="13"/>
        <v>0</v>
      </c>
      <c r="R114" s="15" t="e">
        <f t="shared" si="14"/>
        <v>#N/A</v>
      </c>
    </row>
    <row r="115" spans="1:18" x14ac:dyDescent="0.25">
      <c r="A115" s="8">
        <f t="shared" si="15"/>
        <v>1</v>
      </c>
      <c r="B115" s="8">
        <f>IF(K115=$P$15,$M$4,IF(K115=$P$13,'Leave Entry'!$B$4,F115-1))</f>
        <v>-1</v>
      </c>
      <c r="C115" s="23">
        <f t="shared" si="9"/>
        <v>-1</v>
      </c>
      <c r="D115" s="43">
        <f t="shared" si="10"/>
        <v>-9.0909090909090912E-2</v>
      </c>
      <c r="E115" s="43" t="e">
        <f t="shared" si="16"/>
        <v>#N/A</v>
      </c>
      <c r="F115" s="8">
        <f>'Leave Record'!D117</f>
        <v>0</v>
      </c>
      <c r="G115" s="8">
        <f>'Leave Record'!E117</f>
        <v>0</v>
      </c>
      <c r="H115" s="23">
        <f t="shared" si="11"/>
        <v>1</v>
      </c>
      <c r="I115" s="23">
        <f t="shared" si="12"/>
        <v>0</v>
      </c>
      <c r="J115" s="43" t="e">
        <f t="shared" si="17"/>
        <v>#N/A</v>
      </c>
      <c r="K115" s="23">
        <f>'Leave Record'!F117</f>
        <v>0</v>
      </c>
      <c r="Q115">
        <f t="shared" si="13"/>
        <v>0</v>
      </c>
      <c r="R115" s="15" t="e">
        <f t="shared" si="14"/>
        <v>#N/A</v>
      </c>
    </row>
    <row r="116" spans="1:18" x14ac:dyDescent="0.25">
      <c r="A116" s="8">
        <f t="shared" si="15"/>
        <v>1</v>
      </c>
      <c r="B116" s="8">
        <f>IF(K116=$P$15,$M$4,IF(K116=$P$13,'Leave Entry'!$B$4,F116-1))</f>
        <v>-1</v>
      </c>
      <c r="C116" s="23">
        <f t="shared" si="9"/>
        <v>-1</v>
      </c>
      <c r="D116" s="43">
        <f t="shared" si="10"/>
        <v>-9.0909090909090912E-2</v>
      </c>
      <c r="E116" s="43" t="e">
        <f t="shared" si="16"/>
        <v>#N/A</v>
      </c>
      <c r="F116" s="8">
        <f>'Leave Record'!D118</f>
        <v>0</v>
      </c>
      <c r="G116" s="8">
        <f>'Leave Record'!E118</f>
        <v>0</v>
      </c>
      <c r="H116" s="23">
        <f t="shared" si="11"/>
        <v>1</v>
      </c>
      <c r="I116" s="23">
        <f t="shared" si="12"/>
        <v>0</v>
      </c>
      <c r="J116" s="43" t="e">
        <f t="shared" si="17"/>
        <v>#N/A</v>
      </c>
      <c r="K116" s="23">
        <f>'Leave Record'!F118</f>
        <v>0</v>
      </c>
      <c r="Q116">
        <f t="shared" si="13"/>
        <v>0</v>
      </c>
      <c r="R116" s="15" t="e">
        <f t="shared" si="14"/>
        <v>#N/A</v>
      </c>
    </row>
    <row r="117" spans="1:18" x14ac:dyDescent="0.25">
      <c r="A117" s="8">
        <f t="shared" si="15"/>
        <v>1</v>
      </c>
      <c r="B117" s="8">
        <f>IF(K117=$P$15,$M$4,IF(K117=$P$13,'Leave Entry'!$B$4,F117-1))</f>
        <v>-1</v>
      </c>
      <c r="C117" s="23">
        <f t="shared" si="9"/>
        <v>-1</v>
      </c>
      <c r="D117" s="43">
        <f t="shared" si="10"/>
        <v>-9.0909090909090912E-2</v>
      </c>
      <c r="E117" s="43" t="e">
        <f t="shared" si="16"/>
        <v>#N/A</v>
      </c>
      <c r="F117" s="8">
        <f>'Leave Record'!D119</f>
        <v>0</v>
      </c>
      <c r="G117" s="8">
        <f>'Leave Record'!E119</f>
        <v>0</v>
      </c>
      <c r="H117" s="23">
        <f t="shared" si="11"/>
        <v>1</v>
      </c>
      <c r="I117" s="23">
        <f t="shared" si="12"/>
        <v>0</v>
      </c>
      <c r="J117" s="43" t="e">
        <f t="shared" si="17"/>
        <v>#N/A</v>
      </c>
      <c r="K117" s="23">
        <f>'Leave Record'!F119</f>
        <v>0</v>
      </c>
      <c r="Q117">
        <f t="shared" si="13"/>
        <v>0</v>
      </c>
      <c r="R117" s="15" t="e">
        <f t="shared" si="14"/>
        <v>#N/A</v>
      </c>
    </row>
    <row r="118" spans="1:18" x14ac:dyDescent="0.25">
      <c r="A118" s="8">
        <f t="shared" si="15"/>
        <v>1</v>
      </c>
      <c r="B118" s="8">
        <f>IF(K118=$P$15,$M$4,IF(K118=$P$13,'Leave Entry'!$B$4,F118-1))</f>
        <v>-1</v>
      </c>
      <c r="C118" s="23">
        <f t="shared" si="9"/>
        <v>-1</v>
      </c>
      <c r="D118" s="43">
        <f t="shared" si="10"/>
        <v>-9.0909090909090912E-2</v>
      </c>
      <c r="E118" s="43" t="e">
        <f t="shared" si="16"/>
        <v>#N/A</v>
      </c>
      <c r="F118" s="8">
        <f>'Leave Record'!D120</f>
        <v>0</v>
      </c>
      <c r="G118" s="8">
        <f>'Leave Record'!E120</f>
        <v>0</v>
      </c>
      <c r="H118" s="23">
        <f t="shared" si="11"/>
        <v>1</v>
      </c>
      <c r="I118" s="23">
        <f t="shared" si="12"/>
        <v>0</v>
      </c>
      <c r="J118" s="43" t="e">
        <f t="shared" si="17"/>
        <v>#N/A</v>
      </c>
      <c r="K118" s="23">
        <f>'Leave Record'!F120</f>
        <v>0</v>
      </c>
      <c r="Q118">
        <f t="shared" si="13"/>
        <v>0</v>
      </c>
      <c r="R118" s="15" t="e">
        <f t="shared" si="14"/>
        <v>#N/A</v>
      </c>
    </row>
    <row r="119" spans="1:18" x14ac:dyDescent="0.25">
      <c r="A119" s="8">
        <f t="shared" si="15"/>
        <v>1</v>
      </c>
      <c r="B119" s="8">
        <f>IF(K119=$P$15,$M$4,IF(K119=$P$13,'Leave Entry'!$B$4,F119-1))</f>
        <v>-1</v>
      </c>
      <c r="C119" s="23">
        <f t="shared" si="9"/>
        <v>-1</v>
      </c>
      <c r="D119" s="43">
        <f t="shared" si="10"/>
        <v>-9.0909090909090912E-2</v>
      </c>
      <c r="E119" s="43" t="e">
        <f t="shared" si="16"/>
        <v>#N/A</v>
      </c>
      <c r="F119" s="8">
        <f>'Leave Record'!D121</f>
        <v>0</v>
      </c>
      <c r="G119" s="8">
        <f>'Leave Record'!E121</f>
        <v>0</v>
      </c>
      <c r="H119" s="23">
        <f t="shared" si="11"/>
        <v>1</v>
      </c>
      <c r="I119" s="23">
        <f t="shared" si="12"/>
        <v>0</v>
      </c>
      <c r="J119" s="43" t="e">
        <f t="shared" si="17"/>
        <v>#N/A</v>
      </c>
      <c r="K119" s="23">
        <f>'Leave Record'!F121</f>
        <v>0</v>
      </c>
      <c r="Q119">
        <f t="shared" si="13"/>
        <v>0</v>
      </c>
      <c r="R119" s="15" t="e">
        <f t="shared" si="14"/>
        <v>#N/A</v>
      </c>
    </row>
    <row r="120" spans="1:18" x14ac:dyDescent="0.25">
      <c r="A120" s="8">
        <f t="shared" si="15"/>
        <v>1</v>
      </c>
      <c r="B120" s="8">
        <f>IF(K120=$P$15,$M$4,IF(K120=$P$13,'Leave Entry'!$B$4,F120-1))</f>
        <v>-1</v>
      </c>
      <c r="C120" s="23">
        <f t="shared" si="9"/>
        <v>-1</v>
      </c>
      <c r="D120" s="43">
        <f t="shared" si="10"/>
        <v>-9.0909090909090912E-2</v>
      </c>
      <c r="E120" s="43" t="e">
        <f t="shared" si="16"/>
        <v>#N/A</v>
      </c>
      <c r="F120" s="8">
        <f>'Leave Record'!D122</f>
        <v>0</v>
      </c>
      <c r="G120" s="8">
        <f>'Leave Record'!E122</f>
        <v>0</v>
      </c>
      <c r="H120" s="23">
        <f t="shared" si="11"/>
        <v>1</v>
      </c>
      <c r="I120" s="23">
        <f t="shared" si="12"/>
        <v>0</v>
      </c>
      <c r="J120" s="43" t="e">
        <f t="shared" si="17"/>
        <v>#N/A</v>
      </c>
      <c r="K120" s="23">
        <f>'Leave Record'!F122</f>
        <v>0</v>
      </c>
      <c r="Q120">
        <f t="shared" si="13"/>
        <v>0</v>
      </c>
      <c r="R120" s="15" t="e">
        <f t="shared" si="14"/>
        <v>#N/A</v>
      </c>
    </row>
    <row r="121" spans="1:18" x14ac:dyDescent="0.25">
      <c r="A121" s="8">
        <f t="shared" si="15"/>
        <v>1</v>
      </c>
      <c r="B121" s="8">
        <f>IF(K121=$P$15,$M$4,IF(K121=$P$13,'Leave Entry'!$B$4,F121-1))</f>
        <v>-1</v>
      </c>
      <c r="C121" s="23">
        <f t="shared" si="9"/>
        <v>-1</v>
      </c>
      <c r="D121" s="43">
        <f t="shared" si="10"/>
        <v>-9.0909090909090912E-2</v>
      </c>
      <c r="E121" s="43" t="e">
        <f t="shared" si="16"/>
        <v>#N/A</v>
      </c>
      <c r="F121" s="8">
        <f>'Leave Record'!D123</f>
        <v>0</v>
      </c>
      <c r="G121" s="8">
        <f>'Leave Record'!E123</f>
        <v>0</v>
      </c>
      <c r="H121" s="23">
        <f t="shared" si="11"/>
        <v>1</v>
      </c>
      <c r="I121" s="23">
        <f t="shared" si="12"/>
        <v>0</v>
      </c>
      <c r="J121" s="43" t="e">
        <f t="shared" si="17"/>
        <v>#N/A</v>
      </c>
      <c r="K121" s="23">
        <f>'Leave Record'!F123</f>
        <v>0</v>
      </c>
      <c r="Q121">
        <f t="shared" si="13"/>
        <v>0</v>
      </c>
      <c r="R121" s="15" t="e">
        <f t="shared" si="14"/>
        <v>#N/A</v>
      </c>
    </row>
    <row r="122" spans="1:18" x14ac:dyDescent="0.25">
      <c r="A122" s="8">
        <f t="shared" si="15"/>
        <v>1</v>
      </c>
      <c r="B122" s="8">
        <f>IF(K122=$P$15,$M$4,IF(K122=$P$13,'Leave Entry'!$B$4,F122-1))</f>
        <v>-1</v>
      </c>
      <c r="C122" s="23">
        <f t="shared" si="9"/>
        <v>-1</v>
      </c>
      <c r="D122" s="43">
        <f t="shared" si="10"/>
        <v>-9.0909090909090912E-2</v>
      </c>
      <c r="E122" s="43" t="e">
        <f t="shared" si="16"/>
        <v>#N/A</v>
      </c>
      <c r="F122" s="8">
        <f>'Leave Record'!D124</f>
        <v>0</v>
      </c>
      <c r="G122" s="8">
        <f>'Leave Record'!E124</f>
        <v>0</v>
      </c>
      <c r="H122" s="23">
        <f t="shared" si="11"/>
        <v>1</v>
      </c>
      <c r="I122" s="23">
        <f t="shared" si="12"/>
        <v>0</v>
      </c>
      <c r="J122" s="43" t="e">
        <f t="shared" si="17"/>
        <v>#N/A</v>
      </c>
      <c r="K122" s="23">
        <f>'Leave Record'!F124</f>
        <v>0</v>
      </c>
      <c r="Q122">
        <f t="shared" si="13"/>
        <v>0</v>
      </c>
      <c r="R122" s="15" t="e">
        <f t="shared" si="14"/>
        <v>#N/A</v>
      </c>
    </row>
    <row r="123" spans="1:18" x14ac:dyDescent="0.25">
      <c r="A123" s="8">
        <f t="shared" si="15"/>
        <v>1</v>
      </c>
      <c r="B123" s="8">
        <f>IF(K123=$P$15,$M$4,IF(K123=$P$13,'Leave Entry'!$B$4,F123-1))</f>
        <v>-1</v>
      </c>
      <c r="C123" s="23">
        <f t="shared" si="9"/>
        <v>-1</v>
      </c>
      <c r="D123" s="43">
        <f t="shared" si="10"/>
        <v>-9.0909090909090912E-2</v>
      </c>
      <c r="E123" s="43" t="e">
        <f t="shared" si="16"/>
        <v>#N/A</v>
      </c>
      <c r="F123" s="8">
        <f>'Leave Record'!D125</f>
        <v>0</v>
      </c>
      <c r="G123" s="8">
        <f>'Leave Record'!E125</f>
        <v>0</v>
      </c>
      <c r="H123" s="23">
        <f t="shared" si="11"/>
        <v>1</v>
      </c>
      <c r="I123" s="23">
        <f t="shared" si="12"/>
        <v>0</v>
      </c>
      <c r="J123" s="43" t="e">
        <f t="shared" si="17"/>
        <v>#N/A</v>
      </c>
      <c r="K123" s="23">
        <f>'Leave Record'!F125</f>
        <v>0</v>
      </c>
      <c r="Q123">
        <f t="shared" si="13"/>
        <v>0</v>
      </c>
      <c r="R123" s="15" t="e">
        <f t="shared" si="14"/>
        <v>#N/A</v>
      </c>
    </row>
    <row r="124" spans="1:18" x14ac:dyDescent="0.25">
      <c r="A124" s="8">
        <f t="shared" si="15"/>
        <v>1</v>
      </c>
      <c r="B124" s="8">
        <f>IF(K124=$P$15,$M$4,IF(K124=$P$13,'Leave Entry'!$B$4,F124-1))</f>
        <v>-1</v>
      </c>
      <c r="C124" s="23">
        <f t="shared" si="9"/>
        <v>-1</v>
      </c>
      <c r="D124" s="43">
        <f t="shared" si="10"/>
        <v>-9.0909090909090912E-2</v>
      </c>
      <c r="E124" s="43" t="e">
        <f t="shared" si="16"/>
        <v>#N/A</v>
      </c>
      <c r="F124" s="8">
        <f>'Leave Record'!D126</f>
        <v>0</v>
      </c>
      <c r="G124" s="8">
        <f>'Leave Record'!E126</f>
        <v>0</v>
      </c>
      <c r="H124" s="23">
        <f t="shared" si="11"/>
        <v>1</v>
      </c>
      <c r="I124" s="23">
        <f t="shared" si="12"/>
        <v>0</v>
      </c>
      <c r="J124" s="43" t="e">
        <f t="shared" si="17"/>
        <v>#N/A</v>
      </c>
      <c r="K124" s="23">
        <f>'Leave Record'!F126</f>
        <v>0</v>
      </c>
      <c r="Q124">
        <f t="shared" si="13"/>
        <v>0</v>
      </c>
      <c r="R124" s="15" t="e">
        <f t="shared" si="14"/>
        <v>#N/A</v>
      </c>
    </row>
    <row r="125" spans="1:18" x14ac:dyDescent="0.25">
      <c r="A125" s="8">
        <f t="shared" si="15"/>
        <v>1</v>
      </c>
      <c r="B125" s="8">
        <f>IF(K125=$P$15,$M$4,IF(K125=$P$13,'Leave Entry'!$B$4,F125-1))</f>
        <v>-1</v>
      </c>
      <c r="C125" s="23">
        <f t="shared" si="9"/>
        <v>-1</v>
      </c>
      <c r="D125" s="43">
        <f t="shared" si="10"/>
        <v>-9.0909090909090912E-2</v>
      </c>
      <c r="E125" s="43" t="e">
        <f t="shared" si="16"/>
        <v>#N/A</v>
      </c>
      <c r="F125" s="8">
        <f>'Leave Record'!D127</f>
        <v>0</v>
      </c>
      <c r="G125" s="8">
        <f>'Leave Record'!E127</f>
        <v>0</v>
      </c>
      <c r="H125" s="23">
        <f t="shared" si="11"/>
        <v>1</v>
      </c>
      <c r="I125" s="23">
        <f t="shared" si="12"/>
        <v>0</v>
      </c>
      <c r="J125" s="43" t="e">
        <f t="shared" si="17"/>
        <v>#N/A</v>
      </c>
      <c r="K125" s="23">
        <f>'Leave Record'!F127</f>
        <v>0</v>
      </c>
      <c r="Q125">
        <f t="shared" si="13"/>
        <v>0</v>
      </c>
      <c r="R125" s="15" t="e">
        <f t="shared" si="14"/>
        <v>#N/A</v>
      </c>
    </row>
    <row r="126" spans="1:18" x14ac:dyDescent="0.25">
      <c r="A126" s="8">
        <f t="shared" si="15"/>
        <v>1</v>
      </c>
      <c r="B126" s="8">
        <f>IF(K126=$P$15,$M$4,IF(K126=$P$13,'Leave Entry'!$B$4,F126-1))</f>
        <v>-1</v>
      </c>
      <c r="C126" s="23">
        <f t="shared" si="9"/>
        <v>-1</v>
      </c>
      <c r="D126" s="43">
        <f t="shared" si="10"/>
        <v>-9.0909090909090912E-2</v>
      </c>
      <c r="E126" s="43" t="e">
        <f t="shared" si="16"/>
        <v>#N/A</v>
      </c>
      <c r="F126" s="8">
        <f>'Leave Record'!D128</f>
        <v>0</v>
      </c>
      <c r="G126" s="8">
        <f>'Leave Record'!E128</f>
        <v>0</v>
      </c>
      <c r="H126" s="23">
        <f t="shared" si="11"/>
        <v>1</v>
      </c>
      <c r="I126" s="23">
        <f t="shared" si="12"/>
        <v>0</v>
      </c>
      <c r="J126" s="43" t="e">
        <f t="shared" si="17"/>
        <v>#N/A</v>
      </c>
      <c r="K126" s="23">
        <f>'Leave Record'!F128</f>
        <v>0</v>
      </c>
      <c r="Q126">
        <f t="shared" si="13"/>
        <v>0</v>
      </c>
      <c r="R126" s="15" t="e">
        <f t="shared" si="14"/>
        <v>#N/A</v>
      </c>
    </row>
    <row r="127" spans="1:18" x14ac:dyDescent="0.25">
      <c r="A127" s="8">
        <f t="shared" si="15"/>
        <v>1</v>
      </c>
      <c r="B127" s="8">
        <f>IF(K127=$P$15,$M$4,IF(K127=$P$13,'Leave Entry'!$B$4,F127-1))</f>
        <v>-1</v>
      </c>
      <c r="C127" s="23">
        <f t="shared" si="9"/>
        <v>-1</v>
      </c>
      <c r="D127" s="43">
        <f t="shared" si="10"/>
        <v>-9.0909090909090912E-2</v>
      </c>
      <c r="E127" s="43" t="e">
        <f t="shared" si="16"/>
        <v>#N/A</v>
      </c>
      <c r="F127" s="8">
        <f>'Leave Record'!D129</f>
        <v>0</v>
      </c>
      <c r="G127" s="8">
        <f>'Leave Record'!E129</f>
        <v>0</v>
      </c>
      <c r="H127" s="23">
        <f t="shared" si="11"/>
        <v>1</v>
      </c>
      <c r="I127" s="23">
        <f t="shared" si="12"/>
        <v>0</v>
      </c>
      <c r="J127" s="43" t="e">
        <f t="shared" si="17"/>
        <v>#N/A</v>
      </c>
      <c r="K127" s="23">
        <f>'Leave Record'!F129</f>
        <v>0</v>
      </c>
      <c r="Q127">
        <f t="shared" si="13"/>
        <v>0</v>
      </c>
      <c r="R127" s="15" t="e">
        <f t="shared" si="14"/>
        <v>#N/A</v>
      </c>
    </row>
    <row r="128" spans="1:18" x14ac:dyDescent="0.25">
      <c r="A128" s="8">
        <f t="shared" si="15"/>
        <v>1</v>
      </c>
      <c r="B128" s="8">
        <f>IF(K128=$P$15,$M$4,IF(K128=$P$13,'Leave Entry'!$B$4,F128-1))</f>
        <v>-1</v>
      </c>
      <c r="C128" s="23">
        <f t="shared" si="9"/>
        <v>-1</v>
      </c>
      <c r="D128" s="43">
        <f t="shared" si="10"/>
        <v>-9.0909090909090912E-2</v>
      </c>
      <c r="E128" s="43" t="e">
        <f t="shared" si="16"/>
        <v>#N/A</v>
      </c>
      <c r="F128" s="8">
        <f>'Leave Record'!D130</f>
        <v>0</v>
      </c>
      <c r="G128" s="8">
        <f>'Leave Record'!E130</f>
        <v>0</v>
      </c>
      <c r="H128" s="23">
        <f t="shared" si="11"/>
        <v>1</v>
      </c>
      <c r="I128" s="23">
        <f t="shared" si="12"/>
        <v>0</v>
      </c>
      <c r="J128" s="43" t="e">
        <f t="shared" si="17"/>
        <v>#N/A</v>
      </c>
      <c r="K128" s="23">
        <f>'Leave Record'!F130</f>
        <v>0</v>
      </c>
      <c r="Q128">
        <f t="shared" si="13"/>
        <v>0</v>
      </c>
      <c r="R128" s="15" t="e">
        <f t="shared" si="14"/>
        <v>#N/A</v>
      </c>
    </row>
    <row r="129" spans="1:18" x14ac:dyDescent="0.25">
      <c r="A129" s="8">
        <f t="shared" si="15"/>
        <v>1</v>
      </c>
      <c r="B129" s="8">
        <f>IF(K129=$P$15,$M$4,IF(K129=$P$13,'Leave Entry'!$B$4,F129-1))</f>
        <v>-1</v>
      </c>
      <c r="C129" s="23">
        <f t="shared" si="9"/>
        <v>-1</v>
      </c>
      <c r="D129" s="43">
        <f t="shared" si="10"/>
        <v>-9.0909090909090912E-2</v>
      </c>
      <c r="E129" s="43" t="e">
        <f t="shared" si="16"/>
        <v>#N/A</v>
      </c>
      <c r="F129" s="8">
        <f>'Leave Record'!D131</f>
        <v>0</v>
      </c>
      <c r="G129" s="8">
        <f>'Leave Record'!E131</f>
        <v>0</v>
      </c>
      <c r="H129" s="23">
        <f t="shared" si="11"/>
        <v>1</v>
      </c>
      <c r="I129" s="23">
        <f t="shared" si="12"/>
        <v>0</v>
      </c>
      <c r="J129" s="43" t="e">
        <f t="shared" si="17"/>
        <v>#N/A</v>
      </c>
      <c r="K129" s="23">
        <f>'Leave Record'!F131</f>
        <v>0</v>
      </c>
      <c r="Q129">
        <f t="shared" si="13"/>
        <v>0</v>
      </c>
      <c r="R129" s="15" t="e">
        <f t="shared" si="14"/>
        <v>#N/A</v>
      </c>
    </row>
    <row r="130" spans="1:18" x14ac:dyDescent="0.25">
      <c r="A130" s="8">
        <f t="shared" si="15"/>
        <v>1</v>
      </c>
      <c r="B130" s="8">
        <f>IF(K130=$P$15,$M$4,IF(K130=$P$13,'Leave Entry'!$B$4,F130-1))</f>
        <v>-1</v>
      </c>
      <c r="C130" s="23">
        <f t="shared" si="9"/>
        <v>-1</v>
      </c>
      <c r="D130" s="43">
        <f t="shared" si="10"/>
        <v>-9.0909090909090912E-2</v>
      </c>
      <c r="E130" s="43" t="e">
        <f t="shared" si="16"/>
        <v>#N/A</v>
      </c>
      <c r="F130" s="8">
        <f>'Leave Record'!D132</f>
        <v>0</v>
      </c>
      <c r="G130" s="8">
        <f>'Leave Record'!E132</f>
        <v>0</v>
      </c>
      <c r="H130" s="23">
        <f t="shared" si="11"/>
        <v>1</v>
      </c>
      <c r="I130" s="23">
        <f t="shared" si="12"/>
        <v>0</v>
      </c>
      <c r="J130" s="43" t="e">
        <f t="shared" si="17"/>
        <v>#N/A</v>
      </c>
      <c r="K130" s="23">
        <f>'Leave Record'!F132</f>
        <v>0</v>
      </c>
      <c r="Q130">
        <f t="shared" si="13"/>
        <v>0</v>
      </c>
      <c r="R130" s="15" t="e">
        <f t="shared" si="14"/>
        <v>#N/A</v>
      </c>
    </row>
    <row r="131" spans="1:18" x14ac:dyDescent="0.25">
      <c r="A131" s="8">
        <f t="shared" si="15"/>
        <v>1</v>
      </c>
      <c r="B131" s="8">
        <f>IF(K131=$P$15,$M$4,IF(K131=$P$13,'Leave Entry'!$B$4,F131-1))</f>
        <v>-1</v>
      </c>
      <c r="C131" s="23">
        <f t="shared" si="9"/>
        <v>-1</v>
      </c>
      <c r="D131" s="43">
        <f t="shared" si="10"/>
        <v>-9.0909090909090912E-2</v>
      </c>
      <c r="E131" s="43" t="e">
        <f t="shared" si="16"/>
        <v>#N/A</v>
      </c>
      <c r="F131" s="8">
        <f>'Leave Record'!D133</f>
        <v>0</v>
      </c>
      <c r="G131" s="8">
        <f>'Leave Record'!E133</f>
        <v>0</v>
      </c>
      <c r="H131" s="23">
        <f t="shared" si="11"/>
        <v>1</v>
      </c>
      <c r="I131" s="23">
        <f t="shared" si="12"/>
        <v>0</v>
      </c>
      <c r="J131" s="43" t="e">
        <f t="shared" si="17"/>
        <v>#N/A</v>
      </c>
      <c r="K131" s="23">
        <f>'Leave Record'!F133</f>
        <v>0</v>
      </c>
      <c r="Q131">
        <f t="shared" si="13"/>
        <v>0</v>
      </c>
      <c r="R131" s="15" t="e">
        <f t="shared" si="14"/>
        <v>#N/A</v>
      </c>
    </row>
    <row r="132" spans="1:18" x14ac:dyDescent="0.25">
      <c r="A132" s="8">
        <f t="shared" si="15"/>
        <v>1</v>
      </c>
      <c r="B132" s="8">
        <f>IF(K132=$P$15,$M$4,IF(K132=$P$13,'Leave Entry'!$B$4,F132-1))</f>
        <v>-1</v>
      </c>
      <c r="C132" s="23">
        <f t="shared" si="9"/>
        <v>-1</v>
      </c>
      <c r="D132" s="43">
        <f t="shared" si="10"/>
        <v>-9.0909090909090912E-2</v>
      </c>
      <c r="E132" s="43" t="e">
        <f t="shared" si="16"/>
        <v>#N/A</v>
      </c>
      <c r="F132" s="8">
        <f>'Leave Record'!D134</f>
        <v>0</v>
      </c>
      <c r="G132" s="8">
        <f>'Leave Record'!E134</f>
        <v>0</v>
      </c>
      <c r="H132" s="23">
        <f t="shared" si="11"/>
        <v>1</v>
      </c>
      <c r="I132" s="23">
        <f t="shared" si="12"/>
        <v>0</v>
      </c>
      <c r="J132" s="43" t="e">
        <f t="shared" si="17"/>
        <v>#N/A</v>
      </c>
      <c r="K132" s="23">
        <f>'Leave Record'!F134</f>
        <v>0</v>
      </c>
      <c r="Q132">
        <f t="shared" si="13"/>
        <v>0</v>
      </c>
      <c r="R132" s="15" t="e">
        <f t="shared" si="14"/>
        <v>#N/A</v>
      </c>
    </row>
    <row r="133" spans="1:18" x14ac:dyDescent="0.25">
      <c r="A133" s="8">
        <f t="shared" si="15"/>
        <v>1</v>
      </c>
      <c r="B133" s="8">
        <f>IF(K133=$P$15,$M$4,IF(K133=$P$13,'Leave Entry'!$B$4,F133-1))</f>
        <v>-1</v>
      </c>
      <c r="C133" s="23">
        <f t="shared" si="9"/>
        <v>-1</v>
      </c>
      <c r="D133" s="43">
        <f t="shared" si="10"/>
        <v>-9.0909090909090912E-2</v>
      </c>
      <c r="E133" s="43" t="e">
        <f t="shared" si="16"/>
        <v>#N/A</v>
      </c>
      <c r="F133" s="8">
        <f>'Leave Record'!D135</f>
        <v>0</v>
      </c>
      <c r="G133" s="8">
        <f>'Leave Record'!E135</f>
        <v>0</v>
      </c>
      <c r="H133" s="23">
        <f t="shared" si="11"/>
        <v>1</v>
      </c>
      <c r="I133" s="23">
        <f t="shared" si="12"/>
        <v>0</v>
      </c>
      <c r="J133" s="43" t="e">
        <f t="shared" si="17"/>
        <v>#N/A</v>
      </c>
      <c r="K133" s="23">
        <f>'Leave Record'!F135</f>
        <v>0</v>
      </c>
      <c r="Q133">
        <f t="shared" si="13"/>
        <v>0</v>
      </c>
      <c r="R133" s="15" t="e">
        <f t="shared" si="14"/>
        <v>#N/A</v>
      </c>
    </row>
    <row r="134" spans="1:18" x14ac:dyDescent="0.25">
      <c r="A134" s="8">
        <f t="shared" si="15"/>
        <v>1</v>
      </c>
      <c r="B134" s="8">
        <f>IF(K134=$P$15,$M$4,IF(K134=$P$13,'Leave Entry'!$B$4,F134-1))</f>
        <v>-1</v>
      </c>
      <c r="C134" s="23">
        <f t="shared" ref="C134:C197" si="18">B134-A134+1</f>
        <v>-1</v>
      </c>
      <c r="D134" s="43">
        <f t="shared" ref="D134:D197" si="19">C134/11</f>
        <v>-9.0909090909090912E-2</v>
      </c>
      <c r="E134" s="43" t="e">
        <f t="shared" si="16"/>
        <v>#N/A</v>
      </c>
      <c r="F134" s="8">
        <f>'Leave Record'!D136</f>
        <v>0</v>
      </c>
      <c r="G134" s="8">
        <f>'Leave Record'!E136</f>
        <v>0</v>
      </c>
      <c r="H134" s="23">
        <f t="shared" ref="H134:H197" si="20">G134-F134+1</f>
        <v>1</v>
      </c>
      <c r="I134" s="23">
        <f t="shared" ref="I134:I197" si="21">IF(K134=$P$14,H134,0)</f>
        <v>0</v>
      </c>
      <c r="J134" s="43" t="e">
        <f t="shared" si="17"/>
        <v>#N/A</v>
      </c>
      <c r="K134" s="23">
        <f>'Leave Record'!F136</f>
        <v>0</v>
      </c>
      <c r="Q134">
        <f t="shared" ref="Q134:Q197" si="22">K134</f>
        <v>0</v>
      </c>
      <c r="R134" s="15" t="e">
        <f t="shared" ref="R134:R197" si="23">J134</f>
        <v>#N/A</v>
      </c>
    </row>
    <row r="135" spans="1:18" x14ac:dyDescent="0.25">
      <c r="A135" s="8">
        <f t="shared" ref="A135:A198" si="24">G134+1</f>
        <v>1</v>
      </c>
      <c r="B135" s="8">
        <f>IF(K135=$P$15,$M$4,IF(K135=$P$13,'Leave Entry'!$B$4,F135-1))</f>
        <v>-1</v>
      </c>
      <c r="C135" s="23">
        <f t="shared" si="18"/>
        <v>-1</v>
      </c>
      <c r="D135" s="43">
        <f t="shared" si="19"/>
        <v>-9.0909090909090912E-2</v>
      </c>
      <c r="E135" s="43" t="e">
        <f t="shared" ref="E135:E198" si="25">J134+D135</f>
        <v>#N/A</v>
      </c>
      <c r="F135" s="8">
        <f>'Leave Record'!D137</f>
        <v>0</v>
      </c>
      <c r="G135" s="8">
        <f>'Leave Record'!E137</f>
        <v>0</v>
      </c>
      <c r="H135" s="23">
        <f t="shared" si="20"/>
        <v>1</v>
      </c>
      <c r="I135" s="23">
        <f t="shared" si="21"/>
        <v>0</v>
      </c>
      <c r="J135" s="43" t="e">
        <f t="shared" ref="J135:J198" si="26">E135-I135</f>
        <v>#N/A</v>
      </c>
      <c r="K135" s="23">
        <f>'Leave Record'!F137</f>
        <v>0</v>
      </c>
      <c r="Q135">
        <f t="shared" si="22"/>
        <v>0</v>
      </c>
      <c r="R135" s="15" t="e">
        <f t="shared" si="23"/>
        <v>#N/A</v>
      </c>
    </row>
    <row r="136" spans="1:18" x14ac:dyDescent="0.25">
      <c r="A136" s="8">
        <f t="shared" si="24"/>
        <v>1</v>
      </c>
      <c r="B136" s="8">
        <f>IF(K136=$P$15,$M$4,IF(K136=$P$13,'Leave Entry'!$B$4,F136-1))</f>
        <v>-1</v>
      </c>
      <c r="C136" s="23">
        <f t="shared" si="18"/>
        <v>-1</v>
      </c>
      <c r="D136" s="43">
        <f t="shared" si="19"/>
        <v>-9.0909090909090912E-2</v>
      </c>
      <c r="E136" s="43" t="e">
        <f t="shared" si="25"/>
        <v>#N/A</v>
      </c>
      <c r="F136" s="8">
        <f>'Leave Record'!D138</f>
        <v>0</v>
      </c>
      <c r="G136" s="8">
        <f>'Leave Record'!E138</f>
        <v>0</v>
      </c>
      <c r="H136" s="23">
        <f t="shared" si="20"/>
        <v>1</v>
      </c>
      <c r="I136" s="23">
        <f t="shared" si="21"/>
        <v>0</v>
      </c>
      <c r="J136" s="43" t="e">
        <f t="shared" si="26"/>
        <v>#N/A</v>
      </c>
      <c r="K136" s="23">
        <f>'Leave Record'!F138</f>
        <v>0</v>
      </c>
      <c r="Q136">
        <f t="shared" si="22"/>
        <v>0</v>
      </c>
      <c r="R136" s="15" t="e">
        <f t="shared" si="23"/>
        <v>#N/A</v>
      </c>
    </row>
    <row r="137" spans="1:18" x14ac:dyDescent="0.25">
      <c r="A137" s="8">
        <f t="shared" si="24"/>
        <v>1</v>
      </c>
      <c r="B137" s="8">
        <f>IF(K137=$P$15,$M$4,IF(K137=$P$13,'Leave Entry'!$B$4,F137-1))</f>
        <v>-1</v>
      </c>
      <c r="C137" s="23">
        <f t="shared" si="18"/>
        <v>-1</v>
      </c>
      <c r="D137" s="43">
        <f t="shared" si="19"/>
        <v>-9.0909090909090912E-2</v>
      </c>
      <c r="E137" s="43" t="e">
        <f t="shared" si="25"/>
        <v>#N/A</v>
      </c>
      <c r="F137" s="8">
        <f>'Leave Record'!D139</f>
        <v>0</v>
      </c>
      <c r="G137" s="8">
        <f>'Leave Record'!E139</f>
        <v>0</v>
      </c>
      <c r="H137" s="23">
        <f t="shared" si="20"/>
        <v>1</v>
      </c>
      <c r="I137" s="23">
        <f t="shared" si="21"/>
        <v>0</v>
      </c>
      <c r="J137" s="43" t="e">
        <f t="shared" si="26"/>
        <v>#N/A</v>
      </c>
      <c r="K137" s="23">
        <f>'Leave Record'!F139</f>
        <v>0</v>
      </c>
      <c r="Q137">
        <f t="shared" si="22"/>
        <v>0</v>
      </c>
      <c r="R137" s="15" t="e">
        <f t="shared" si="23"/>
        <v>#N/A</v>
      </c>
    </row>
    <row r="138" spans="1:18" x14ac:dyDescent="0.25">
      <c r="A138" s="8">
        <f t="shared" si="24"/>
        <v>1</v>
      </c>
      <c r="B138" s="8">
        <f>IF(K138=$P$15,$M$4,IF(K138=$P$13,'Leave Entry'!$B$4,F138-1))</f>
        <v>-1</v>
      </c>
      <c r="C138" s="23">
        <f t="shared" si="18"/>
        <v>-1</v>
      </c>
      <c r="D138" s="43">
        <f t="shared" si="19"/>
        <v>-9.0909090909090912E-2</v>
      </c>
      <c r="E138" s="43" t="e">
        <f t="shared" si="25"/>
        <v>#N/A</v>
      </c>
      <c r="F138" s="8">
        <f>'Leave Record'!D140</f>
        <v>0</v>
      </c>
      <c r="G138" s="8">
        <f>'Leave Record'!E140</f>
        <v>0</v>
      </c>
      <c r="H138" s="23">
        <f t="shared" si="20"/>
        <v>1</v>
      </c>
      <c r="I138" s="23">
        <f t="shared" si="21"/>
        <v>0</v>
      </c>
      <c r="J138" s="43" t="e">
        <f t="shared" si="26"/>
        <v>#N/A</v>
      </c>
      <c r="K138" s="23">
        <f>'Leave Record'!F140</f>
        <v>0</v>
      </c>
      <c r="Q138">
        <f t="shared" si="22"/>
        <v>0</v>
      </c>
      <c r="R138" s="15" t="e">
        <f t="shared" si="23"/>
        <v>#N/A</v>
      </c>
    </row>
    <row r="139" spans="1:18" x14ac:dyDescent="0.25">
      <c r="A139" s="8">
        <f t="shared" si="24"/>
        <v>1</v>
      </c>
      <c r="B139" s="8">
        <f>IF(K139=$P$15,$M$4,IF(K139=$P$13,'Leave Entry'!$B$4,F139-1))</f>
        <v>-1</v>
      </c>
      <c r="C139" s="23">
        <f t="shared" si="18"/>
        <v>-1</v>
      </c>
      <c r="D139" s="43">
        <f t="shared" si="19"/>
        <v>-9.0909090909090912E-2</v>
      </c>
      <c r="E139" s="43" t="e">
        <f t="shared" si="25"/>
        <v>#N/A</v>
      </c>
      <c r="F139" s="8">
        <f>'Leave Record'!D141</f>
        <v>0</v>
      </c>
      <c r="G139" s="8">
        <f>'Leave Record'!E141</f>
        <v>0</v>
      </c>
      <c r="H139" s="23">
        <f t="shared" si="20"/>
        <v>1</v>
      </c>
      <c r="I139" s="23">
        <f t="shared" si="21"/>
        <v>0</v>
      </c>
      <c r="J139" s="43" t="e">
        <f t="shared" si="26"/>
        <v>#N/A</v>
      </c>
      <c r="K139" s="23">
        <f>'Leave Record'!F141</f>
        <v>0</v>
      </c>
      <c r="Q139">
        <f t="shared" si="22"/>
        <v>0</v>
      </c>
      <c r="R139" s="15" t="e">
        <f t="shared" si="23"/>
        <v>#N/A</v>
      </c>
    </row>
    <row r="140" spans="1:18" x14ac:dyDescent="0.25">
      <c r="A140" s="8">
        <f t="shared" si="24"/>
        <v>1</v>
      </c>
      <c r="B140" s="8">
        <f>IF(K140=$P$15,$M$4,IF(K140=$P$13,'Leave Entry'!$B$4,F140-1))</f>
        <v>-1</v>
      </c>
      <c r="C140" s="23">
        <f t="shared" si="18"/>
        <v>-1</v>
      </c>
      <c r="D140" s="43">
        <f t="shared" si="19"/>
        <v>-9.0909090909090912E-2</v>
      </c>
      <c r="E140" s="43" t="e">
        <f t="shared" si="25"/>
        <v>#N/A</v>
      </c>
      <c r="F140" s="8">
        <f>'Leave Record'!D142</f>
        <v>0</v>
      </c>
      <c r="G140" s="8">
        <f>'Leave Record'!E142</f>
        <v>0</v>
      </c>
      <c r="H140" s="23">
        <f t="shared" si="20"/>
        <v>1</v>
      </c>
      <c r="I140" s="23">
        <f t="shared" si="21"/>
        <v>0</v>
      </c>
      <c r="J140" s="43" t="e">
        <f t="shared" si="26"/>
        <v>#N/A</v>
      </c>
      <c r="K140" s="23">
        <f>'Leave Record'!F142</f>
        <v>0</v>
      </c>
      <c r="Q140">
        <f t="shared" si="22"/>
        <v>0</v>
      </c>
      <c r="R140" s="15" t="e">
        <f t="shared" si="23"/>
        <v>#N/A</v>
      </c>
    </row>
    <row r="141" spans="1:18" x14ac:dyDescent="0.25">
      <c r="A141" s="8">
        <f t="shared" si="24"/>
        <v>1</v>
      </c>
      <c r="B141" s="8">
        <f>IF(K141=$P$15,$M$4,IF(K141=$P$13,'Leave Entry'!$B$4,F141-1))</f>
        <v>-1</v>
      </c>
      <c r="C141" s="23">
        <f t="shared" si="18"/>
        <v>-1</v>
      </c>
      <c r="D141" s="43">
        <f t="shared" si="19"/>
        <v>-9.0909090909090912E-2</v>
      </c>
      <c r="E141" s="43" t="e">
        <f t="shared" si="25"/>
        <v>#N/A</v>
      </c>
      <c r="F141" s="8">
        <f>'Leave Record'!D143</f>
        <v>0</v>
      </c>
      <c r="G141" s="8">
        <f>'Leave Record'!E143</f>
        <v>0</v>
      </c>
      <c r="H141" s="23">
        <f t="shared" si="20"/>
        <v>1</v>
      </c>
      <c r="I141" s="23">
        <f t="shared" si="21"/>
        <v>0</v>
      </c>
      <c r="J141" s="43" t="e">
        <f t="shared" si="26"/>
        <v>#N/A</v>
      </c>
      <c r="K141" s="23">
        <f>'Leave Record'!F143</f>
        <v>0</v>
      </c>
      <c r="Q141">
        <f t="shared" si="22"/>
        <v>0</v>
      </c>
      <c r="R141" s="15" t="e">
        <f t="shared" si="23"/>
        <v>#N/A</v>
      </c>
    </row>
    <row r="142" spans="1:18" x14ac:dyDescent="0.25">
      <c r="A142" s="8">
        <f t="shared" si="24"/>
        <v>1</v>
      </c>
      <c r="B142" s="8">
        <f>IF(K142=$P$15,$M$4,IF(K142=$P$13,'Leave Entry'!$B$4,F142-1))</f>
        <v>-1</v>
      </c>
      <c r="C142" s="23">
        <f t="shared" si="18"/>
        <v>-1</v>
      </c>
      <c r="D142" s="43">
        <f t="shared" si="19"/>
        <v>-9.0909090909090912E-2</v>
      </c>
      <c r="E142" s="43" t="e">
        <f t="shared" si="25"/>
        <v>#N/A</v>
      </c>
      <c r="F142" s="8">
        <f>'Leave Record'!D144</f>
        <v>0</v>
      </c>
      <c r="G142" s="8">
        <f>'Leave Record'!E144</f>
        <v>0</v>
      </c>
      <c r="H142" s="23">
        <f t="shared" si="20"/>
        <v>1</v>
      </c>
      <c r="I142" s="23">
        <f t="shared" si="21"/>
        <v>0</v>
      </c>
      <c r="J142" s="43" t="e">
        <f t="shared" si="26"/>
        <v>#N/A</v>
      </c>
      <c r="K142" s="23">
        <f>'Leave Record'!F144</f>
        <v>0</v>
      </c>
      <c r="Q142">
        <f t="shared" si="22"/>
        <v>0</v>
      </c>
      <c r="R142" s="15" t="e">
        <f t="shared" si="23"/>
        <v>#N/A</v>
      </c>
    </row>
    <row r="143" spans="1:18" x14ac:dyDescent="0.25">
      <c r="A143" s="8">
        <f t="shared" si="24"/>
        <v>1</v>
      </c>
      <c r="B143" s="8">
        <f>IF(K143=$P$15,$M$4,IF(K143=$P$13,'Leave Entry'!$B$4,F143-1))</f>
        <v>-1</v>
      </c>
      <c r="C143" s="23">
        <f t="shared" si="18"/>
        <v>-1</v>
      </c>
      <c r="D143" s="43">
        <f t="shared" si="19"/>
        <v>-9.0909090909090912E-2</v>
      </c>
      <c r="E143" s="43" t="e">
        <f t="shared" si="25"/>
        <v>#N/A</v>
      </c>
      <c r="F143" s="8">
        <f>'Leave Record'!D145</f>
        <v>0</v>
      </c>
      <c r="G143" s="8">
        <f>'Leave Record'!E145</f>
        <v>0</v>
      </c>
      <c r="H143" s="23">
        <f t="shared" si="20"/>
        <v>1</v>
      </c>
      <c r="I143" s="23">
        <f t="shared" si="21"/>
        <v>0</v>
      </c>
      <c r="J143" s="43" t="e">
        <f t="shared" si="26"/>
        <v>#N/A</v>
      </c>
      <c r="K143" s="23">
        <f>'Leave Record'!F145</f>
        <v>0</v>
      </c>
      <c r="Q143">
        <f t="shared" si="22"/>
        <v>0</v>
      </c>
      <c r="R143" s="15" t="e">
        <f t="shared" si="23"/>
        <v>#N/A</v>
      </c>
    </row>
    <row r="144" spans="1:18" x14ac:dyDescent="0.25">
      <c r="A144" s="8">
        <f t="shared" si="24"/>
        <v>1</v>
      </c>
      <c r="B144" s="8">
        <f>IF(K144=$P$15,$M$4,IF(K144=$P$13,'Leave Entry'!$B$4,F144-1))</f>
        <v>-1</v>
      </c>
      <c r="C144" s="23">
        <f t="shared" si="18"/>
        <v>-1</v>
      </c>
      <c r="D144" s="43">
        <f t="shared" si="19"/>
        <v>-9.0909090909090912E-2</v>
      </c>
      <c r="E144" s="43" t="e">
        <f t="shared" si="25"/>
        <v>#N/A</v>
      </c>
      <c r="F144" s="8">
        <f>'Leave Record'!D146</f>
        <v>0</v>
      </c>
      <c r="G144" s="8">
        <f>'Leave Record'!E146</f>
        <v>0</v>
      </c>
      <c r="H144" s="23">
        <f t="shared" si="20"/>
        <v>1</v>
      </c>
      <c r="I144" s="23">
        <f t="shared" si="21"/>
        <v>0</v>
      </c>
      <c r="J144" s="43" t="e">
        <f t="shared" si="26"/>
        <v>#N/A</v>
      </c>
      <c r="K144" s="23">
        <f>'Leave Record'!F146</f>
        <v>0</v>
      </c>
      <c r="Q144">
        <f t="shared" si="22"/>
        <v>0</v>
      </c>
      <c r="R144" s="15" t="e">
        <f t="shared" si="23"/>
        <v>#N/A</v>
      </c>
    </row>
    <row r="145" spans="1:18" x14ac:dyDescent="0.25">
      <c r="A145" s="8">
        <f t="shared" si="24"/>
        <v>1</v>
      </c>
      <c r="B145" s="8">
        <f>IF(K145=$P$15,$M$4,IF(K145=$P$13,'Leave Entry'!$B$4,F145-1))</f>
        <v>-1</v>
      </c>
      <c r="C145" s="23">
        <f t="shared" si="18"/>
        <v>-1</v>
      </c>
      <c r="D145" s="43">
        <f t="shared" si="19"/>
        <v>-9.0909090909090912E-2</v>
      </c>
      <c r="E145" s="43" t="e">
        <f t="shared" si="25"/>
        <v>#N/A</v>
      </c>
      <c r="F145" s="8">
        <f>'Leave Record'!D147</f>
        <v>0</v>
      </c>
      <c r="G145" s="8">
        <f>'Leave Record'!E147</f>
        <v>0</v>
      </c>
      <c r="H145" s="23">
        <f t="shared" si="20"/>
        <v>1</v>
      </c>
      <c r="I145" s="23">
        <f t="shared" si="21"/>
        <v>0</v>
      </c>
      <c r="J145" s="43" t="e">
        <f t="shared" si="26"/>
        <v>#N/A</v>
      </c>
      <c r="K145" s="23">
        <f>'Leave Record'!F147</f>
        <v>0</v>
      </c>
      <c r="Q145">
        <f t="shared" si="22"/>
        <v>0</v>
      </c>
      <c r="R145" s="15" t="e">
        <f t="shared" si="23"/>
        <v>#N/A</v>
      </c>
    </row>
    <row r="146" spans="1:18" x14ac:dyDescent="0.25">
      <c r="A146" s="8">
        <f t="shared" si="24"/>
        <v>1</v>
      </c>
      <c r="B146" s="8">
        <f>IF(K146=$P$15,$M$4,IF(K146=$P$13,'Leave Entry'!$B$4,F146-1))</f>
        <v>-1</v>
      </c>
      <c r="C146" s="23">
        <f t="shared" si="18"/>
        <v>-1</v>
      </c>
      <c r="D146" s="43">
        <f t="shared" si="19"/>
        <v>-9.0909090909090912E-2</v>
      </c>
      <c r="E146" s="43" t="e">
        <f t="shared" si="25"/>
        <v>#N/A</v>
      </c>
      <c r="F146" s="8">
        <f>'Leave Record'!D148</f>
        <v>0</v>
      </c>
      <c r="G146" s="8">
        <f>'Leave Record'!E148</f>
        <v>0</v>
      </c>
      <c r="H146" s="23">
        <f t="shared" si="20"/>
        <v>1</v>
      </c>
      <c r="I146" s="23">
        <f t="shared" si="21"/>
        <v>0</v>
      </c>
      <c r="J146" s="43" t="e">
        <f t="shared" si="26"/>
        <v>#N/A</v>
      </c>
      <c r="K146" s="23">
        <f>'Leave Record'!F148</f>
        <v>0</v>
      </c>
      <c r="Q146">
        <f t="shared" si="22"/>
        <v>0</v>
      </c>
      <c r="R146" s="15" t="e">
        <f t="shared" si="23"/>
        <v>#N/A</v>
      </c>
    </row>
    <row r="147" spans="1:18" x14ac:dyDescent="0.25">
      <c r="A147" s="8">
        <f t="shared" si="24"/>
        <v>1</v>
      </c>
      <c r="B147" s="8">
        <f>IF(K147=$P$15,$M$4,IF(K147=$P$13,'Leave Entry'!$B$4,F147-1))</f>
        <v>-1</v>
      </c>
      <c r="C147" s="23">
        <f t="shared" si="18"/>
        <v>-1</v>
      </c>
      <c r="D147" s="43">
        <f t="shared" si="19"/>
        <v>-9.0909090909090912E-2</v>
      </c>
      <c r="E147" s="43" t="e">
        <f t="shared" si="25"/>
        <v>#N/A</v>
      </c>
      <c r="F147" s="8">
        <f>'Leave Record'!D149</f>
        <v>0</v>
      </c>
      <c r="G147" s="8">
        <f>'Leave Record'!E149</f>
        <v>0</v>
      </c>
      <c r="H147" s="23">
        <f t="shared" si="20"/>
        <v>1</v>
      </c>
      <c r="I147" s="23">
        <f t="shared" si="21"/>
        <v>0</v>
      </c>
      <c r="J147" s="43" t="e">
        <f t="shared" si="26"/>
        <v>#N/A</v>
      </c>
      <c r="K147" s="23">
        <f>'Leave Record'!F149</f>
        <v>0</v>
      </c>
      <c r="Q147">
        <f t="shared" si="22"/>
        <v>0</v>
      </c>
      <c r="R147" s="15" t="e">
        <f t="shared" si="23"/>
        <v>#N/A</v>
      </c>
    </row>
    <row r="148" spans="1:18" x14ac:dyDescent="0.25">
      <c r="A148" s="8">
        <f t="shared" si="24"/>
        <v>1</v>
      </c>
      <c r="B148" s="8">
        <f>IF(K148=$P$15,$M$4,IF(K148=$P$13,'Leave Entry'!$B$4,F148-1))</f>
        <v>-1</v>
      </c>
      <c r="C148" s="23">
        <f t="shared" si="18"/>
        <v>-1</v>
      </c>
      <c r="D148" s="43">
        <f t="shared" si="19"/>
        <v>-9.0909090909090912E-2</v>
      </c>
      <c r="E148" s="43" t="e">
        <f t="shared" si="25"/>
        <v>#N/A</v>
      </c>
      <c r="F148" s="8">
        <f>'Leave Record'!D150</f>
        <v>0</v>
      </c>
      <c r="G148" s="8">
        <f>'Leave Record'!E150</f>
        <v>0</v>
      </c>
      <c r="H148" s="23">
        <f t="shared" si="20"/>
        <v>1</v>
      </c>
      <c r="I148" s="23">
        <f t="shared" si="21"/>
        <v>0</v>
      </c>
      <c r="J148" s="43" t="e">
        <f t="shared" si="26"/>
        <v>#N/A</v>
      </c>
      <c r="K148" s="23">
        <f>'Leave Record'!F150</f>
        <v>0</v>
      </c>
      <c r="Q148">
        <f t="shared" si="22"/>
        <v>0</v>
      </c>
      <c r="R148" s="15" t="e">
        <f t="shared" si="23"/>
        <v>#N/A</v>
      </c>
    </row>
    <row r="149" spans="1:18" x14ac:dyDescent="0.25">
      <c r="A149" s="8">
        <f t="shared" si="24"/>
        <v>1</v>
      </c>
      <c r="B149" s="8">
        <f>IF(K149=$P$15,$M$4,IF(K149=$P$13,'Leave Entry'!$B$4,F149-1))</f>
        <v>-1</v>
      </c>
      <c r="C149" s="23">
        <f t="shared" si="18"/>
        <v>-1</v>
      </c>
      <c r="D149" s="43">
        <f t="shared" si="19"/>
        <v>-9.0909090909090912E-2</v>
      </c>
      <c r="E149" s="43" t="e">
        <f t="shared" si="25"/>
        <v>#N/A</v>
      </c>
      <c r="F149" s="8">
        <f>'Leave Record'!D151</f>
        <v>0</v>
      </c>
      <c r="G149" s="8">
        <f>'Leave Record'!E151</f>
        <v>0</v>
      </c>
      <c r="H149" s="23">
        <f t="shared" si="20"/>
        <v>1</v>
      </c>
      <c r="I149" s="23">
        <f t="shared" si="21"/>
        <v>0</v>
      </c>
      <c r="J149" s="43" t="e">
        <f t="shared" si="26"/>
        <v>#N/A</v>
      </c>
      <c r="K149" s="23">
        <f>'Leave Record'!F151</f>
        <v>0</v>
      </c>
      <c r="Q149">
        <f t="shared" si="22"/>
        <v>0</v>
      </c>
      <c r="R149" s="15" t="e">
        <f t="shared" si="23"/>
        <v>#N/A</v>
      </c>
    </row>
    <row r="150" spans="1:18" x14ac:dyDescent="0.25">
      <c r="A150" s="8">
        <f t="shared" si="24"/>
        <v>1</v>
      </c>
      <c r="B150" s="8">
        <f>IF(K150=$P$15,$M$4,IF(K150=$P$13,'Leave Entry'!$B$4,F150-1))</f>
        <v>-1</v>
      </c>
      <c r="C150" s="23">
        <f t="shared" si="18"/>
        <v>-1</v>
      </c>
      <c r="D150" s="43">
        <f t="shared" si="19"/>
        <v>-9.0909090909090912E-2</v>
      </c>
      <c r="E150" s="43" t="e">
        <f t="shared" si="25"/>
        <v>#N/A</v>
      </c>
      <c r="F150" s="8">
        <f>'Leave Record'!D152</f>
        <v>0</v>
      </c>
      <c r="G150" s="8">
        <f>'Leave Record'!E152</f>
        <v>0</v>
      </c>
      <c r="H150" s="23">
        <f t="shared" si="20"/>
        <v>1</v>
      </c>
      <c r="I150" s="23">
        <f t="shared" si="21"/>
        <v>0</v>
      </c>
      <c r="J150" s="43" t="e">
        <f t="shared" si="26"/>
        <v>#N/A</v>
      </c>
      <c r="K150" s="23">
        <f>'Leave Record'!F152</f>
        <v>0</v>
      </c>
      <c r="Q150">
        <f t="shared" si="22"/>
        <v>0</v>
      </c>
      <c r="R150" s="15" t="e">
        <f t="shared" si="23"/>
        <v>#N/A</v>
      </c>
    </row>
    <row r="151" spans="1:18" x14ac:dyDescent="0.25">
      <c r="A151" s="8">
        <f t="shared" si="24"/>
        <v>1</v>
      </c>
      <c r="B151" s="8">
        <f>IF(K151=$P$15,$M$4,IF(K151=$P$13,'Leave Entry'!$B$4,F151-1))</f>
        <v>-1</v>
      </c>
      <c r="C151" s="23">
        <f t="shared" si="18"/>
        <v>-1</v>
      </c>
      <c r="D151" s="43">
        <f t="shared" si="19"/>
        <v>-9.0909090909090912E-2</v>
      </c>
      <c r="E151" s="43" t="e">
        <f t="shared" si="25"/>
        <v>#N/A</v>
      </c>
      <c r="F151" s="8">
        <f>'Leave Record'!D153</f>
        <v>0</v>
      </c>
      <c r="G151" s="8">
        <f>'Leave Record'!E153</f>
        <v>0</v>
      </c>
      <c r="H151" s="23">
        <f t="shared" si="20"/>
        <v>1</v>
      </c>
      <c r="I151" s="23">
        <f t="shared" si="21"/>
        <v>0</v>
      </c>
      <c r="J151" s="43" t="e">
        <f t="shared" si="26"/>
        <v>#N/A</v>
      </c>
      <c r="K151" s="23">
        <f>'Leave Record'!F153</f>
        <v>0</v>
      </c>
      <c r="Q151">
        <f t="shared" si="22"/>
        <v>0</v>
      </c>
      <c r="R151" s="15" t="e">
        <f t="shared" si="23"/>
        <v>#N/A</v>
      </c>
    </row>
    <row r="152" spans="1:18" x14ac:dyDescent="0.25">
      <c r="A152" s="8">
        <f t="shared" si="24"/>
        <v>1</v>
      </c>
      <c r="B152" s="8">
        <f>IF(K152=$P$15,$M$4,IF(K152=$P$13,'Leave Entry'!$B$4,F152-1))</f>
        <v>-1</v>
      </c>
      <c r="C152" s="23">
        <f t="shared" si="18"/>
        <v>-1</v>
      </c>
      <c r="D152" s="43">
        <f t="shared" si="19"/>
        <v>-9.0909090909090912E-2</v>
      </c>
      <c r="E152" s="43" t="e">
        <f t="shared" si="25"/>
        <v>#N/A</v>
      </c>
      <c r="F152" s="8">
        <f>'Leave Record'!D154</f>
        <v>0</v>
      </c>
      <c r="G152" s="8">
        <f>'Leave Record'!E154</f>
        <v>0</v>
      </c>
      <c r="H152" s="23">
        <f t="shared" si="20"/>
        <v>1</v>
      </c>
      <c r="I152" s="23">
        <f t="shared" si="21"/>
        <v>0</v>
      </c>
      <c r="J152" s="43" t="e">
        <f t="shared" si="26"/>
        <v>#N/A</v>
      </c>
      <c r="K152" s="23">
        <f>'Leave Record'!F154</f>
        <v>0</v>
      </c>
      <c r="Q152">
        <f t="shared" si="22"/>
        <v>0</v>
      </c>
      <c r="R152" s="15" t="e">
        <f t="shared" si="23"/>
        <v>#N/A</v>
      </c>
    </row>
    <row r="153" spans="1:18" x14ac:dyDescent="0.25">
      <c r="A153" s="8">
        <f t="shared" si="24"/>
        <v>1</v>
      </c>
      <c r="B153" s="8">
        <f>IF(K153=$P$15,$M$4,IF(K153=$P$13,'Leave Entry'!$B$4,F153-1))</f>
        <v>-1</v>
      </c>
      <c r="C153" s="23">
        <f t="shared" si="18"/>
        <v>-1</v>
      </c>
      <c r="D153" s="43">
        <f t="shared" si="19"/>
        <v>-9.0909090909090912E-2</v>
      </c>
      <c r="E153" s="43" t="e">
        <f t="shared" si="25"/>
        <v>#N/A</v>
      </c>
      <c r="F153" s="8">
        <f>'Leave Record'!D155</f>
        <v>0</v>
      </c>
      <c r="G153" s="8">
        <f>'Leave Record'!E155</f>
        <v>0</v>
      </c>
      <c r="H153" s="23">
        <f t="shared" si="20"/>
        <v>1</v>
      </c>
      <c r="I153" s="23">
        <f t="shared" si="21"/>
        <v>0</v>
      </c>
      <c r="J153" s="43" t="e">
        <f t="shared" si="26"/>
        <v>#N/A</v>
      </c>
      <c r="K153" s="23">
        <f>'Leave Record'!F155</f>
        <v>0</v>
      </c>
      <c r="Q153">
        <f t="shared" si="22"/>
        <v>0</v>
      </c>
      <c r="R153" s="15" t="e">
        <f t="shared" si="23"/>
        <v>#N/A</v>
      </c>
    </row>
    <row r="154" spans="1:18" x14ac:dyDescent="0.25">
      <c r="A154" s="8">
        <f t="shared" si="24"/>
        <v>1</v>
      </c>
      <c r="B154" s="8">
        <f>IF(K154=$P$15,$M$4,IF(K154=$P$13,'Leave Entry'!$B$4,F154-1))</f>
        <v>-1</v>
      </c>
      <c r="C154" s="23">
        <f t="shared" si="18"/>
        <v>-1</v>
      </c>
      <c r="D154" s="43">
        <f t="shared" si="19"/>
        <v>-9.0909090909090912E-2</v>
      </c>
      <c r="E154" s="43" t="e">
        <f t="shared" si="25"/>
        <v>#N/A</v>
      </c>
      <c r="F154" s="8">
        <f>'Leave Record'!D156</f>
        <v>0</v>
      </c>
      <c r="G154" s="8">
        <f>'Leave Record'!E156</f>
        <v>0</v>
      </c>
      <c r="H154" s="23">
        <f t="shared" si="20"/>
        <v>1</v>
      </c>
      <c r="I154" s="23">
        <f t="shared" si="21"/>
        <v>0</v>
      </c>
      <c r="J154" s="43" t="e">
        <f t="shared" si="26"/>
        <v>#N/A</v>
      </c>
      <c r="K154" s="23">
        <f>'Leave Record'!F156</f>
        <v>0</v>
      </c>
      <c r="Q154">
        <f t="shared" si="22"/>
        <v>0</v>
      </c>
      <c r="R154" s="15" t="e">
        <f t="shared" si="23"/>
        <v>#N/A</v>
      </c>
    </row>
    <row r="155" spans="1:18" x14ac:dyDescent="0.25">
      <c r="A155" s="8">
        <f t="shared" si="24"/>
        <v>1</v>
      </c>
      <c r="B155" s="8">
        <f>IF(K155=$P$15,$M$4,IF(K155=$P$13,'Leave Entry'!$B$4,F155-1))</f>
        <v>-1</v>
      </c>
      <c r="C155" s="23">
        <f t="shared" si="18"/>
        <v>-1</v>
      </c>
      <c r="D155" s="43">
        <f t="shared" si="19"/>
        <v>-9.0909090909090912E-2</v>
      </c>
      <c r="E155" s="43" t="e">
        <f t="shared" si="25"/>
        <v>#N/A</v>
      </c>
      <c r="F155" s="8">
        <f>'Leave Record'!D157</f>
        <v>0</v>
      </c>
      <c r="G155" s="8">
        <f>'Leave Record'!E157</f>
        <v>0</v>
      </c>
      <c r="H155" s="23">
        <f t="shared" si="20"/>
        <v>1</v>
      </c>
      <c r="I155" s="23">
        <f t="shared" si="21"/>
        <v>0</v>
      </c>
      <c r="J155" s="43" t="e">
        <f t="shared" si="26"/>
        <v>#N/A</v>
      </c>
      <c r="K155" s="23">
        <f>'Leave Record'!F157</f>
        <v>0</v>
      </c>
      <c r="Q155">
        <f t="shared" si="22"/>
        <v>0</v>
      </c>
      <c r="R155" s="15" t="e">
        <f t="shared" si="23"/>
        <v>#N/A</v>
      </c>
    </row>
    <row r="156" spans="1:18" x14ac:dyDescent="0.25">
      <c r="A156" s="8">
        <f t="shared" si="24"/>
        <v>1</v>
      </c>
      <c r="B156" s="8">
        <f>IF(K156=$P$15,$M$4,IF(K156=$P$13,'Leave Entry'!$B$4,F156-1))</f>
        <v>-1</v>
      </c>
      <c r="C156" s="23">
        <f t="shared" si="18"/>
        <v>-1</v>
      </c>
      <c r="D156" s="43">
        <f t="shared" si="19"/>
        <v>-9.0909090909090912E-2</v>
      </c>
      <c r="E156" s="43" t="e">
        <f t="shared" si="25"/>
        <v>#N/A</v>
      </c>
      <c r="F156" s="8">
        <f>'Leave Record'!D158</f>
        <v>0</v>
      </c>
      <c r="G156" s="8">
        <f>'Leave Record'!E158</f>
        <v>0</v>
      </c>
      <c r="H156" s="23">
        <f t="shared" si="20"/>
        <v>1</v>
      </c>
      <c r="I156" s="23">
        <f t="shared" si="21"/>
        <v>0</v>
      </c>
      <c r="J156" s="43" t="e">
        <f t="shared" si="26"/>
        <v>#N/A</v>
      </c>
      <c r="K156" s="23">
        <f>'Leave Record'!F158</f>
        <v>0</v>
      </c>
      <c r="Q156">
        <f t="shared" si="22"/>
        <v>0</v>
      </c>
      <c r="R156" s="15" t="e">
        <f t="shared" si="23"/>
        <v>#N/A</v>
      </c>
    </row>
    <row r="157" spans="1:18" x14ac:dyDescent="0.25">
      <c r="A157" s="8">
        <f t="shared" si="24"/>
        <v>1</v>
      </c>
      <c r="B157" s="8">
        <f>IF(K157=$P$15,$M$4,IF(K157=$P$13,'Leave Entry'!$B$4,F157-1))</f>
        <v>-1</v>
      </c>
      <c r="C157" s="23">
        <f t="shared" si="18"/>
        <v>-1</v>
      </c>
      <c r="D157" s="43">
        <f t="shared" si="19"/>
        <v>-9.0909090909090912E-2</v>
      </c>
      <c r="E157" s="43" t="e">
        <f t="shared" si="25"/>
        <v>#N/A</v>
      </c>
      <c r="F157" s="8">
        <f>'Leave Record'!D159</f>
        <v>0</v>
      </c>
      <c r="G157" s="8">
        <f>'Leave Record'!E159</f>
        <v>0</v>
      </c>
      <c r="H157" s="23">
        <f t="shared" si="20"/>
        <v>1</v>
      </c>
      <c r="I157" s="23">
        <f t="shared" si="21"/>
        <v>0</v>
      </c>
      <c r="J157" s="43" t="e">
        <f t="shared" si="26"/>
        <v>#N/A</v>
      </c>
      <c r="K157" s="23">
        <f>'Leave Record'!F159</f>
        <v>0</v>
      </c>
      <c r="Q157">
        <f t="shared" si="22"/>
        <v>0</v>
      </c>
      <c r="R157" s="15" t="e">
        <f t="shared" si="23"/>
        <v>#N/A</v>
      </c>
    </row>
    <row r="158" spans="1:18" x14ac:dyDescent="0.25">
      <c r="A158" s="8">
        <f t="shared" si="24"/>
        <v>1</v>
      </c>
      <c r="B158" s="8">
        <f>IF(K158=$P$15,$M$4,IF(K158=$P$13,'Leave Entry'!$B$4,F158-1))</f>
        <v>-1</v>
      </c>
      <c r="C158" s="23">
        <f t="shared" si="18"/>
        <v>-1</v>
      </c>
      <c r="D158" s="43">
        <f t="shared" si="19"/>
        <v>-9.0909090909090912E-2</v>
      </c>
      <c r="E158" s="43" t="e">
        <f t="shared" si="25"/>
        <v>#N/A</v>
      </c>
      <c r="F158" s="8">
        <f>'Leave Record'!D160</f>
        <v>0</v>
      </c>
      <c r="G158" s="8">
        <f>'Leave Record'!E160</f>
        <v>0</v>
      </c>
      <c r="H158" s="23">
        <f t="shared" si="20"/>
        <v>1</v>
      </c>
      <c r="I158" s="23">
        <f t="shared" si="21"/>
        <v>0</v>
      </c>
      <c r="J158" s="43" t="e">
        <f t="shared" si="26"/>
        <v>#N/A</v>
      </c>
      <c r="K158" s="23">
        <f>'Leave Record'!F160</f>
        <v>0</v>
      </c>
      <c r="Q158">
        <f t="shared" si="22"/>
        <v>0</v>
      </c>
      <c r="R158" s="15" t="e">
        <f t="shared" si="23"/>
        <v>#N/A</v>
      </c>
    </row>
    <row r="159" spans="1:18" x14ac:dyDescent="0.25">
      <c r="A159" s="8">
        <f t="shared" si="24"/>
        <v>1</v>
      </c>
      <c r="B159" s="8">
        <f>IF(K159=$P$15,$M$4,IF(K159=$P$13,'Leave Entry'!$B$4,F159-1))</f>
        <v>-1</v>
      </c>
      <c r="C159" s="23">
        <f t="shared" si="18"/>
        <v>-1</v>
      </c>
      <c r="D159" s="43">
        <f t="shared" si="19"/>
        <v>-9.0909090909090912E-2</v>
      </c>
      <c r="E159" s="43" t="e">
        <f t="shared" si="25"/>
        <v>#N/A</v>
      </c>
      <c r="F159" s="8">
        <f>'Leave Record'!D161</f>
        <v>0</v>
      </c>
      <c r="G159" s="8">
        <f>'Leave Record'!E161</f>
        <v>0</v>
      </c>
      <c r="H159" s="23">
        <f t="shared" si="20"/>
        <v>1</v>
      </c>
      <c r="I159" s="23">
        <f t="shared" si="21"/>
        <v>0</v>
      </c>
      <c r="J159" s="43" t="e">
        <f t="shared" si="26"/>
        <v>#N/A</v>
      </c>
      <c r="K159" s="23">
        <f>'Leave Record'!F161</f>
        <v>0</v>
      </c>
      <c r="Q159">
        <f t="shared" si="22"/>
        <v>0</v>
      </c>
      <c r="R159" s="15" t="e">
        <f t="shared" si="23"/>
        <v>#N/A</v>
      </c>
    </row>
    <row r="160" spans="1:18" x14ac:dyDescent="0.25">
      <c r="A160" s="8">
        <f t="shared" si="24"/>
        <v>1</v>
      </c>
      <c r="B160" s="8">
        <f>IF(K160=$P$15,$M$4,IF(K160=$P$13,'Leave Entry'!$B$4,F160-1))</f>
        <v>-1</v>
      </c>
      <c r="C160" s="23">
        <f t="shared" si="18"/>
        <v>-1</v>
      </c>
      <c r="D160" s="43">
        <f t="shared" si="19"/>
        <v>-9.0909090909090912E-2</v>
      </c>
      <c r="E160" s="43" t="e">
        <f t="shared" si="25"/>
        <v>#N/A</v>
      </c>
      <c r="F160" s="8">
        <f>'Leave Record'!D162</f>
        <v>0</v>
      </c>
      <c r="G160" s="8">
        <f>'Leave Record'!E162</f>
        <v>0</v>
      </c>
      <c r="H160" s="23">
        <f t="shared" si="20"/>
        <v>1</v>
      </c>
      <c r="I160" s="23">
        <f t="shared" si="21"/>
        <v>0</v>
      </c>
      <c r="J160" s="43" t="e">
        <f t="shared" si="26"/>
        <v>#N/A</v>
      </c>
      <c r="K160" s="23">
        <f>'Leave Record'!F162</f>
        <v>0</v>
      </c>
      <c r="Q160">
        <f t="shared" si="22"/>
        <v>0</v>
      </c>
      <c r="R160" s="15" t="e">
        <f t="shared" si="23"/>
        <v>#N/A</v>
      </c>
    </row>
    <row r="161" spans="1:18" x14ac:dyDescent="0.25">
      <c r="A161" s="8">
        <f t="shared" si="24"/>
        <v>1</v>
      </c>
      <c r="B161" s="8">
        <f>IF(K161=$P$15,$M$4,IF(K161=$P$13,'Leave Entry'!$B$4,F161-1))</f>
        <v>-1</v>
      </c>
      <c r="C161" s="23">
        <f t="shared" si="18"/>
        <v>-1</v>
      </c>
      <c r="D161" s="43">
        <f t="shared" si="19"/>
        <v>-9.0909090909090912E-2</v>
      </c>
      <c r="E161" s="43" t="e">
        <f t="shared" si="25"/>
        <v>#N/A</v>
      </c>
      <c r="F161" s="8">
        <f>'Leave Record'!D163</f>
        <v>0</v>
      </c>
      <c r="G161" s="8">
        <f>'Leave Record'!E163</f>
        <v>0</v>
      </c>
      <c r="H161" s="23">
        <f t="shared" si="20"/>
        <v>1</v>
      </c>
      <c r="I161" s="23">
        <f t="shared" si="21"/>
        <v>0</v>
      </c>
      <c r="J161" s="43" t="e">
        <f t="shared" si="26"/>
        <v>#N/A</v>
      </c>
      <c r="K161" s="23">
        <f>'Leave Record'!F163</f>
        <v>0</v>
      </c>
      <c r="Q161">
        <f t="shared" si="22"/>
        <v>0</v>
      </c>
      <c r="R161" s="15" t="e">
        <f t="shared" si="23"/>
        <v>#N/A</v>
      </c>
    </row>
    <row r="162" spans="1:18" x14ac:dyDescent="0.25">
      <c r="A162" s="8">
        <f t="shared" si="24"/>
        <v>1</v>
      </c>
      <c r="B162" s="8">
        <f>IF(K162=$P$15,$M$4,IF(K162=$P$13,'Leave Entry'!$B$4,F162-1))</f>
        <v>-1</v>
      </c>
      <c r="C162" s="23">
        <f t="shared" si="18"/>
        <v>-1</v>
      </c>
      <c r="D162" s="43">
        <f t="shared" si="19"/>
        <v>-9.0909090909090912E-2</v>
      </c>
      <c r="E162" s="43" t="e">
        <f t="shared" si="25"/>
        <v>#N/A</v>
      </c>
      <c r="F162" s="8">
        <f>'Leave Record'!D164</f>
        <v>0</v>
      </c>
      <c r="G162" s="8">
        <f>'Leave Record'!E164</f>
        <v>0</v>
      </c>
      <c r="H162" s="23">
        <f t="shared" si="20"/>
        <v>1</v>
      </c>
      <c r="I162" s="23">
        <f t="shared" si="21"/>
        <v>0</v>
      </c>
      <c r="J162" s="43" t="e">
        <f t="shared" si="26"/>
        <v>#N/A</v>
      </c>
      <c r="K162" s="23">
        <f>'Leave Record'!F164</f>
        <v>0</v>
      </c>
      <c r="Q162">
        <f t="shared" si="22"/>
        <v>0</v>
      </c>
      <c r="R162" s="15" t="e">
        <f t="shared" si="23"/>
        <v>#N/A</v>
      </c>
    </row>
    <row r="163" spans="1:18" x14ac:dyDescent="0.25">
      <c r="A163" s="8">
        <f t="shared" si="24"/>
        <v>1</v>
      </c>
      <c r="B163" s="8">
        <f>IF(K163=$P$15,$M$4,IF(K163=$P$13,'Leave Entry'!$B$4,F163-1))</f>
        <v>-1</v>
      </c>
      <c r="C163" s="23">
        <f t="shared" si="18"/>
        <v>-1</v>
      </c>
      <c r="D163" s="43">
        <f t="shared" si="19"/>
        <v>-9.0909090909090912E-2</v>
      </c>
      <c r="E163" s="43" t="e">
        <f t="shared" si="25"/>
        <v>#N/A</v>
      </c>
      <c r="F163" s="8">
        <f>'Leave Record'!D165</f>
        <v>0</v>
      </c>
      <c r="G163" s="8">
        <f>'Leave Record'!E165</f>
        <v>0</v>
      </c>
      <c r="H163" s="23">
        <f t="shared" si="20"/>
        <v>1</v>
      </c>
      <c r="I163" s="23">
        <f t="shared" si="21"/>
        <v>0</v>
      </c>
      <c r="J163" s="43" t="e">
        <f t="shared" si="26"/>
        <v>#N/A</v>
      </c>
      <c r="K163" s="23">
        <f>'Leave Record'!F165</f>
        <v>0</v>
      </c>
      <c r="Q163">
        <f t="shared" si="22"/>
        <v>0</v>
      </c>
      <c r="R163" s="15" t="e">
        <f t="shared" si="23"/>
        <v>#N/A</v>
      </c>
    </row>
    <row r="164" spans="1:18" x14ac:dyDescent="0.25">
      <c r="A164" s="8">
        <f t="shared" si="24"/>
        <v>1</v>
      </c>
      <c r="B164" s="8">
        <f>IF(K164=$P$15,$M$4,IF(K164=$P$13,'Leave Entry'!$B$4,F164-1))</f>
        <v>-1</v>
      </c>
      <c r="C164" s="23">
        <f t="shared" si="18"/>
        <v>-1</v>
      </c>
      <c r="D164" s="43">
        <f t="shared" si="19"/>
        <v>-9.0909090909090912E-2</v>
      </c>
      <c r="E164" s="43" t="e">
        <f t="shared" si="25"/>
        <v>#N/A</v>
      </c>
      <c r="F164" s="8">
        <f>'Leave Record'!D166</f>
        <v>0</v>
      </c>
      <c r="G164" s="8">
        <f>'Leave Record'!E166</f>
        <v>0</v>
      </c>
      <c r="H164" s="23">
        <f t="shared" si="20"/>
        <v>1</v>
      </c>
      <c r="I164" s="23">
        <f t="shared" si="21"/>
        <v>0</v>
      </c>
      <c r="J164" s="43" t="e">
        <f t="shared" si="26"/>
        <v>#N/A</v>
      </c>
      <c r="K164" s="23">
        <f>'Leave Record'!F166</f>
        <v>0</v>
      </c>
      <c r="Q164">
        <f t="shared" si="22"/>
        <v>0</v>
      </c>
      <c r="R164" s="15" t="e">
        <f t="shared" si="23"/>
        <v>#N/A</v>
      </c>
    </row>
    <row r="165" spans="1:18" x14ac:dyDescent="0.25">
      <c r="A165" s="8">
        <f t="shared" si="24"/>
        <v>1</v>
      </c>
      <c r="B165" s="8">
        <f>IF(K165=$P$15,$M$4,IF(K165=$P$13,'Leave Entry'!$B$4,F165-1))</f>
        <v>-1</v>
      </c>
      <c r="C165" s="23">
        <f t="shared" si="18"/>
        <v>-1</v>
      </c>
      <c r="D165" s="43">
        <f t="shared" si="19"/>
        <v>-9.0909090909090912E-2</v>
      </c>
      <c r="E165" s="43" t="e">
        <f t="shared" si="25"/>
        <v>#N/A</v>
      </c>
      <c r="F165" s="8">
        <f>'Leave Record'!D167</f>
        <v>0</v>
      </c>
      <c r="G165" s="8">
        <f>'Leave Record'!E167</f>
        <v>0</v>
      </c>
      <c r="H165" s="23">
        <f t="shared" si="20"/>
        <v>1</v>
      </c>
      <c r="I165" s="23">
        <f t="shared" si="21"/>
        <v>0</v>
      </c>
      <c r="J165" s="43" t="e">
        <f t="shared" si="26"/>
        <v>#N/A</v>
      </c>
      <c r="K165" s="23">
        <f>'Leave Record'!F167</f>
        <v>0</v>
      </c>
      <c r="Q165">
        <f t="shared" si="22"/>
        <v>0</v>
      </c>
      <c r="R165" s="15" t="e">
        <f t="shared" si="23"/>
        <v>#N/A</v>
      </c>
    </row>
    <row r="166" spans="1:18" x14ac:dyDescent="0.25">
      <c r="A166" s="8">
        <f t="shared" si="24"/>
        <v>1</v>
      </c>
      <c r="B166" s="8">
        <f>IF(K166=$P$15,$M$4,IF(K166=$P$13,'Leave Entry'!$B$4,F166-1))</f>
        <v>-1</v>
      </c>
      <c r="C166" s="23">
        <f t="shared" si="18"/>
        <v>-1</v>
      </c>
      <c r="D166" s="43">
        <f t="shared" si="19"/>
        <v>-9.0909090909090912E-2</v>
      </c>
      <c r="E166" s="43" t="e">
        <f t="shared" si="25"/>
        <v>#N/A</v>
      </c>
      <c r="F166" s="8">
        <f>'Leave Record'!D168</f>
        <v>0</v>
      </c>
      <c r="G166" s="8">
        <f>'Leave Record'!E168</f>
        <v>0</v>
      </c>
      <c r="H166" s="23">
        <f t="shared" si="20"/>
        <v>1</v>
      </c>
      <c r="I166" s="23">
        <f t="shared" si="21"/>
        <v>0</v>
      </c>
      <c r="J166" s="43" t="e">
        <f t="shared" si="26"/>
        <v>#N/A</v>
      </c>
      <c r="K166" s="23">
        <f>'Leave Record'!F168</f>
        <v>0</v>
      </c>
      <c r="Q166">
        <f t="shared" si="22"/>
        <v>0</v>
      </c>
      <c r="R166" s="15" t="e">
        <f t="shared" si="23"/>
        <v>#N/A</v>
      </c>
    </row>
    <row r="167" spans="1:18" x14ac:dyDescent="0.25">
      <c r="A167" s="8">
        <f t="shared" si="24"/>
        <v>1</v>
      </c>
      <c r="B167" s="8">
        <f>IF(K167=$P$15,$M$4,IF(K167=$P$13,'Leave Entry'!$B$4,F167-1))</f>
        <v>-1</v>
      </c>
      <c r="C167" s="23">
        <f t="shared" si="18"/>
        <v>-1</v>
      </c>
      <c r="D167" s="43">
        <f t="shared" si="19"/>
        <v>-9.0909090909090912E-2</v>
      </c>
      <c r="E167" s="43" t="e">
        <f t="shared" si="25"/>
        <v>#N/A</v>
      </c>
      <c r="F167" s="8">
        <f>'Leave Record'!D169</f>
        <v>0</v>
      </c>
      <c r="G167" s="8">
        <f>'Leave Record'!E169</f>
        <v>0</v>
      </c>
      <c r="H167" s="23">
        <f t="shared" si="20"/>
        <v>1</v>
      </c>
      <c r="I167" s="23">
        <f t="shared" si="21"/>
        <v>0</v>
      </c>
      <c r="J167" s="43" t="e">
        <f t="shared" si="26"/>
        <v>#N/A</v>
      </c>
      <c r="K167" s="23">
        <f>'Leave Record'!F169</f>
        <v>0</v>
      </c>
      <c r="Q167">
        <f t="shared" si="22"/>
        <v>0</v>
      </c>
      <c r="R167" s="15" t="e">
        <f t="shared" si="23"/>
        <v>#N/A</v>
      </c>
    </row>
    <row r="168" spans="1:18" x14ac:dyDescent="0.25">
      <c r="A168" s="8">
        <f t="shared" si="24"/>
        <v>1</v>
      </c>
      <c r="B168" s="8">
        <f>IF(K168=$P$15,$M$4,IF(K168=$P$13,'Leave Entry'!$B$4,F168-1))</f>
        <v>-1</v>
      </c>
      <c r="C168" s="23">
        <f t="shared" si="18"/>
        <v>-1</v>
      </c>
      <c r="D168" s="43">
        <f t="shared" si="19"/>
        <v>-9.0909090909090912E-2</v>
      </c>
      <c r="E168" s="43" t="e">
        <f t="shared" si="25"/>
        <v>#N/A</v>
      </c>
      <c r="F168" s="8">
        <f>'Leave Record'!D170</f>
        <v>0</v>
      </c>
      <c r="G168" s="8">
        <f>'Leave Record'!E170</f>
        <v>0</v>
      </c>
      <c r="H168" s="23">
        <f t="shared" si="20"/>
        <v>1</v>
      </c>
      <c r="I168" s="23">
        <f t="shared" si="21"/>
        <v>0</v>
      </c>
      <c r="J168" s="43" t="e">
        <f t="shared" si="26"/>
        <v>#N/A</v>
      </c>
      <c r="K168" s="23">
        <f>'Leave Record'!F170</f>
        <v>0</v>
      </c>
      <c r="Q168">
        <f t="shared" si="22"/>
        <v>0</v>
      </c>
      <c r="R168" s="15" t="e">
        <f t="shared" si="23"/>
        <v>#N/A</v>
      </c>
    </row>
    <row r="169" spans="1:18" x14ac:dyDescent="0.25">
      <c r="A169" s="8">
        <f t="shared" si="24"/>
        <v>1</v>
      </c>
      <c r="B169" s="8">
        <f>IF(K169=$P$15,$M$4,IF(K169=$P$13,'Leave Entry'!$B$4,F169-1))</f>
        <v>-1</v>
      </c>
      <c r="C169" s="23">
        <f t="shared" si="18"/>
        <v>-1</v>
      </c>
      <c r="D169" s="43">
        <f t="shared" si="19"/>
        <v>-9.0909090909090912E-2</v>
      </c>
      <c r="E169" s="43" t="e">
        <f t="shared" si="25"/>
        <v>#N/A</v>
      </c>
      <c r="F169" s="8">
        <f>'Leave Record'!D171</f>
        <v>0</v>
      </c>
      <c r="G169" s="8">
        <f>'Leave Record'!E171</f>
        <v>0</v>
      </c>
      <c r="H169" s="23">
        <f t="shared" si="20"/>
        <v>1</v>
      </c>
      <c r="I169" s="23">
        <f t="shared" si="21"/>
        <v>0</v>
      </c>
      <c r="J169" s="43" t="e">
        <f t="shared" si="26"/>
        <v>#N/A</v>
      </c>
      <c r="K169" s="23">
        <f>'Leave Record'!F171</f>
        <v>0</v>
      </c>
      <c r="Q169">
        <f t="shared" si="22"/>
        <v>0</v>
      </c>
      <c r="R169" s="15" t="e">
        <f t="shared" si="23"/>
        <v>#N/A</v>
      </c>
    </row>
    <row r="170" spans="1:18" x14ac:dyDescent="0.25">
      <c r="A170" s="8">
        <f t="shared" si="24"/>
        <v>1</v>
      </c>
      <c r="B170" s="8">
        <f>IF(K170=$P$15,$M$4,IF(K170=$P$13,'Leave Entry'!$B$4,F170-1))</f>
        <v>-1</v>
      </c>
      <c r="C170" s="23">
        <f t="shared" si="18"/>
        <v>-1</v>
      </c>
      <c r="D170" s="43">
        <f t="shared" si="19"/>
        <v>-9.0909090909090912E-2</v>
      </c>
      <c r="E170" s="43" t="e">
        <f t="shared" si="25"/>
        <v>#N/A</v>
      </c>
      <c r="F170" s="8">
        <f>'Leave Record'!D172</f>
        <v>0</v>
      </c>
      <c r="G170" s="8">
        <f>'Leave Record'!E172</f>
        <v>0</v>
      </c>
      <c r="H170" s="23">
        <f t="shared" si="20"/>
        <v>1</v>
      </c>
      <c r="I170" s="23">
        <f t="shared" si="21"/>
        <v>0</v>
      </c>
      <c r="J170" s="43" t="e">
        <f t="shared" si="26"/>
        <v>#N/A</v>
      </c>
      <c r="K170" s="23">
        <f>'Leave Record'!F172</f>
        <v>0</v>
      </c>
      <c r="Q170">
        <f t="shared" si="22"/>
        <v>0</v>
      </c>
      <c r="R170" s="15" t="e">
        <f t="shared" si="23"/>
        <v>#N/A</v>
      </c>
    </row>
    <row r="171" spans="1:18" x14ac:dyDescent="0.25">
      <c r="A171" s="8">
        <f t="shared" si="24"/>
        <v>1</v>
      </c>
      <c r="B171" s="8">
        <f>IF(K171=$P$15,$M$4,IF(K171=$P$13,'Leave Entry'!$B$4,F171-1))</f>
        <v>-1</v>
      </c>
      <c r="C171" s="23">
        <f t="shared" si="18"/>
        <v>-1</v>
      </c>
      <c r="D171" s="43">
        <f t="shared" si="19"/>
        <v>-9.0909090909090912E-2</v>
      </c>
      <c r="E171" s="43" t="e">
        <f t="shared" si="25"/>
        <v>#N/A</v>
      </c>
      <c r="F171" s="8">
        <f>'Leave Record'!D173</f>
        <v>0</v>
      </c>
      <c r="G171" s="8">
        <f>'Leave Record'!E173</f>
        <v>0</v>
      </c>
      <c r="H171" s="23">
        <f t="shared" si="20"/>
        <v>1</v>
      </c>
      <c r="I171" s="23">
        <f t="shared" si="21"/>
        <v>0</v>
      </c>
      <c r="J171" s="43" t="e">
        <f t="shared" si="26"/>
        <v>#N/A</v>
      </c>
      <c r="K171" s="23">
        <f>'Leave Record'!F173</f>
        <v>0</v>
      </c>
      <c r="Q171">
        <f t="shared" si="22"/>
        <v>0</v>
      </c>
      <c r="R171" s="15" t="e">
        <f t="shared" si="23"/>
        <v>#N/A</v>
      </c>
    </row>
    <row r="172" spans="1:18" x14ac:dyDescent="0.25">
      <c r="A172" s="8">
        <f t="shared" si="24"/>
        <v>1</v>
      </c>
      <c r="B172" s="8">
        <f>IF(K172=$P$15,$M$4,IF(K172=$P$13,'Leave Entry'!$B$4,F172-1))</f>
        <v>-1</v>
      </c>
      <c r="C172" s="23">
        <f t="shared" si="18"/>
        <v>-1</v>
      </c>
      <c r="D172" s="43">
        <f t="shared" si="19"/>
        <v>-9.0909090909090912E-2</v>
      </c>
      <c r="E172" s="43" t="e">
        <f t="shared" si="25"/>
        <v>#N/A</v>
      </c>
      <c r="F172" s="8">
        <f>'Leave Record'!D174</f>
        <v>0</v>
      </c>
      <c r="G172" s="8">
        <f>'Leave Record'!E174</f>
        <v>0</v>
      </c>
      <c r="H172" s="23">
        <f t="shared" si="20"/>
        <v>1</v>
      </c>
      <c r="I172" s="23">
        <f t="shared" si="21"/>
        <v>0</v>
      </c>
      <c r="J172" s="43" t="e">
        <f t="shared" si="26"/>
        <v>#N/A</v>
      </c>
      <c r="K172" s="23">
        <f>'Leave Record'!F174</f>
        <v>0</v>
      </c>
      <c r="Q172">
        <f t="shared" si="22"/>
        <v>0</v>
      </c>
      <c r="R172" s="15" t="e">
        <f t="shared" si="23"/>
        <v>#N/A</v>
      </c>
    </row>
    <row r="173" spans="1:18" x14ac:dyDescent="0.25">
      <c r="A173" s="8">
        <f t="shared" si="24"/>
        <v>1</v>
      </c>
      <c r="B173" s="8">
        <f>IF(K173=$P$15,$M$4,IF(K173=$P$13,'Leave Entry'!$B$4,F173-1))</f>
        <v>-1</v>
      </c>
      <c r="C173" s="23">
        <f t="shared" si="18"/>
        <v>-1</v>
      </c>
      <c r="D173" s="43">
        <f t="shared" si="19"/>
        <v>-9.0909090909090912E-2</v>
      </c>
      <c r="E173" s="43" t="e">
        <f t="shared" si="25"/>
        <v>#N/A</v>
      </c>
      <c r="F173" s="8">
        <f>'Leave Record'!D175</f>
        <v>0</v>
      </c>
      <c r="G173" s="8">
        <f>'Leave Record'!E175</f>
        <v>0</v>
      </c>
      <c r="H173" s="23">
        <f t="shared" si="20"/>
        <v>1</v>
      </c>
      <c r="I173" s="23">
        <f t="shared" si="21"/>
        <v>0</v>
      </c>
      <c r="J173" s="43" t="e">
        <f t="shared" si="26"/>
        <v>#N/A</v>
      </c>
      <c r="K173" s="23">
        <f>'Leave Record'!F175</f>
        <v>0</v>
      </c>
      <c r="Q173">
        <f t="shared" si="22"/>
        <v>0</v>
      </c>
      <c r="R173" s="15" t="e">
        <f t="shared" si="23"/>
        <v>#N/A</v>
      </c>
    </row>
    <row r="174" spans="1:18" x14ac:dyDescent="0.25">
      <c r="A174" s="8">
        <f t="shared" si="24"/>
        <v>1</v>
      </c>
      <c r="B174" s="8">
        <f>IF(K174=$P$15,$M$4,IF(K174=$P$13,'Leave Entry'!$B$4,F174-1))</f>
        <v>-1</v>
      </c>
      <c r="C174" s="23">
        <f t="shared" si="18"/>
        <v>-1</v>
      </c>
      <c r="D174" s="43">
        <f t="shared" si="19"/>
        <v>-9.0909090909090912E-2</v>
      </c>
      <c r="E174" s="43" t="e">
        <f t="shared" si="25"/>
        <v>#N/A</v>
      </c>
      <c r="F174" s="8">
        <f>'Leave Record'!D176</f>
        <v>0</v>
      </c>
      <c r="G174" s="8">
        <f>'Leave Record'!E176</f>
        <v>0</v>
      </c>
      <c r="H174" s="23">
        <f t="shared" si="20"/>
        <v>1</v>
      </c>
      <c r="I174" s="23">
        <f t="shared" si="21"/>
        <v>0</v>
      </c>
      <c r="J174" s="43" t="e">
        <f t="shared" si="26"/>
        <v>#N/A</v>
      </c>
      <c r="K174" s="23">
        <f>'Leave Record'!F176</f>
        <v>0</v>
      </c>
      <c r="Q174">
        <f t="shared" si="22"/>
        <v>0</v>
      </c>
      <c r="R174" s="15" t="e">
        <f t="shared" si="23"/>
        <v>#N/A</v>
      </c>
    </row>
    <row r="175" spans="1:18" x14ac:dyDescent="0.25">
      <c r="A175" s="8">
        <f t="shared" si="24"/>
        <v>1</v>
      </c>
      <c r="B175" s="8">
        <f>IF(K175=$P$15,$M$4,IF(K175=$P$13,'Leave Entry'!$B$4,F175-1))</f>
        <v>-1</v>
      </c>
      <c r="C175" s="23">
        <f t="shared" si="18"/>
        <v>-1</v>
      </c>
      <c r="D175" s="43">
        <f t="shared" si="19"/>
        <v>-9.0909090909090912E-2</v>
      </c>
      <c r="E175" s="43" t="e">
        <f t="shared" si="25"/>
        <v>#N/A</v>
      </c>
      <c r="F175" s="8">
        <f>'Leave Record'!D177</f>
        <v>0</v>
      </c>
      <c r="G175" s="8">
        <f>'Leave Record'!E177</f>
        <v>0</v>
      </c>
      <c r="H175" s="23">
        <f t="shared" si="20"/>
        <v>1</v>
      </c>
      <c r="I175" s="23">
        <f t="shared" si="21"/>
        <v>0</v>
      </c>
      <c r="J175" s="43" t="e">
        <f t="shared" si="26"/>
        <v>#N/A</v>
      </c>
      <c r="K175" s="23">
        <f>'Leave Record'!F177</f>
        <v>0</v>
      </c>
      <c r="Q175">
        <f t="shared" si="22"/>
        <v>0</v>
      </c>
      <c r="R175" s="15" t="e">
        <f t="shared" si="23"/>
        <v>#N/A</v>
      </c>
    </row>
    <row r="176" spans="1:18" x14ac:dyDescent="0.25">
      <c r="A176" s="8">
        <f t="shared" si="24"/>
        <v>1</v>
      </c>
      <c r="B176" s="8">
        <f>IF(K176=$P$15,$M$4,IF(K176=$P$13,'Leave Entry'!$B$4,F176-1))</f>
        <v>-1</v>
      </c>
      <c r="C176" s="23">
        <f t="shared" si="18"/>
        <v>-1</v>
      </c>
      <c r="D176" s="43">
        <f t="shared" si="19"/>
        <v>-9.0909090909090912E-2</v>
      </c>
      <c r="E176" s="43" t="e">
        <f t="shared" si="25"/>
        <v>#N/A</v>
      </c>
      <c r="F176" s="8">
        <f>'Leave Record'!D178</f>
        <v>0</v>
      </c>
      <c r="G176" s="8">
        <f>'Leave Record'!E178</f>
        <v>0</v>
      </c>
      <c r="H176" s="23">
        <f t="shared" si="20"/>
        <v>1</v>
      </c>
      <c r="I176" s="23">
        <f t="shared" si="21"/>
        <v>0</v>
      </c>
      <c r="J176" s="43" t="e">
        <f t="shared" si="26"/>
        <v>#N/A</v>
      </c>
      <c r="K176" s="23">
        <f>'Leave Record'!F178</f>
        <v>0</v>
      </c>
      <c r="Q176">
        <f t="shared" si="22"/>
        <v>0</v>
      </c>
      <c r="R176" s="15" t="e">
        <f t="shared" si="23"/>
        <v>#N/A</v>
      </c>
    </row>
    <row r="177" spans="1:18" x14ac:dyDescent="0.25">
      <c r="A177" s="8">
        <f t="shared" si="24"/>
        <v>1</v>
      </c>
      <c r="B177" s="8">
        <f>IF(K177=$P$15,$M$4,IF(K177=$P$13,'Leave Entry'!$B$4,F177-1))</f>
        <v>-1</v>
      </c>
      <c r="C177" s="23">
        <f t="shared" si="18"/>
        <v>-1</v>
      </c>
      <c r="D177" s="43">
        <f t="shared" si="19"/>
        <v>-9.0909090909090912E-2</v>
      </c>
      <c r="E177" s="43" t="e">
        <f t="shared" si="25"/>
        <v>#N/A</v>
      </c>
      <c r="F177" s="8">
        <f>'Leave Record'!D179</f>
        <v>0</v>
      </c>
      <c r="G177" s="8">
        <f>'Leave Record'!E179</f>
        <v>0</v>
      </c>
      <c r="H177" s="23">
        <f t="shared" si="20"/>
        <v>1</v>
      </c>
      <c r="I177" s="23">
        <f t="shared" si="21"/>
        <v>0</v>
      </c>
      <c r="J177" s="43" t="e">
        <f t="shared" si="26"/>
        <v>#N/A</v>
      </c>
      <c r="K177" s="23">
        <f>'Leave Record'!F179</f>
        <v>0</v>
      </c>
      <c r="Q177">
        <f t="shared" si="22"/>
        <v>0</v>
      </c>
      <c r="R177" s="15" t="e">
        <f t="shared" si="23"/>
        <v>#N/A</v>
      </c>
    </row>
    <row r="178" spans="1:18" x14ac:dyDescent="0.25">
      <c r="A178" s="8">
        <f t="shared" si="24"/>
        <v>1</v>
      </c>
      <c r="B178" s="8">
        <f>IF(K178=$P$15,$M$4,IF(K178=$P$13,'Leave Entry'!$B$4,F178-1))</f>
        <v>-1</v>
      </c>
      <c r="C178" s="23">
        <f t="shared" si="18"/>
        <v>-1</v>
      </c>
      <c r="D178" s="43">
        <f t="shared" si="19"/>
        <v>-9.0909090909090912E-2</v>
      </c>
      <c r="E178" s="43" t="e">
        <f t="shared" si="25"/>
        <v>#N/A</v>
      </c>
      <c r="F178" s="8">
        <f>'Leave Record'!D180</f>
        <v>0</v>
      </c>
      <c r="G178" s="8">
        <f>'Leave Record'!E180</f>
        <v>0</v>
      </c>
      <c r="H178" s="23">
        <f t="shared" si="20"/>
        <v>1</v>
      </c>
      <c r="I178" s="23">
        <f t="shared" si="21"/>
        <v>0</v>
      </c>
      <c r="J178" s="43" t="e">
        <f t="shared" si="26"/>
        <v>#N/A</v>
      </c>
      <c r="K178" s="23">
        <f>'Leave Record'!F180</f>
        <v>0</v>
      </c>
      <c r="Q178">
        <f t="shared" si="22"/>
        <v>0</v>
      </c>
      <c r="R178" s="15" t="e">
        <f t="shared" si="23"/>
        <v>#N/A</v>
      </c>
    </row>
    <row r="179" spans="1:18" x14ac:dyDescent="0.25">
      <c r="A179" s="8">
        <f t="shared" si="24"/>
        <v>1</v>
      </c>
      <c r="B179" s="8">
        <f>IF(K179=$P$15,$M$4,IF(K179=$P$13,'Leave Entry'!$B$4,F179-1))</f>
        <v>-1</v>
      </c>
      <c r="C179" s="23">
        <f t="shared" si="18"/>
        <v>-1</v>
      </c>
      <c r="D179" s="43">
        <f t="shared" si="19"/>
        <v>-9.0909090909090912E-2</v>
      </c>
      <c r="E179" s="43" t="e">
        <f t="shared" si="25"/>
        <v>#N/A</v>
      </c>
      <c r="F179" s="8">
        <f>'Leave Record'!D181</f>
        <v>0</v>
      </c>
      <c r="G179" s="8">
        <f>'Leave Record'!E181</f>
        <v>0</v>
      </c>
      <c r="H179" s="23">
        <f t="shared" si="20"/>
        <v>1</v>
      </c>
      <c r="I179" s="23">
        <f t="shared" si="21"/>
        <v>0</v>
      </c>
      <c r="J179" s="43" t="e">
        <f t="shared" si="26"/>
        <v>#N/A</v>
      </c>
      <c r="K179" s="23">
        <f>'Leave Record'!F181</f>
        <v>0</v>
      </c>
      <c r="Q179">
        <f t="shared" si="22"/>
        <v>0</v>
      </c>
      <c r="R179" s="15" t="e">
        <f t="shared" si="23"/>
        <v>#N/A</v>
      </c>
    </row>
    <row r="180" spans="1:18" x14ac:dyDescent="0.25">
      <c r="A180" s="8">
        <f t="shared" si="24"/>
        <v>1</v>
      </c>
      <c r="B180" s="8">
        <f>IF(K180=$P$15,$M$4,IF(K180=$P$13,'Leave Entry'!$B$4,F180-1))</f>
        <v>-1</v>
      </c>
      <c r="C180" s="23">
        <f t="shared" si="18"/>
        <v>-1</v>
      </c>
      <c r="D180" s="43">
        <f t="shared" si="19"/>
        <v>-9.0909090909090912E-2</v>
      </c>
      <c r="E180" s="43" t="e">
        <f t="shared" si="25"/>
        <v>#N/A</v>
      </c>
      <c r="F180" s="8">
        <f>'Leave Record'!D182</f>
        <v>0</v>
      </c>
      <c r="G180" s="8">
        <f>'Leave Record'!E182</f>
        <v>0</v>
      </c>
      <c r="H180" s="23">
        <f t="shared" si="20"/>
        <v>1</v>
      </c>
      <c r="I180" s="23">
        <f t="shared" si="21"/>
        <v>0</v>
      </c>
      <c r="J180" s="43" t="e">
        <f t="shared" si="26"/>
        <v>#N/A</v>
      </c>
      <c r="K180" s="23">
        <f>'Leave Record'!F182</f>
        <v>0</v>
      </c>
      <c r="Q180">
        <f t="shared" si="22"/>
        <v>0</v>
      </c>
      <c r="R180" s="15" t="e">
        <f t="shared" si="23"/>
        <v>#N/A</v>
      </c>
    </row>
    <row r="181" spans="1:18" x14ac:dyDescent="0.25">
      <c r="A181" s="8">
        <f t="shared" si="24"/>
        <v>1</v>
      </c>
      <c r="B181" s="8">
        <f>IF(K181=$P$15,$M$4,IF(K181=$P$13,'Leave Entry'!$B$4,F181-1))</f>
        <v>-1</v>
      </c>
      <c r="C181" s="23">
        <f t="shared" si="18"/>
        <v>-1</v>
      </c>
      <c r="D181" s="43">
        <f t="shared" si="19"/>
        <v>-9.0909090909090912E-2</v>
      </c>
      <c r="E181" s="43" t="e">
        <f t="shared" si="25"/>
        <v>#N/A</v>
      </c>
      <c r="F181" s="8">
        <f>'Leave Record'!D183</f>
        <v>0</v>
      </c>
      <c r="G181" s="8">
        <f>'Leave Record'!E183</f>
        <v>0</v>
      </c>
      <c r="H181" s="23">
        <f t="shared" si="20"/>
        <v>1</v>
      </c>
      <c r="I181" s="23">
        <f t="shared" si="21"/>
        <v>0</v>
      </c>
      <c r="J181" s="43" t="e">
        <f t="shared" si="26"/>
        <v>#N/A</v>
      </c>
      <c r="K181" s="23">
        <f>'Leave Record'!F183</f>
        <v>0</v>
      </c>
      <c r="Q181">
        <f t="shared" si="22"/>
        <v>0</v>
      </c>
      <c r="R181" s="15" t="e">
        <f t="shared" si="23"/>
        <v>#N/A</v>
      </c>
    </row>
    <row r="182" spans="1:18" x14ac:dyDescent="0.25">
      <c r="A182" s="8">
        <f t="shared" si="24"/>
        <v>1</v>
      </c>
      <c r="B182" s="8">
        <f>IF(K182=$P$15,$M$4,IF(K182=$P$13,'Leave Entry'!$B$4,F182-1))</f>
        <v>-1</v>
      </c>
      <c r="C182" s="23">
        <f t="shared" si="18"/>
        <v>-1</v>
      </c>
      <c r="D182" s="43">
        <f t="shared" si="19"/>
        <v>-9.0909090909090912E-2</v>
      </c>
      <c r="E182" s="43" t="e">
        <f t="shared" si="25"/>
        <v>#N/A</v>
      </c>
      <c r="F182" s="8">
        <f>'Leave Record'!D184</f>
        <v>0</v>
      </c>
      <c r="G182" s="8">
        <f>'Leave Record'!E184</f>
        <v>0</v>
      </c>
      <c r="H182" s="23">
        <f t="shared" si="20"/>
        <v>1</v>
      </c>
      <c r="I182" s="23">
        <f t="shared" si="21"/>
        <v>0</v>
      </c>
      <c r="J182" s="43" t="e">
        <f t="shared" si="26"/>
        <v>#N/A</v>
      </c>
      <c r="K182" s="23">
        <f>'Leave Record'!F184</f>
        <v>0</v>
      </c>
      <c r="Q182">
        <f t="shared" si="22"/>
        <v>0</v>
      </c>
      <c r="R182" s="15" t="e">
        <f t="shared" si="23"/>
        <v>#N/A</v>
      </c>
    </row>
    <row r="183" spans="1:18" x14ac:dyDescent="0.25">
      <c r="A183" s="8">
        <f t="shared" si="24"/>
        <v>1</v>
      </c>
      <c r="B183" s="8">
        <f>IF(K183=$P$15,$M$4,IF(K183=$P$13,'Leave Entry'!$B$4,F183-1))</f>
        <v>-1</v>
      </c>
      <c r="C183" s="23">
        <f t="shared" si="18"/>
        <v>-1</v>
      </c>
      <c r="D183" s="43">
        <f t="shared" si="19"/>
        <v>-9.0909090909090912E-2</v>
      </c>
      <c r="E183" s="43" t="e">
        <f t="shared" si="25"/>
        <v>#N/A</v>
      </c>
      <c r="F183" s="8">
        <f>'Leave Record'!D185</f>
        <v>0</v>
      </c>
      <c r="G183" s="8">
        <f>'Leave Record'!E185</f>
        <v>0</v>
      </c>
      <c r="H183" s="23">
        <f t="shared" si="20"/>
        <v>1</v>
      </c>
      <c r="I183" s="23">
        <f t="shared" si="21"/>
        <v>0</v>
      </c>
      <c r="J183" s="43" t="e">
        <f t="shared" si="26"/>
        <v>#N/A</v>
      </c>
      <c r="K183" s="23">
        <f>'Leave Record'!F185</f>
        <v>0</v>
      </c>
      <c r="Q183">
        <f t="shared" si="22"/>
        <v>0</v>
      </c>
      <c r="R183" s="15" t="e">
        <f t="shared" si="23"/>
        <v>#N/A</v>
      </c>
    </row>
    <row r="184" spans="1:18" x14ac:dyDescent="0.25">
      <c r="A184" s="8">
        <f t="shared" si="24"/>
        <v>1</v>
      </c>
      <c r="B184" s="8">
        <f>IF(K184=$P$15,$M$4,IF(K184=$P$13,'Leave Entry'!$B$4,F184-1))</f>
        <v>-1</v>
      </c>
      <c r="C184" s="23">
        <f t="shared" si="18"/>
        <v>-1</v>
      </c>
      <c r="D184" s="43">
        <f t="shared" si="19"/>
        <v>-9.0909090909090912E-2</v>
      </c>
      <c r="E184" s="43" t="e">
        <f t="shared" si="25"/>
        <v>#N/A</v>
      </c>
      <c r="F184" s="8">
        <f>'Leave Record'!D186</f>
        <v>0</v>
      </c>
      <c r="G184" s="8">
        <f>'Leave Record'!E186</f>
        <v>0</v>
      </c>
      <c r="H184" s="23">
        <f t="shared" si="20"/>
        <v>1</v>
      </c>
      <c r="I184" s="23">
        <f t="shared" si="21"/>
        <v>0</v>
      </c>
      <c r="J184" s="43" t="e">
        <f t="shared" si="26"/>
        <v>#N/A</v>
      </c>
      <c r="K184" s="23">
        <f>'Leave Record'!F186</f>
        <v>0</v>
      </c>
      <c r="Q184">
        <f t="shared" si="22"/>
        <v>0</v>
      </c>
      <c r="R184" s="15" t="e">
        <f t="shared" si="23"/>
        <v>#N/A</v>
      </c>
    </row>
    <row r="185" spans="1:18" x14ac:dyDescent="0.25">
      <c r="A185" s="8">
        <f t="shared" si="24"/>
        <v>1</v>
      </c>
      <c r="B185" s="8">
        <f>IF(K185=$P$15,$M$4,IF(K185=$P$13,'Leave Entry'!$B$4,F185-1))</f>
        <v>-1</v>
      </c>
      <c r="C185" s="23">
        <f t="shared" si="18"/>
        <v>-1</v>
      </c>
      <c r="D185" s="43">
        <f t="shared" si="19"/>
        <v>-9.0909090909090912E-2</v>
      </c>
      <c r="E185" s="43" t="e">
        <f t="shared" si="25"/>
        <v>#N/A</v>
      </c>
      <c r="F185" s="8">
        <f>'Leave Record'!D187</f>
        <v>0</v>
      </c>
      <c r="G185" s="8">
        <f>'Leave Record'!E187</f>
        <v>0</v>
      </c>
      <c r="H185" s="23">
        <f t="shared" si="20"/>
        <v>1</v>
      </c>
      <c r="I185" s="23">
        <f t="shared" si="21"/>
        <v>0</v>
      </c>
      <c r="J185" s="43" t="e">
        <f t="shared" si="26"/>
        <v>#N/A</v>
      </c>
      <c r="K185" s="23">
        <f>'Leave Record'!F187</f>
        <v>0</v>
      </c>
      <c r="Q185">
        <f t="shared" si="22"/>
        <v>0</v>
      </c>
      <c r="R185" s="15" t="e">
        <f t="shared" si="23"/>
        <v>#N/A</v>
      </c>
    </row>
    <row r="186" spans="1:18" x14ac:dyDescent="0.25">
      <c r="A186" s="8">
        <f t="shared" si="24"/>
        <v>1</v>
      </c>
      <c r="B186" s="8">
        <f>IF(K186=$P$15,$M$4,IF(K186=$P$13,'Leave Entry'!$B$4,F186-1))</f>
        <v>-1</v>
      </c>
      <c r="C186" s="23">
        <f t="shared" si="18"/>
        <v>-1</v>
      </c>
      <c r="D186" s="43">
        <f t="shared" si="19"/>
        <v>-9.0909090909090912E-2</v>
      </c>
      <c r="E186" s="43" t="e">
        <f t="shared" si="25"/>
        <v>#N/A</v>
      </c>
      <c r="F186" s="8">
        <f>'Leave Record'!D188</f>
        <v>0</v>
      </c>
      <c r="G186" s="8">
        <f>'Leave Record'!E188</f>
        <v>0</v>
      </c>
      <c r="H186" s="23">
        <f t="shared" si="20"/>
        <v>1</v>
      </c>
      <c r="I186" s="23">
        <f t="shared" si="21"/>
        <v>0</v>
      </c>
      <c r="J186" s="43" t="e">
        <f t="shared" si="26"/>
        <v>#N/A</v>
      </c>
      <c r="K186" s="23">
        <f>'Leave Record'!F188</f>
        <v>0</v>
      </c>
      <c r="Q186">
        <f t="shared" si="22"/>
        <v>0</v>
      </c>
      <c r="R186" s="15" t="e">
        <f t="shared" si="23"/>
        <v>#N/A</v>
      </c>
    </row>
    <row r="187" spans="1:18" x14ac:dyDescent="0.25">
      <c r="A187" s="8">
        <f t="shared" si="24"/>
        <v>1</v>
      </c>
      <c r="B187" s="8">
        <f>IF(K187=$P$15,$M$4,IF(K187=$P$13,'Leave Entry'!$B$4,F187-1))</f>
        <v>-1</v>
      </c>
      <c r="C187" s="23">
        <f t="shared" si="18"/>
        <v>-1</v>
      </c>
      <c r="D187" s="43">
        <f t="shared" si="19"/>
        <v>-9.0909090909090912E-2</v>
      </c>
      <c r="E187" s="43" t="e">
        <f t="shared" si="25"/>
        <v>#N/A</v>
      </c>
      <c r="F187" s="8">
        <f>'Leave Record'!D189</f>
        <v>0</v>
      </c>
      <c r="G187" s="8">
        <f>'Leave Record'!E189</f>
        <v>0</v>
      </c>
      <c r="H187" s="23">
        <f t="shared" si="20"/>
        <v>1</v>
      </c>
      <c r="I187" s="23">
        <f t="shared" si="21"/>
        <v>0</v>
      </c>
      <c r="J187" s="43" t="e">
        <f t="shared" si="26"/>
        <v>#N/A</v>
      </c>
      <c r="K187" s="23">
        <f>'Leave Record'!F189</f>
        <v>0</v>
      </c>
      <c r="Q187">
        <f t="shared" si="22"/>
        <v>0</v>
      </c>
      <c r="R187" s="15" t="e">
        <f t="shared" si="23"/>
        <v>#N/A</v>
      </c>
    </row>
    <row r="188" spans="1:18" x14ac:dyDescent="0.25">
      <c r="A188" s="8">
        <f t="shared" si="24"/>
        <v>1</v>
      </c>
      <c r="B188" s="8">
        <f>IF(K188=$P$15,$M$4,IF(K188=$P$13,'Leave Entry'!$B$4,F188-1))</f>
        <v>-1</v>
      </c>
      <c r="C188" s="23">
        <f t="shared" si="18"/>
        <v>-1</v>
      </c>
      <c r="D188" s="43">
        <f t="shared" si="19"/>
        <v>-9.0909090909090912E-2</v>
      </c>
      <c r="E188" s="43" t="e">
        <f t="shared" si="25"/>
        <v>#N/A</v>
      </c>
      <c r="F188" s="8">
        <f>'Leave Record'!D190</f>
        <v>0</v>
      </c>
      <c r="G188" s="8">
        <f>'Leave Record'!E190</f>
        <v>0</v>
      </c>
      <c r="H188" s="23">
        <f t="shared" si="20"/>
        <v>1</v>
      </c>
      <c r="I188" s="23">
        <f t="shared" si="21"/>
        <v>0</v>
      </c>
      <c r="J188" s="43" t="e">
        <f t="shared" si="26"/>
        <v>#N/A</v>
      </c>
      <c r="K188" s="23">
        <f>'Leave Record'!F190</f>
        <v>0</v>
      </c>
      <c r="Q188">
        <f t="shared" si="22"/>
        <v>0</v>
      </c>
      <c r="R188" s="15" t="e">
        <f t="shared" si="23"/>
        <v>#N/A</v>
      </c>
    </row>
    <row r="189" spans="1:18" x14ac:dyDescent="0.25">
      <c r="A189" s="8">
        <f t="shared" si="24"/>
        <v>1</v>
      </c>
      <c r="B189" s="8">
        <f>IF(K189=$P$15,$M$4,IF(K189=$P$13,'Leave Entry'!$B$4,F189-1))</f>
        <v>-1</v>
      </c>
      <c r="C189" s="23">
        <f t="shared" si="18"/>
        <v>-1</v>
      </c>
      <c r="D189" s="43">
        <f t="shared" si="19"/>
        <v>-9.0909090909090912E-2</v>
      </c>
      <c r="E189" s="43" t="e">
        <f t="shared" si="25"/>
        <v>#N/A</v>
      </c>
      <c r="F189" s="8">
        <f>'Leave Record'!D191</f>
        <v>0</v>
      </c>
      <c r="G189" s="8">
        <f>'Leave Record'!E191</f>
        <v>0</v>
      </c>
      <c r="H189" s="23">
        <f t="shared" si="20"/>
        <v>1</v>
      </c>
      <c r="I189" s="23">
        <f t="shared" si="21"/>
        <v>0</v>
      </c>
      <c r="J189" s="43" t="e">
        <f t="shared" si="26"/>
        <v>#N/A</v>
      </c>
      <c r="K189" s="23">
        <f>'Leave Record'!F191</f>
        <v>0</v>
      </c>
      <c r="Q189">
        <f t="shared" si="22"/>
        <v>0</v>
      </c>
      <c r="R189" s="15" t="e">
        <f t="shared" si="23"/>
        <v>#N/A</v>
      </c>
    </row>
    <row r="190" spans="1:18" x14ac:dyDescent="0.25">
      <c r="A190" s="8">
        <f t="shared" si="24"/>
        <v>1</v>
      </c>
      <c r="B190" s="8">
        <f>IF(K190=$P$15,$M$4,IF(K190=$P$13,'Leave Entry'!$B$4,F190-1))</f>
        <v>-1</v>
      </c>
      <c r="C190" s="23">
        <f t="shared" si="18"/>
        <v>-1</v>
      </c>
      <c r="D190" s="43">
        <f t="shared" si="19"/>
        <v>-9.0909090909090912E-2</v>
      </c>
      <c r="E190" s="43" t="e">
        <f t="shared" si="25"/>
        <v>#N/A</v>
      </c>
      <c r="F190" s="8">
        <f>'Leave Record'!D192</f>
        <v>0</v>
      </c>
      <c r="G190" s="8">
        <f>'Leave Record'!E192</f>
        <v>0</v>
      </c>
      <c r="H190" s="23">
        <f t="shared" si="20"/>
        <v>1</v>
      </c>
      <c r="I190" s="23">
        <f t="shared" si="21"/>
        <v>0</v>
      </c>
      <c r="J190" s="43" t="e">
        <f t="shared" si="26"/>
        <v>#N/A</v>
      </c>
      <c r="K190" s="23">
        <f>'Leave Record'!F192</f>
        <v>0</v>
      </c>
      <c r="Q190">
        <f t="shared" si="22"/>
        <v>0</v>
      </c>
      <c r="R190" s="15" t="e">
        <f t="shared" si="23"/>
        <v>#N/A</v>
      </c>
    </row>
    <row r="191" spans="1:18" x14ac:dyDescent="0.25">
      <c r="A191" s="8">
        <f t="shared" si="24"/>
        <v>1</v>
      </c>
      <c r="B191" s="8">
        <f>IF(K191=$P$15,$M$4,IF(K191=$P$13,'Leave Entry'!$B$4,F191-1))</f>
        <v>-1</v>
      </c>
      <c r="C191" s="23">
        <f t="shared" si="18"/>
        <v>-1</v>
      </c>
      <c r="D191" s="43">
        <f t="shared" si="19"/>
        <v>-9.0909090909090912E-2</v>
      </c>
      <c r="E191" s="43" t="e">
        <f t="shared" si="25"/>
        <v>#N/A</v>
      </c>
      <c r="F191" s="8">
        <f>'Leave Record'!D193</f>
        <v>0</v>
      </c>
      <c r="G191" s="8">
        <f>'Leave Record'!E193</f>
        <v>0</v>
      </c>
      <c r="H191" s="23">
        <f t="shared" si="20"/>
        <v>1</v>
      </c>
      <c r="I191" s="23">
        <f t="shared" si="21"/>
        <v>0</v>
      </c>
      <c r="J191" s="43" t="e">
        <f t="shared" si="26"/>
        <v>#N/A</v>
      </c>
      <c r="K191" s="23">
        <f>'Leave Record'!F193</f>
        <v>0</v>
      </c>
      <c r="Q191">
        <f t="shared" si="22"/>
        <v>0</v>
      </c>
      <c r="R191" s="15" t="e">
        <f t="shared" si="23"/>
        <v>#N/A</v>
      </c>
    </row>
    <row r="192" spans="1:18" x14ac:dyDescent="0.25">
      <c r="A192" s="8">
        <f t="shared" si="24"/>
        <v>1</v>
      </c>
      <c r="B192" s="8">
        <f>IF(K192=$P$15,$M$4,IF(K192=$P$13,'Leave Entry'!$B$4,F192-1))</f>
        <v>-1</v>
      </c>
      <c r="C192" s="23">
        <f t="shared" si="18"/>
        <v>-1</v>
      </c>
      <c r="D192" s="43">
        <f t="shared" si="19"/>
        <v>-9.0909090909090912E-2</v>
      </c>
      <c r="E192" s="43" t="e">
        <f t="shared" si="25"/>
        <v>#N/A</v>
      </c>
      <c r="F192" s="8">
        <f>'Leave Record'!D194</f>
        <v>0</v>
      </c>
      <c r="G192" s="8">
        <f>'Leave Record'!E194</f>
        <v>0</v>
      </c>
      <c r="H192" s="23">
        <f t="shared" si="20"/>
        <v>1</v>
      </c>
      <c r="I192" s="23">
        <f t="shared" si="21"/>
        <v>0</v>
      </c>
      <c r="J192" s="43" t="e">
        <f t="shared" si="26"/>
        <v>#N/A</v>
      </c>
      <c r="K192" s="23">
        <f>'Leave Record'!F194</f>
        <v>0</v>
      </c>
      <c r="Q192">
        <f t="shared" si="22"/>
        <v>0</v>
      </c>
      <c r="R192" s="15" t="e">
        <f t="shared" si="23"/>
        <v>#N/A</v>
      </c>
    </row>
    <row r="193" spans="1:18" x14ac:dyDescent="0.25">
      <c r="A193" s="8">
        <f t="shared" si="24"/>
        <v>1</v>
      </c>
      <c r="B193" s="8">
        <f>IF(K193=$P$15,$M$4,IF(K193=$P$13,'Leave Entry'!$B$4,F193-1))</f>
        <v>-1</v>
      </c>
      <c r="C193" s="23">
        <f t="shared" si="18"/>
        <v>-1</v>
      </c>
      <c r="D193" s="43">
        <f t="shared" si="19"/>
        <v>-9.0909090909090912E-2</v>
      </c>
      <c r="E193" s="43" t="e">
        <f t="shared" si="25"/>
        <v>#N/A</v>
      </c>
      <c r="F193" s="8">
        <f>'Leave Record'!D195</f>
        <v>0</v>
      </c>
      <c r="G193" s="8">
        <f>'Leave Record'!E195</f>
        <v>0</v>
      </c>
      <c r="H193" s="23">
        <f t="shared" si="20"/>
        <v>1</v>
      </c>
      <c r="I193" s="23">
        <f t="shared" si="21"/>
        <v>0</v>
      </c>
      <c r="J193" s="43" t="e">
        <f t="shared" si="26"/>
        <v>#N/A</v>
      </c>
      <c r="K193" s="23">
        <f>'Leave Record'!F195</f>
        <v>0</v>
      </c>
      <c r="Q193">
        <f t="shared" si="22"/>
        <v>0</v>
      </c>
      <c r="R193" s="15" t="e">
        <f t="shared" si="23"/>
        <v>#N/A</v>
      </c>
    </row>
    <row r="194" spans="1:18" x14ac:dyDescent="0.25">
      <c r="A194" s="8">
        <f t="shared" si="24"/>
        <v>1</v>
      </c>
      <c r="B194" s="8">
        <f>IF(K194=$P$15,$M$4,IF(K194=$P$13,'Leave Entry'!$B$4,F194-1))</f>
        <v>-1</v>
      </c>
      <c r="C194" s="23">
        <f t="shared" si="18"/>
        <v>-1</v>
      </c>
      <c r="D194" s="43">
        <f t="shared" si="19"/>
        <v>-9.0909090909090912E-2</v>
      </c>
      <c r="E194" s="43" t="e">
        <f t="shared" si="25"/>
        <v>#N/A</v>
      </c>
      <c r="F194" s="8">
        <f>'Leave Record'!D196</f>
        <v>0</v>
      </c>
      <c r="G194" s="8">
        <f>'Leave Record'!E196</f>
        <v>0</v>
      </c>
      <c r="H194" s="23">
        <f t="shared" si="20"/>
        <v>1</v>
      </c>
      <c r="I194" s="23">
        <f t="shared" si="21"/>
        <v>0</v>
      </c>
      <c r="J194" s="43" t="e">
        <f t="shared" si="26"/>
        <v>#N/A</v>
      </c>
      <c r="K194" s="23">
        <f>'Leave Record'!F196</f>
        <v>0</v>
      </c>
      <c r="Q194">
        <f t="shared" si="22"/>
        <v>0</v>
      </c>
      <c r="R194" s="15" t="e">
        <f t="shared" si="23"/>
        <v>#N/A</v>
      </c>
    </row>
    <row r="195" spans="1:18" x14ac:dyDescent="0.25">
      <c r="A195" s="8">
        <f t="shared" si="24"/>
        <v>1</v>
      </c>
      <c r="B195" s="8">
        <f>IF(K195=$P$15,$M$4,IF(K195=$P$13,'Leave Entry'!$B$4,F195-1))</f>
        <v>-1</v>
      </c>
      <c r="C195" s="23">
        <f t="shared" si="18"/>
        <v>-1</v>
      </c>
      <c r="D195" s="43">
        <f t="shared" si="19"/>
        <v>-9.0909090909090912E-2</v>
      </c>
      <c r="E195" s="43" t="e">
        <f t="shared" si="25"/>
        <v>#N/A</v>
      </c>
      <c r="F195" s="8">
        <f>'Leave Record'!D197</f>
        <v>0</v>
      </c>
      <c r="G195" s="8">
        <f>'Leave Record'!E197</f>
        <v>0</v>
      </c>
      <c r="H195" s="23">
        <f t="shared" si="20"/>
        <v>1</v>
      </c>
      <c r="I195" s="23">
        <f t="shared" si="21"/>
        <v>0</v>
      </c>
      <c r="J195" s="43" t="e">
        <f t="shared" si="26"/>
        <v>#N/A</v>
      </c>
      <c r="K195" s="23">
        <f>'Leave Record'!F197</f>
        <v>0</v>
      </c>
      <c r="Q195">
        <f t="shared" si="22"/>
        <v>0</v>
      </c>
      <c r="R195" s="15" t="e">
        <f t="shared" si="23"/>
        <v>#N/A</v>
      </c>
    </row>
    <row r="196" spans="1:18" x14ac:dyDescent="0.25">
      <c r="A196" s="8">
        <f t="shared" si="24"/>
        <v>1</v>
      </c>
      <c r="B196" s="8">
        <f>IF(K196=$P$15,$M$4,IF(K196=$P$13,'Leave Entry'!$B$4,F196-1))</f>
        <v>-1</v>
      </c>
      <c r="C196" s="23">
        <f t="shared" si="18"/>
        <v>-1</v>
      </c>
      <c r="D196" s="43">
        <f t="shared" si="19"/>
        <v>-9.0909090909090912E-2</v>
      </c>
      <c r="E196" s="43" t="e">
        <f t="shared" si="25"/>
        <v>#N/A</v>
      </c>
      <c r="F196" s="8">
        <f>'Leave Record'!D198</f>
        <v>0</v>
      </c>
      <c r="G196" s="8">
        <f>'Leave Record'!E198</f>
        <v>0</v>
      </c>
      <c r="H196" s="23">
        <f t="shared" si="20"/>
        <v>1</v>
      </c>
      <c r="I196" s="23">
        <f t="shared" si="21"/>
        <v>0</v>
      </c>
      <c r="J196" s="43" t="e">
        <f t="shared" si="26"/>
        <v>#N/A</v>
      </c>
      <c r="K196" s="23">
        <f>'Leave Record'!F198</f>
        <v>0</v>
      </c>
      <c r="Q196">
        <f t="shared" si="22"/>
        <v>0</v>
      </c>
      <c r="R196" s="15" t="e">
        <f t="shared" si="23"/>
        <v>#N/A</v>
      </c>
    </row>
    <row r="197" spans="1:18" x14ac:dyDescent="0.25">
      <c r="A197" s="8">
        <f t="shared" si="24"/>
        <v>1</v>
      </c>
      <c r="B197" s="8">
        <f>IF(K197=$P$15,$M$4,IF(K197=$P$13,'Leave Entry'!$B$4,F197-1))</f>
        <v>-1</v>
      </c>
      <c r="C197" s="23">
        <f t="shared" si="18"/>
        <v>-1</v>
      </c>
      <c r="D197" s="43">
        <f t="shared" si="19"/>
        <v>-9.0909090909090912E-2</v>
      </c>
      <c r="E197" s="43" t="e">
        <f t="shared" si="25"/>
        <v>#N/A</v>
      </c>
      <c r="F197" s="8">
        <f>'Leave Record'!D199</f>
        <v>0</v>
      </c>
      <c r="G197" s="8">
        <f>'Leave Record'!E199</f>
        <v>0</v>
      </c>
      <c r="H197" s="23">
        <f t="shared" si="20"/>
        <v>1</v>
      </c>
      <c r="I197" s="23">
        <f t="shared" si="21"/>
        <v>0</v>
      </c>
      <c r="J197" s="43" t="e">
        <f t="shared" si="26"/>
        <v>#N/A</v>
      </c>
      <c r="K197" s="23">
        <f>'Leave Record'!F199</f>
        <v>0</v>
      </c>
      <c r="Q197">
        <f t="shared" si="22"/>
        <v>0</v>
      </c>
      <c r="R197" s="15" t="e">
        <f t="shared" si="23"/>
        <v>#N/A</v>
      </c>
    </row>
    <row r="198" spans="1:18" x14ac:dyDescent="0.25">
      <c r="A198" s="8">
        <f t="shared" si="24"/>
        <v>1</v>
      </c>
      <c r="B198" s="8">
        <f>IF(K198=$P$15,$M$4,IF(K198=$P$13,'Leave Entry'!$B$4,F198-1))</f>
        <v>-1</v>
      </c>
      <c r="C198" s="23">
        <f t="shared" ref="C198:C261" si="27">B198-A198+1</f>
        <v>-1</v>
      </c>
      <c r="D198" s="43">
        <f t="shared" ref="D198:D261" si="28">C198/11</f>
        <v>-9.0909090909090912E-2</v>
      </c>
      <c r="E198" s="43" t="e">
        <f t="shared" si="25"/>
        <v>#N/A</v>
      </c>
      <c r="F198" s="8">
        <f>'Leave Record'!D200</f>
        <v>0</v>
      </c>
      <c r="G198" s="8">
        <f>'Leave Record'!E200</f>
        <v>0</v>
      </c>
      <c r="H198" s="23">
        <f t="shared" ref="H198:H261" si="29">G198-F198+1</f>
        <v>1</v>
      </c>
      <c r="I198" s="23">
        <f>IF(K198=$P$14,H198,0)</f>
        <v>0</v>
      </c>
      <c r="J198" s="43" t="e">
        <f t="shared" si="26"/>
        <v>#N/A</v>
      </c>
      <c r="K198" s="23">
        <f>'Leave Record'!F200</f>
        <v>0</v>
      </c>
      <c r="Q198">
        <f>K198</f>
        <v>0</v>
      </c>
      <c r="R198" s="15" t="e">
        <f>J198</f>
        <v>#N/A</v>
      </c>
    </row>
    <row r="199" spans="1:18" x14ac:dyDescent="0.25">
      <c r="A199" s="8">
        <f>G198+1</f>
        <v>1</v>
      </c>
      <c r="B199" s="8">
        <f>IF(K199=$P$15,$M$4,IF(K199=$P$13,'Leave Entry'!$B$4,F199-1))</f>
        <v>-1</v>
      </c>
      <c r="C199" s="23">
        <f t="shared" si="27"/>
        <v>-1</v>
      </c>
      <c r="D199" s="43">
        <f t="shared" si="28"/>
        <v>-9.0909090909090912E-2</v>
      </c>
      <c r="E199" s="43" t="e">
        <f>J198+D199</f>
        <v>#N/A</v>
      </c>
      <c r="F199" s="8">
        <f>'Leave Record'!D201</f>
        <v>0</v>
      </c>
      <c r="G199" s="8">
        <f>'Leave Record'!E201</f>
        <v>0</v>
      </c>
      <c r="H199" s="23">
        <f t="shared" si="29"/>
        <v>1</v>
      </c>
      <c r="I199" s="23">
        <f>IF(K199=$P$14,H199,0)</f>
        <v>0</v>
      </c>
      <c r="J199" s="43" t="e">
        <f>E199-I199</f>
        <v>#N/A</v>
      </c>
      <c r="K199" s="23">
        <f>'Leave Record'!F201</f>
        <v>0</v>
      </c>
      <c r="Q199">
        <f>K199</f>
        <v>0</v>
      </c>
      <c r="R199" s="15" t="e">
        <f>J199</f>
        <v>#N/A</v>
      </c>
    </row>
    <row r="200" spans="1:18" x14ac:dyDescent="0.25">
      <c r="A200" s="8">
        <f>G199+1</f>
        <v>1</v>
      </c>
      <c r="B200" s="8">
        <f>IF(K200=$P$15,$M$4,IF(K200=$P$13,'Leave Entry'!$B$4,F200-1))</f>
        <v>-1</v>
      </c>
      <c r="C200" s="23">
        <f t="shared" si="27"/>
        <v>-1</v>
      </c>
      <c r="D200" s="43">
        <f t="shared" si="28"/>
        <v>-9.0909090909090912E-2</v>
      </c>
      <c r="E200" s="43" t="e">
        <f>J199+D200</f>
        <v>#N/A</v>
      </c>
      <c r="F200" s="8">
        <f>'Leave Record'!D202</f>
        <v>0</v>
      </c>
      <c r="G200" s="8">
        <f>'Leave Record'!E202</f>
        <v>0</v>
      </c>
      <c r="H200" s="23">
        <f t="shared" si="29"/>
        <v>1</v>
      </c>
      <c r="I200" s="23">
        <f>IF(K200=$P$14,H200,0)</f>
        <v>0</v>
      </c>
      <c r="J200" s="43" t="e">
        <f>E200-I200</f>
        <v>#N/A</v>
      </c>
      <c r="K200" s="23">
        <f>'Leave Record'!F202</f>
        <v>0</v>
      </c>
      <c r="Q200">
        <f>K200</f>
        <v>0</v>
      </c>
      <c r="R200" s="15" t="e">
        <f>J200</f>
        <v>#N/A</v>
      </c>
    </row>
    <row r="201" spans="1:18" x14ac:dyDescent="0.25">
      <c r="A201" s="38">
        <f t="shared" ref="A201:A264" si="30">G200+1</f>
        <v>1</v>
      </c>
      <c r="B201" s="38">
        <f>IF(K201=$P$15,$M$4,IF(K201=$P$13,'Leave Entry'!$B$4,F201-1))</f>
        <v>-1</v>
      </c>
      <c r="C201" s="23">
        <f t="shared" si="27"/>
        <v>-1</v>
      </c>
      <c r="D201" s="43">
        <f t="shared" si="28"/>
        <v>-9.0909090909090912E-2</v>
      </c>
      <c r="E201" s="43" t="e">
        <f t="shared" ref="E201:E264" si="31">J200+D201</f>
        <v>#N/A</v>
      </c>
      <c r="F201" s="38">
        <f>'Leave Record'!D203</f>
        <v>0</v>
      </c>
      <c r="G201" s="38">
        <f>'Leave Record'!E203</f>
        <v>0</v>
      </c>
      <c r="H201" s="23">
        <f t="shared" si="29"/>
        <v>1</v>
      </c>
      <c r="I201" s="23">
        <f t="shared" ref="I201:I264" si="32">IF(K201=$P$14,H201,0)</f>
        <v>0</v>
      </c>
      <c r="J201" s="43" t="e">
        <f t="shared" ref="J201:J264" si="33">E201-I201</f>
        <v>#N/A</v>
      </c>
      <c r="K201" s="23">
        <f>'Leave Record'!F203</f>
        <v>0</v>
      </c>
    </row>
    <row r="202" spans="1:18" x14ac:dyDescent="0.25">
      <c r="A202" s="38">
        <f t="shared" si="30"/>
        <v>1</v>
      </c>
      <c r="B202" s="38">
        <f>IF(K202=$P$15,$M$4,IF(K202=$P$13,'Leave Entry'!$B$4,F202-1))</f>
        <v>-1</v>
      </c>
      <c r="C202" s="23">
        <f t="shared" si="27"/>
        <v>-1</v>
      </c>
      <c r="D202" s="43">
        <f t="shared" si="28"/>
        <v>-9.0909090909090912E-2</v>
      </c>
      <c r="E202" s="43" t="e">
        <f t="shared" si="31"/>
        <v>#N/A</v>
      </c>
      <c r="F202" s="38">
        <f>'Leave Record'!D204</f>
        <v>0</v>
      </c>
      <c r="G202" s="38">
        <f>'Leave Record'!E204</f>
        <v>0</v>
      </c>
      <c r="H202" s="23">
        <f t="shared" si="29"/>
        <v>1</v>
      </c>
      <c r="I202" s="23">
        <f t="shared" si="32"/>
        <v>0</v>
      </c>
      <c r="J202" s="43" t="e">
        <f t="shared" si="33"/>
        <v>#N/A</v>
      </c>
      <c r="K202" s="23">
        <f>'Leave Record'!F204</f>
        <v>0</v>
      </c>
    </row>
    <row r="203" spans="1:18" x14ac:dyDescent="0.25">
      <c r="A203" s="38">
        <f t="shared" si="30"/>
        <v>1</v>
      </c>
      <c r="B203" s="38">
        <f>IF(K203=$P$15,$M$4,IF(K203=$P$13,'Leave Entry'!$B$4,F203-1))</f>
        <v>-1</v>
      </c>
      <c r="C203" s="23">
        <f t="shared" si="27"/>
        <v>-1</v>
      </c>
      <c r="D203" s="43">
        <f t="shared" si="28"/>
        <v>-9.0909090909090912E-2</v>
      </c>
      <c r="E203" s="43" t="e">
        <f t="shared" si="31"/>
        <v>#N/A</v>
      </c>
      <c r="F203" s="38">
        <f>'Leave Record'!D205</f>
        <v>0</v>
      </c>
      <c r="G203" s="38">
        <f>'Leave Record'!E205</f>
        <v>0</v>
      </c>
      <c r="H203" s="23">
        <f t="shared" si="29"/>
        <v>1</v>
      </c>
      <c r="I203" s="23">
        <f t="shared" si="32"/>
        <v>0</v>
      </c>
      <c r="J203" s="43" t="e">
        <f t="shared" si="33"/>
        <v>#N/A</v>
      </c>
      <c r="K203" s="23">
        <f>'Leave Record'!F205</f>
        <v>0</v>
      </c>
    </row>
    <row r="204" spans="1:18" x14ac:dyDescent="0.25">
      <c r="A204" s="38">
        <f t="shared" si="30"/>
        <v>1</v>
      </c>
      <c r="B204" s="38">
        <f>IF(K204=$P$15,$M$4,IF(K204=$P$13,'Leave Entry'!$B$4,F204-1))</f>
        <v>-1</v>
      </c>
      <c r="C204" s="23">
        <f t="shared" si="27"/>
        <v>-1</v>
      </c>
      <c r="D204" s="43">
        <f t="shared" si="28"/>
        <v>-9.0909090909090912E-2</v>
      </c>
      <c r="E204" s="43" t="e">
        <f t="shared" si="31"/>
        <v>#N/A</v>
      </c>
      <c r="F204" s="38">
        <f>'Leave Record'!D206</f>
        <v>0</v>
      </c>
      <c r="G204" s="38">
        <f>'Leave Record'!E206</f>
        <v>0</v>
      </c>
      <c r="H204" s="23">
        <f t="shared" si="29"/>
        <v>1</v>
      </c>
      <c r="I204" s="23">
        <f t="shared" si="32"/>
        <v>0</v>
      </c>
      <c r="J204" s="43" t="e">
        <f t="shared" si="33"/>
        <v>#N/A</v>
      </c>
      <c r="K204" s="23">
        <f>'Leave Record'!F206</f>
        <v>0</v>
      </c>
    </row>
    <row r="205" spans="1:18" x14ac:dyDescent="0.25">
      <c r="A205" s="38">
        <f t="shared" si="30"/>
        <v>1</v>
      </c>
      <c r="B205" s="38">
        <f>IF(K205=$P$15,$M$4,IF(K205=$P$13,'Leave Entry'!$B$4,F205-1))</f>
        <v>-1</v>
      </c>
      <c r="C205" s="23">
        <f t="shared" si="27"/>
        <v>-1</v>
      </c>
      <c r="D205" s="43">
        <f t="shared" si="28"/>
        <v>-9.0909090909090912E-2</v>
      </c>
      <c r="E205" s="43" t="e">
        <f t="shared" si="31"/>
        <v>#N/A</v>
      </c>
      <c r="F205" s="38">
        <f>'Leave Record'!D207</f>
        <v>0</v>
      </c>
      <c r="G205" s="38">
        <f>'Leave Record'!E207</f>
        <v>0</v>
      </c>
      <c r="H205" s="23">
        <f t="shared" si="29"/>
        <v>1</v>
      </c>
      <c r="I205" s="23">
        <f t="shared" si="32"/>
        <v>0</v>
      </c>
      <c r="J205" s="43" t="e">
        <f t="shared" si="33"/>
        <v>#N/A</v>
      </c>
      <c r="K205" s="23">
        <f>'Leave Record'!F207</f>
        <v>0</v>
      </c>
    </row>
    <row r="206" spans="1:18" x14ac:dyDescent="0.25">
      <c r="A206" s="38">
        <f t="shared" si="30"/>
        <v>1</v>
      </c>
      <c r="B206" s="38">
        <f>IF(K206=$P$15,$M$4,IF(K206=$P$13,'Leave Entry'!$B$4,F206-1))</f>
        <v>-1</v>
      </c>
      <c r="C206" s="23">
        <f t="shared" si="27"/>
        <v>-1</v>
      </c>
      <c r="D206" s="43">
        <f t="shared" si="28"/>
        <v>-9.0909090909090912E-2</v>
      </c>
      <c r="E206" s="43" t="e">
        <f t="shared" si="31"/>
        <v>#N/A</v>
      </c>
      <c r="F206" s="38">
        <f>'Leave Record'!D208</f>
        <v>0</v>
      </c>
      <c r="G206" s="38">
        <f>'Leave Record'!E208</f>
        <v>0</v>
      </c>
      <c r="H206" s="23">
        <f t="shared" si="29"/>
        <v>1</v>
      </c>
      <c r="I206" s="23">
        <f t="shared" si="32"/>
        <v>0</v>
      </c>
      <c r="J206" s="43" t="e">
        <f t="shared" si="33"/>
        <v>#N/A</v>
      </c>
      <c r="K206" s="23">
        <f>'Leave Record'!F208</f>
        <v>0</v>
      </c>
    </row>
    <row r="207" spans="1:18" x14ac:dyDescent="0.25">
      <c r="A207" s="38">
        <f t="shared" si="30"/>
        <v>1</v>
      </c>
      <c r="B207" s="38">
        <f>IF(K207=$P$15,$M$4,IF(K207=$P$13,'Leave Entry'!$B$4,F207-1))</f>
        <v>-1</v>
      </c>
      <c r="C207" s="23">
        <f t="shared" si="27"/>
        <v>-1</v>
      </c>
      <c r="D207" s="43">
        <f t="shared" si="28"/>
        <v>-9.0909090909090912E-2</v>
      </c>
      <c r="E207" s="43" t="e">
        <f t="shared" si="31"/>
        <v>#N/A</v>
      </c>
      <c r="F207" s="38">
        <f>'Leave Record'!D209</f>
        <v>0</v>
      </c>
      <c r="G207" s="38">
        <f>'Leave Record'!E209</f>
        <v>0</v>
      </c>
      <c r="H207" s="23">
        <f t="shared" si="29"/>
        <v>1</v>
      </c>
      <c r="I207" s="23">
        <f t="shared" si="32"/>
        <v>0</v>
      </c>
      <c r="J207" s="43" t="e">
        <f t="shared" si="33"/>
        <v>#N/A</v>
      </c>
      <c r="K207" s="23">
        <f>'Leave Record'!F209</f>
        <v>0</v>
      </c>
    </row>
    <row r="208" spans="1:18" x14ac:dyDescent="0.25">
      <c r="A208" s="38">
        <f t="shared" si="30"/>
        <v>1</v>
      </c>
      <c r="B208" s="38">
        <f>IF(K208=$P$15,$M$4,IF(K208=$P$13,'Leave Entry'!$B$4,F208-1))</f>
        <v>-1</v>
      </c>
      <c r="C208" s="23">
        <f t="shared" si="27"/>
        <v>-1</v>
      </c>
      <c r="D208" s="43">
        <f t="shared" si="28"/>
        <v>-9.0909090909090912E-2</v>
      </c>
      <c r="E208" s="43" t="e">
        <f t="shared" si="31"/>
        <v>#N/A</v>
      </c>
      <c r="F208" s="38">
        <f>'Leave Record'!D210</f>
        <v>0</v>
      </c>
      <c r="G208" s="38">
        <f>'Leave Record'!E210</f>
        <v>0</v>
      </c>
      <c r="H208" s="23">
        <f t="shared" si="29"/>
        <v>1</v>
      </c>
      <c r="I208" s="23">
        <f t="shared" si="32"/>
        <v>0</v>
      </c>
      <c r="J208" s="43" t="e">
        <f t="shared" si="33"/>
        <v>#N/A</v>
      </c>
      <c r="K208" s="23">
        <f>'Leave Record'!F210</f>
        <v>0</v>
      </c>
    </row>
    <row r="209" spans="1:11" x14ac:dyDescent="0.25">
      <c r="A209" s="38">
        <f t="shared" si="30"/>
        <v>1</v>
      </c>
      <c r="B209" s="38">
        <f>IF(K209=$P$15,$M$4,IF(K209=$P$13,'Leave Entry'!$B$4,F209-1))</f>
        <v>-1</v>
      </c>
      <c r="C209" s="23">
        <f t="shared" si="27"/>
        <v>-1</v>
      </c>
      <c r="D209" s="43">
        <f t="shared" si="28"/>
        <v>-9.0909090909090912E-2</v>
      </c>
      <c r="E209" s="43" t="e">
        <f t="shared" si="31"/>
        <v>#N/A</v>
      </c>
      <c r="F209" s="38">
        <f>'Leave Record'!D211</f>
        <v>0</v>
      </c>
      <c r="G209" s="38">
        <f>'Leave Record'!E211</f>
        <v>0</v>
      </c>
      <c r="H209" s="23">
        <f t="shared" si="29"/>
        <v>1</v>
      </c>
      <c r="I209" s="23">
        <f t="shared" si="32"/>
        <v>0</v>
      </c>
      <c r="J209" s="43" t="e">
        <f t="shared" si="33"/>
        <v>#N/A</v>
      </c>
      <c r="K209" s="23">
        <f>'Leave Record'!F211</f>
        <v>0</v>
      </c>
    </row>
    <row r="210" spans="1:11" x14ac:dyDescent="0.25">
      <c r="A210" s="38">
        <f t="shared" si="30"/>
        <v>1</v>
      </c>
      <c r="B210" s="38">
        <f>IF(K210=$P$15,$M$4,IF(K210=$P$13,'Leave Entry'!$B$4,F210-1))</f>
        <v>-1</v>
      </c>
      <c r="C210" s="23">
        <f t="shared" si="27"/>
        <v>-1</v>
      </c>
      <c r="D210" s="43">
        <f t="shared" si="28"/>
        <v>-9.0909090909090912E-2</v>
      </c>
      <c r="E210" s="43" t="e">
        <f t="shared" si="31"/>
        <v>#N/A</v>
      </c>
      <c r="F210" s="38">
        <f>'Leave Record'!D212</f>
        <v>0</v>
      </c>
      <c r="G210" s="38">
        <f>'Leave Record'!E212</f>
        <v>0</v>
      </c>
      <c r="H210" s="23">
        <f t="shared" si="29"/>
        <v>1</v>
      </c>
      <c r="I210" s="23">
        <f t="shared" si="32"/>
        <v>0</v>
      </c>
      <c r="J210" s="43" t="e">
        <f t="shared" si="33"/>
        <v>#N/A</v>
      </c>
      <c r="K210" s="23">
        <f>'Leave Record'!F212</f>
        <v>0</v>
      </c>
    </row>
    <row r="211" spans="1:11" x14ac:dyDescent="0.25">
      <c r="A211" s="38">
        <f t="shared" si="30"/>
        <v>1</v>
      </c>
      <c r="B211" s="38">
        <f>IF(K211=$P$15,$M$4,IF(K211=$P$13,'Leave Entry'!$B$4,F211-1))</f>
        <v>-1</v>
      </c>
      <c r="C211" s="23">
        <f t="shared" si="27"/>
        <v>-1</v>
      </c>
      <c r="D211" s="43">
        <f t="shared" si="28"/>
        <v>-9.0909090909090912E-2</v>
      </c>
      <c r="E211" s="43" t="e">
        <f t="shared" si="31"/>
        <v>#N/A</v>
      </c>
      <c r="F211" s="38">
        <f>'Leave Record'!D213</f>
        <v>0</v>
      </c>
      <c r="G211" s="38">
        <f>'Leave Record'!E213</f>
        <v>0</v>
      </c>
      <c r="H211" s="23">
        <f t="shared" si="29"/>
        <v>1</v>
      </c>
      <c r="I211" s="23">
        <f t="shared" si="32"/>
        <v>0</v>
      </c>
      <c r="J211" s="43" t="e">
        <f t="shared" si="33"/>
        <v>#N/A</v>
      </c>
      <c r="K211" s="23">
        <f>'Leave Record'!F213</f>
        <v>0</v>
      </c>
    </row>
    <row r="212" spans="1:11" x14ac:dyDescent="0.25">
      <c r="A212" s="38">
        <f t="shared" si="30"/>
        <v>1</v>
      </c>
      <c r="B212" s="38">
        <f>IF(K212=$P$15,$M$4,IF(K212=$P$13,'Leave Entry'!$B$4,F212-1))</f>
        <v>-1</v>
      </c>
      <c r="C212" s="23">
        <f t="shared" si="27"/>
        <v>-1</v>
      </c>
      <c r="D212" s="43">
        <f t="shared" si="28"/>
        <v>-9.0909090909090912E-2</v>
      </c>
      <c r="E212" s="43" t="e">
        <f t="shared" si="31"/>
        <v>#N/A</v>
      </c>
      <c r="F212" s="38">
        <f>'Leave Record'!D214</f>
        <v>0</v>
      </c>
      <c r="G212" s="38">
        <f>'Leave Record'!E214</f>
        <v>0</v>
      </c>
      <c r="H212" s="23">
        <f t="shared" si="29"/>
        <v>1</v>
      </c>
      <c r="I212" s="23">
        <f t="shared" si="32"/>
        <v>0</v>
      </c>
      <c r="J212" s="43" t="e">
        <f t="shared" si="33"/>
        <v>#N/A</v>
      </c>
      <c r="K212" s="23">
        <f>'Leave Record'!F214</f>
        <v>0</v>
      </c>
    </row>
    <row r="213" spans="1:11" x14ac:dyDescent="0.25">
      <c r="A213" s="38">
        <f t="shared" si="30"/>
        <v>1</v>
      </c>
      <c r="B213" s="38">
        <f>IF(K213=$P$15,$M$4,IF(K213=$P$13,'Leave Entry'!$B$4,F213-1))</f>
        <v>-1</v>
      </c>
      <c r="C213" s="23">
        <f t="shared" si="27"/>
        <v>-1</v>
      </c>
      <c r="D213" s="43">
        <f t="shared" si="28"/>
        <v>-9.0909090909090912E-2</v>
      </c>
      <c r="E213" s="43" t="e">
        <f t="shared" si="31"/>
        <v>#N/A</v>
      </c>
      <c r="F213" s="38">
        <f>'Leave Record'!D215</f>
        <v>0</v>
      </c>
      <c r="G213" s="38">
        <f>'Leave Record'!E215</f>
        <v>0</v>
      </c>
      <c r="H213" s="23">
        <f t="shared" si="29"/>
        <v>1</v>
      </c>
      <c r="I213" s="23">
        <f t="shared" si="32"/>
        <v>0</v>
      </c>
      <c r="J213" s="43" t="e">
        <f t="shared" si="33"/>
        <v>#N/A</v>
      </c>
      <c r="K213" s="23">
        <f>'Leave Record'!F215</f>
        <v>0</v>
      </c>
    </row>
    <row r="214" spans="1:11" x14ac:dyDescent="0.25">
      <c r="A214" s="38">
        <f t="shared" si="30"/>
        <v>1</v>
      </c>
      <c r="B214" s="38">
        <f>IF(K214=$P$15,$M$4,IF(K214=$P$13,'Leave Entry'!$B$4,F214-1))</f>
        <v>-1</v>
      </c>
      <c r="C214" s="23">
        <f t="shared" si="27"/>
        <v>-1</v>
      </c>
      <c r="D214" s="43">
        <f t="shared" si="28"/>
        <v>-9.0909090909090912E-2</v>
      </c>
      <c r="E214" s="43" t="e">
        <f t="shared" si="31"/>
        <v>#N/A</v>
      </c>
      <c r="F214" s="38">
        <f>'Leave Record'!D216</f>
        <v>0</v>
      </c>
      <c r="G214" s="38">
        <f>'Leave Record'!E216</f>
        <v>0</v>
      </c>
      <c r="H214" s="23">
        <f t="shared" si="29"/>
        <v>1</v>
      </c>
      <c r="I214" s="23">
        <f t="shared" si="32"/>
        <v>0</v>
      </c>
      <c r="J214" s="43" t="e">
        <f t="shared" si="33"/>
        <v>#N/A</v>
      </c>
      <c r="K214" s="23">
        <f>'Leave Record'!F216</f>
        <v>0</v>
      </c>
    </row>
    <row r="215" spans="1:11" x14ac:dyDescent="0.25">
      <c r="A215" s="38">
        <f t="shared" si="30"/>
        <v>1</v>
      </c>
      <c r="B215" s="38">
        <f>IF(K215=$P$15,$M$4,IF(K215=$P$13,'Leave Entry'!$B$4,F215-1))</f>
        <v>-1</v>
      </c>
      <c r="C215" s="23">
        <f t="shared" si="27"/>
        <v>-1</v>
      </c>
      <c r="D215" s="43">
        <f t="shared" si="28"/>
        <v>-9.0909090909090912E-2</v>
      </c>
      <c r="E215" s="43" t="e">
        <f t="shared" si="31"/>
        <v>#N/A</v>
      </c>
      <c r="F215" s="38">
        <f>'Leave Record'!D217</f>
        <v>0</v>
      </c>
      <c r="G215" s="38">
        <f>'Leave Record'!E217</f>
        <v>0</v>
      </c>
      <c r="H215" s="23">
        <f t="shared" si="29"/>
        <v>1</v>
      </c>
      <c r="I215" s="23">
        <f t="shared" si="32"/>
        <v>0</v>
      </c>
      <c r="J215" s="43" t="e">
        <f t="shared" si="33"/>
        <v>#N/A</v>
      </c>
      <c r="K215" s="23">
        <f>'Leave Record'!F217</f>
        <v>0</v>
      </c>
    </row>
    <row r="216" spans="1:11" x14ac:dyDescent="0.25">
      <c r="A216" s="38">
        <f t="shared" si="30"/>
        <v>1</v>
      </c>
      <c r="B216" s="38">
        <f>IF(K216=$P$15,$M$4,IF(K216=$P$13,'Leave Entry'!$B$4,F216-1))</f>
        <v>-1</v>
      </c>
      <c r="C216" s="23">
        <f t="shared" si="27"/>
        <v>-1</v>
      </c>
      <c r="D216" s="43">
        <f t="shared" si="28"/>
        <v>-9.0909090909090912E-2</v>
      </c>
      <c r="E216" s="43" t="e">
        <f t="shared" si="31"/>
        <v>#N/A</v>
      </c>
      <c r="F216" s="38">
        <f>'Leave Record'!D218</f>
        <v>0</v>
      </c>
      <c r="G216" s="38">
        <f>'Leave Record'!E218</f>
        <v>0</v>
      </c>
      <c r="H216" s="23">
        <f t="shared" si="29"/>
        <v>1</v>
      </c>
      <c r="I216" s="23">
        <f t="shared" si="32"/>
        <v>0</v>
      </c>
      <c r="J216" s="43" t="e">
        <f t="shared" si="33"/>
        <v>#N/A</v>
      </c>
      <c r="K216" s="23">
        <f>'Leave Record'!F218</f>
        <v>0</v>
      </c>
    </row>
    <row r="217" spans="1:11" x14ac:dyDescent="0.25">
      <c r="A217" s="38">
        <f t="shared" si="30"/>
        <v>1</v>
      </c>
      <c r="B217" s="38">
        <f>IF(K217=$P$15,$M$4,IF(K217=$P$13,'Leave Entry'!$B$4,F217-1))</f>
        <v>-1</v>
      </c>
      <c r="C217" s="23">
        <f t="shared" si="27"/>
        <v>-1</v>
      </c>
      <c r="D217" s="43">
        <f t="shared" si="28"/>
        <v>-9.0909090909090912E-2</v>
      </c>
      <c r="E217" s="43" t="e">
        <f t="shared" si="31"/>
        <v>#N/A</v>
      </c>
      <c r="F217" s="38">
        <f>'Leave Record'!D219</f>
        <v>0</v>
      </c>
      <c r="G217" s="38">
        <f>'Leave Record'!E219</f>
        <v>0</v>
      </c>
      <c r="H217" s="23">
        <f t="shared" si="29"/>
        <v>1</v>
      </c>
      <c r="I217" s="23">
        <f t="shared" si="32"/>
        <v>0</v>
      </c>
      <c r="J217" s="43" t="e">
        <f t="shared" si="33"/>
        <v>#N/A</v>
      </c>
      <c r="K217" s="23">
        <f>'Leave Record'!F219</f>
        <v>0</v>
      </c>
    </row>
    <row r="218" spans="1:11" x14ac:dyDescent="0.25">
      <c r="A218" s="38">
        <f t="shared" si="30"/>
        <v>1</v>
      </c>
      <c r="B218" s="38">
        <f>IF(K218=$P$15,$M$4,IF(K218=$P$13,'Leave Entry'!$B$4,F218-1))</f>
        <v>-1</v>
      </c>
      <c r="C218" s="23">
        <f t="shared" si="27"/>
        <v>-1</v>
      </c>
      <c r="D218" s="43">
        <f t="shared" si="28"/>
        <v>-9.0909090909090912E-2</v>
      </c>
      <c r="E218" s="43" t="e">
        <f t="shared" si="31"/>
        <v>#N/A</v>
      </c>
      <c r="F218" s="38">
        <f>'Leave Record'!D220</f>
        <v>0</v>
      </c>
      <c r="G218" s="38">
        <f>'Leave Record'!E220</f>
        <v>0</v>
      </c>
      <c r="H218" s="23">
        <f t="shared" si="29"/>
        <v>1</v>
      </c>
      <c r="I218" s="23">
        <f t="shared" si="32"/>
        <v>0</v>
      </c>
      <c r="J218" s="43" t="e">
        <f t="shared" si="33"/>
        <v>#N/A</v>
      </c>
      <c r="K218" s="23">
        <f>'Leave Record'!F220</f>
        <v>0</v>
      </c>
    </row>
    <row r="219" spans="1:11" x14ac:dyDescent="0.25">
      <c r="A219" s="38">
        <f t="shared" si="30"/>
        <v>1</v>
      </c>
      <c r="B219" s="38">
        <f>IF(K219=$P$15,$M$4,IF(K219=$P$13,'Leave Entry'!$B$4,F219-1))</f>
        <v>-1</v>
      </c>
      <c r="C219" s="23">
        <f t="shared" si="27"/>
        <v>-1</v>
      </c>
      <c r="D219" s="43">
        <f t="shared" si="28"/>
        <v>-9.0909090909090912E-2</v>
      </c>
      <c r="E219" s="43" t="e">
        <f t="shared" si="31"/>
        <v>#N/A</v>
      </c>
      <c r="F219" s="38">
        <f>'Leave Record'!D221</f>
        <v>0</v>
      </c>
      <c r="G219" s="38">
        <f>'Leave Record'!E221</f>
        <v>0</v>
      </c>
      <c r="H219" s="23">
        <f t="shared" si="29"/>
        <v>1</v>
      </c>
      <c r="I219" s="23">
        <f t="shared" si="32"/>
        <v>0</v>
      </c>
      <c r="J219" s="43" t="e">
        <f t="shared" si="33"/>
        <v>#N/A</v>
      </c>
      <c r="K219" s="23">
        <f>'Leave Record'!F221</f>
        <v>0</v>
      </c>
    </row>
    <row r="220" spans="1:11" x14ac:dyDescent="0.25">
      <c r="A220" s="38">
        <f t="shared" si="30"/>
        <v>1</v>
      </c>
      <c r="B220" s="38">
        <f>IF(K220=$P$15,$M$4,IF(K220=$P$13,'Leave Entry'!$B$4,F220-1))</f>
        <v>-1</v>
      </c>
      <c r="C220" s="23">
        <f t="shared" si="27"/>
        <v>-1</v>
      </c>
      <c r="D220" s="43">
        <f t="shared" si="28"/>
        <v>-9.0909090909090912E-2</v>
      </c>
      <c r="E220" s="43" t="e">
        <f t="shared" si="31"/>
        <v>#N/A</v>
      </c>
      <c r="F220" s="38">
        <f>'Leave Record'!D222</f>
        <v>0</v>
      </c>
      <c r="G220" s="38">
        <f>'Leave Record'!E222</f>
        <v>0</v>
      </c>
      <c r="H220" s="23">
        <f t="shared" si="29"/>
        <v>1</v>
      </c>
      <c r="I220" s="23">
        <f t="shared" si="32"/>
        <v>0</v>
      </c>
      <c r="J220" s="43" t="e">
        <f t="shared" si="33"/>
        <v>#N/A</v>
      </c>
      <c r="K220" s="23">
        <f>'Leave Record'!F222</f>
        <v>0</v>
      </c>
    </row>
    <row r="221" spans="1:11" x14ac:dyDescent="0.25">
      <c r="A221" s="38">
        <f t="shared" si="30"/>
        <v>1</v>
      </c>
      <c r="B221" s="38">
        <f>IF(K221=$P$15,$M$4,IF(K221=$P$13,'Leave Entry'!$B$4,F221-1))</f>
        <v>-1</v>
      </c>
      <c r="C221" s="23">
        <f t="shared" si="27"/>
        <v>-1</v>
      </c>
      <c r="D221" s="43">
        <f t="shared" si="28"/>
        <v>-9.0909090909090912E-2</v>
      </c>
      <c r="E221" s="43" t="e">
        <f t="shared" si="31"/>
        <v>#N/A</v>
      </c>
      <c r="F221" s="38">
        <f>'Leave Record'!D223</f>
        <v>0</v>
      </c>
      <c r="G221" s="38">
        <f>'Leave Record'!E223</f>
        <v>0</v>
      </c>
      <c r="H221" s="23">
        <f t="shared" si="29"/>
        <v>1</v>
      </c>
      <c r="I221" s="23">
        <f t="shared" si="32"/>
        <v>0</v>
      </c>
      <c r="J221" s="43" t="e">
        <f t="shared" si="33"/>
        <v>#N/A</v>
      </c>
      <c r="K221" s="23">
        <f>'Leave Record'!F223</f>
        <v>0</v>
      </c>
    </row>
    <row r="222" spans="1:11" x14ac:dyDescent="0.25">
      <c r="A222" s="38">
        <f t="shared" si="30"/>
        <v>1</v>
      </c>
      <c r="B222" s="38">
        <f>IF(K222=$P$15,$M$4,IF(K222=$P$13,'Leave Entry'!$B$4,F222-1))</f>
        <v>-1</v>
      </c>
      <c r="C222" s="23">
        <f t="shared" si="27"/>
        <v>-1</v>
      </c>
      <c r="D222" s="43">
        <f t="shared" si="28"/>
        <v>-9.0909090909090912E-2</v>
      </c>
      <c r="E222" s="43" t="e">
        <f t="shared" si="31"/>
        <v>#N/A</v>
      </c>
      <c r="F222" s="38">
        <f>'Leave Record'!D224</f>
        <v>0</v>
      </c>
      <c r="G222" s="38">
        <f>'Leave Record'!E224</f>
        <v>0</v>
      </c>
      <c r="H222" s="23">
        <f t="shared" si="29"/>
        <v>1</v>
      </c>
      <c r="I222" s="23">
        <f t="shared" si="32"/>
        <v>0</v>
      </c>
      <c r="J222" s="43" t="e">
        <f t="shared" si="33"/>
        <v>#N/A</v>
      </c>
      <c r="K222" s="23">
        <f>'Leave Record'!F224</f>
        <v>0</v>
      </c>
    </row>
    <row r="223" spans="1:11" x14ac:dyDescent="0.25">
      <c r="A223" s="38">
        <f t="shared" si="30"/>
        <v>1</v>
      </c>
      <c r="B223" s="38">
        <f>IF(K223=$P$15,$M$4,IF(K223=$P$13,'Leave Entry'!$B$4,F223-1))</f>
        <v>-1</v>
      </c>
      <c r="C223" s="23">
        <f t="shared" si="27"/>
        <v>-1</v>
      </c>
      <c r="D223" s="43">
        <f t="shared" si="28"/>
        <v>-9.0909090909090912E-2</v>
      </c>
      <c r="E223" s="43" t="e">
        <f t="shared" si="31"/>
        <v>#N/A</v>
      </c>
      <c r="F223" s="38">
        <f>'Leave Record'!D225</f>
        <v>0</v>
      </c>
      <c r="G223" s="38">
        <f>'Leave Record'!E225</f>
        <v>0</v>
      </c>
      <c r="H223" s="23">
        <f t="shared" si="29"/>
        <v>1</v>
      </c>
      <c r="I223" s="23">
        <f t="shared" si="32"/>
        <v>0</v>
      </c>
      <c r="J223" s="43" t="e">
        <f t="shared" si="33"/>
        <v>#N/A</v>
      </c>
      <c r="K223" s="23">
        <f>'Leave Record'!F225</f>
        <v>0</v>
      </c>
    </row>
    <row r="224" spans="1:11" x14ac:dyDescent="0.25">
      <c r="A224" s="38">
        <f t="shared" si="30"/>
        <v>1</v>
      </c>
      <c r="B224" s="38">
        <f>IF(K224=$P$15,$M$4,IF(K224=$P$13,'Leave Entry'!$B$4,F224-1))</f>
        <v>-1</v>
      </c>
      <c r="C224" s="23">
        <f t="shared" si="27"/>
        <v>-1</v>
      </c>
      <c r="D224" s="43">
        <f t="shared" si="28"/>
        <v>-9.0909090909090912E-2</v>
      </c>
      <c r="E224" s="43" t="e">
        <f t="shared" si="31"/>
        <v>#N/A</v>
      </c>
      <c r="F224" s="38">
        <f>'Leave Record'!D226</f>
        <v>0</v>
      </c>
      <c r="G224" s="38">
        <f>'Leave Record'!E226</f>
        <v>0</v>
      </c>
      <c r="H224" s="23">
        <f t="shared" si="29"/>
        <v>1</v>
      </c>
      <c r="I224" s="23">
        <f t="shared" si="32"/>
        <v>0</v>
      </c>
      <c r="J224" s="43" t="e">
        <f t="shared" si="33"/>
        <v>#N/A</v>
      </c>
      <c r="K224" s="23">
        <f>'Leave Record'!F226</f>
        <v>0</v>
      </c>
    </row>
    <row r="225" spans="1:11" x14ac:dyDescent="0.25">
      <c r="A225" s="38">
        <f t="shared" si="30"/>
        <v>1</v>
      </c>
      <c r="B225" s="38">
        <f>IF(K225=$P$15,$M$4,IF(K225=$P$13,'Leave Entry'!$B$4,F225-1))</f>
        <v>-1</v>
      </c>
      <c r="C225" s="23">
        <f t="shared" si="27"/>
        <v>-1</v>
      </c>
      <c r="D225" s="43">
        <f t="shared" si="28"/>
        <v>-9.0909090909090912E-2</v>
      </c>
      <c r="E225" s="43" t="e">
        <f t="shared" si="31"/>
        <v>#N/A</v>
      </c>
      <c r="F225" s="38">
        <f>'Leave Record'!D227</f>
        <v>0</v>
      </c>
      <c r="G225" s="38">
        <f>'Leave Record'!E227</f>
        <v>0</v>
      </c>
      <c r="H225" s="23">
        <f t="shared" si="29"/>
        <v>1</v>
      </c>
      <c r="I225" s="23">
        <f t="shared" si="32"/>
        <v>0</v>
      </c>
      <c r="J225" s="43" t="e">
        <f t="shared" si="33"/>
        <v>#N/A</v>
      </c>
      <c r="K225" s="23">
        <f>'Leave Record'!F227</f>
        <v>0</v>
      </c>
    </row>
    <row r="226" spans="1:11" x14ac:dyDescent="0.25">
      <c r="A226" s="38">
        <f t="shared" si="30"/>
        <v>1</v>
      </c>
      <c r="B226" s="38">
        <f>IF(K226=$P$15,$M$4,IF(K226=$P$13,'Leave Entry'!$B$4,F226-1))</f>
        <v>-1</v>
      </c>
      <c r="C226" s="23">
        <f t="shared" si="27"/>
        <v>-1</v>
      </c>
      <c r="D226" s="43">
        <f t="shared" si="28"/>
        <v>-9.0909090909090912E-2</v>
      </c>
      <c r="E226" s="43" t="e">
        <f t="shared" si="31"/>
        <v>#N/A</v>
      </c>
      <c r="F226" s="38">
        <f>'Leave Record'!D228</f>
        <v>0</v>
      </c>
      <c r="G226" s="38">
        <f>'Leave Record'!E228</f>
        <v>0</v>
      </c>
      <c r="H226" s="23">
        <f t="shared" si="29"/>
        <v>1</v>
      </c>
      <c r="I226" s="23">
        <f t="shared" si="32"/>
        <v>0</v>
      </c>
      <c r="J226" s="43" t="e">
        <f t="shared" si="33"/>
        <v>#N/A</v>
      </c>
      <c r="K226" s="23">
        <f>'Leave Record'!F228</f>
        <v>0</v>
      </c>
    </row>
    <row r="227" spans="1:11" x14ac:dyDescent="0.25">
      <c r="A227" s="38">
        <f t="shared" si="30"/>
        <v>1</v>
      </c>
      <c r="B227" s="38">
        <f>IF(K227=$P$15,$M$4,IF(K227=$P$13,'Leave Entry'!$B$4,F227-1))</f>
        <v>-1</v>
      </c>
      <c r="C227" s="23">
        <f t="shared" si="27"/>
        <v>-1</v>
      </c>
      <c r="D227" s="43">
        <f t="shared" si="28"/>
        <v>-9.0909090909090912E-2</v>
      </c>
      <c r="E227" s="43" t="e">
        <f t="shared" si="31"/>
        <v>#N/A</v>
      </c>
      <c r="F227" s="38">
        <f>'Leave Record'!D229</f>
        <v>0</v>
      </c>
      <c r="G227" s="38">
        <f>'Leave Record'!E229</f>
        <v>0</v>
      </c>
      <c r="H227" s="23">
        <f t="shared" si="29"/>
        <v>1</v>
      </c>
      <c r="I227" s="23">
        <f t="shared" si="32"/>
        <v>0</v>
      </c>
      <c r="J227" s="43" t="e">
        <f t="shared" si="33"/>
        <v>#N/A</v>
      </c>
      <c r="K227" s="23">
        <f>'Leave Record'!F229</f>
        <v>0</v>
      </c>
    </row>
    <row r="228" spans="1:11" x14ac:dyDescent="0.25">
      <c r="A228" s="38">
        <f t="shared" si="30"/>
        <v>1</v>
      </c>
      <c r="B228" s="38">
        <f>IF(K228=$P$15,$M$4,IF(K228=$P$13,'Leave Entry'!$B$4,F228-1))</f>
        <v>-1</v>
      </c>
      <c r="C228" s="23">
        <f t="shared" si="27"/>
        <v>-1</v>
      </c>
      <c r="D228" s="43">
        <f t="shared" si="28"/>
        <v>-9.0909090909090912E-2</v>
      </c>
      <c r="E228" s="43" t="e">
        <f t="shared" si="31"/>
        <v>#N/A</v>
      </c>
      <c r="F228" s="38">
        <f>'Leave Record'!D230</f>
        <v>0</v>
      </c>
      <c r="G228" s="38">
        <f>'Leave Record'!E230</f>
        <v>0</v>
      </c>
      <c r="H228" s="23">
        <f t="shared" si="29"/>
        <v>1</v>
      </c>
      <c r="I228" s="23">
        <f t="shared" si="32"/>
        <v>0</v>
      </c>
      <c r="J228" s="43" t="e">
        <f t="shared" si="33"/>
        <v>#N/A</v>
      </c>
      <c r="K228" s="23">
        <f>'Leave Record'!F230</f>
        <v>0</v>
      </c>
    </row>
    <row r="229" spans="1:11" x14ac:dyDescent="0.25">
      <c r="A229" s="38">
        <f t="shared" si="30"/>
        <v>1</v>
      </c>
      <c r="B229" s="38">
        <f>IF(K229=$P$15,$M$4,IF(K229=$P$13,'Leave Entry'!$B$4,F229-1))</f>
        <v>-1</v>
      </c>
      <c r="C229" s="23">
        <f t="shared" si="27"/>
        <v>-1</v>
      </c>
      <c r="D229" s="43">
        <f t="shared" si="28"/>
        <v>-9.0909090909090912E-2</v>
      </c>
      <c r="E229" s="43" t="e">
        <f t="shared" si="31"/>
        <v>#N/A</v>
      </c>
      <c r="F229" s="38">
        <f>'Leave Record'!D231</f>
        <v>0</v>
      </c>
      <c r="G229" s="38">
        <f>'Leave Record'!E231</f>
        <v>0</v>
      </c>
      <c r="H229" s="23">
        <f t="shared" si="29"/>
        <v>1</v>
      </c>
      <c r="I229" s="23">
        <f t="shared" si="32"/>
        <v>0</v>
      </c>
      <c r="J229" s="43" t="e">
        <f t="shared" si="33"/>
        <v>#N/A</v>
      </c>
      <c r="K229" s="23">
        <f>'Leave Record'!F231</f>
        <v>0</v>
      </c>
    </row>
    <row r="230" spans="1:11" x14ac:dyDescent="0.25">
      <c r="A230" s="38">
        <f t="shared" si="30"/>
        <v>1</v>
      </c>
      <c r="B230" s="38">
        <f>IF(K230=$P$15,$M$4,IF(K230=$P$13,'Leave Entry'!$B$4,F230-1))</f>
        <v>-1</v>
      </c>
      <c r="C230" s="23">
        <f t="shared" si="27"/>
        <v>-1</v>
      </c>
      <c r="D230" s="43">
        <f t="shared" si="28"/>
        <v>-9.0909090909090912E-2</v>
      </c>
      <c r="E230" s="43" t="e">
        <f t="shared" si="31"/>
        <v>#N/A</v>
      </c>
      <c r="F230" s="38">
        <f>'Leave Record'!D232</f>
        <v>0</v>
      </c>
      <c r="G230" s="38">
        <f>'Leave Record'!E232</f>
        <v>0</v>
      </c>
      <c r="H230" s="23">
        <f t="shared" si="29"/>
        <v>1</v>
      </c>
      <c r="I230" s="23">
        <f t="shared" si="32"/>
        <v>0</v>
      </c>
      <c r="J230" s="43" t="e">
        <f t="shared" si="33"/>
        <v>#N/A</v>
      </c>
      <c r="K230" s="23">
        <f>'Leave Record'!F232</f>
        <v>0</v>
      </c>
    </row>
    <row r="231" spans="1:11" x14ac:dyDescent="0.25">
      <c r="A231" s="38">
        <f t="shared" si="30"/>
        <v>1</v>
      </c>
      <c r="B231" s="38">
        <f>IF(K231=$P$15,$M$4,IF(K231=$P$13,'Leave Entry'!$B$4,F231-1))</f>
        <v>-1</v>
      </c>
      <c r="C231" s="23">
        <f t="shared" si="27"/>
        <v>-1</v>
      </c>
      <c r="D231" s="43">
        <f t="shared" si="28"/>
        <v>-9.0909090909090912E-2</v>
      </c>
      <c r="E231" s="43" t="e">
        <f t="shared" si="31"/>
        <v>#N/A</v>
      </c>
      <c r="F231" s="38">
        <f>'Leave Record'!D233</f>
        <v>0</v>
      </c>
      <c r="G231" s="38">
        <f>'Leave Record'!E233</f>
        <v>0</v>
      </c>
      <c r="H231" s="23">
        <f t="shared" si="29"/>
        <v>1</v>
      </c>
      <c r="I231" s="23">
        <f t="shared" si="32"/>
        <v>0</v>
      </c>
      <c r="J231" s="43" t="e">
        <f t="shared" si="33"/>
        <v>#N/A</v>
      </c>
      <c r="K231" s="23">
        <f>'Leave Record'!F233</f>
        <v>0</v>
      </c>
    </row>
    <row r="232" spans="1:11" x14ac:dyDescent="0.25">
      <c r="A232" s="38">
        <f t="shared" si="30"/>
        <v>1</v>
      </c>
      <c r="B232" s="38">
        <f>IF(K232=$P$15,$M$4,IF(K232=$P$13,'Leave Entry'!$B$4,F232-1))</f>
        <v>-1</v>
      </c>
      <c r="C232" s="23">
        <f t="shared" si="27"/>
        <v>-1</v>
      </c>
      <c r="D232" s="43">
        <f t="shared" si="28"/>
        <v>-9.0909090909090912E-2</v>
      </c>
      <c r="E232" s="43" t="e">
        <f t="shared" si="31"/>
        <v>#N/A</v>
      </c>
      <c r="F232" s="38">
        <f>'Leave Record'!D234</f>
        <v>0</v>
      </c>
      <c r="G232" s="38">
        <f>'Leave Record'!E234</f>
        <v>0</v>
      </c>
      <c r="H232" s="23">
        <f t="shared" si="29"/>
        <v>1</v>
      </c>
      <c r="I232" s="23">
        <f t="shared" si="32"/>
        <v>0</v>
      </c>
      <c r="J232" s="43" t="e">
        <f t="shared" si="33"/>
        <v>#N/A</v>
      </c>
      <c r="K232" s="23">
        <f>'Leave Record'!F234</f>
        <v>0</v>
      </c>
    </row>
    <row r="233" spans="1:11" x14ac:dyDescent="0.25">
      <c r="A233" s="38">
        <f t="shared" si="30"/>
        <v>1</v>
      </c>
      <c r="B233" s="38">
        <f>IF(K233=$P$15,$M$4,IF(K233=$P$13,'Leave Entry'!$B$4,F233-1))</f>
        <v>-1</v>
      </c>
      <c r="C233" s="23">
        <f t="shared" si="27"/>
        <v>-1</v>
      </c>
      <c r="D233" s="43">
        <f t="shared" si="28"/>
        <v>-9.0909090909090912E-2</v>
      </c>
      <c r="E233" s="43" t="e">
        <f t="shared" si="31"/>
        <v>#N/A</v>
      </c>
      <c r="F233" s="38">
        <f>'Leave Record'!D235</f>
        <v>0</v>
      </c>
      <c r="G233" s="38">
        <f>'Leave Record'!E235</f>
        <v>0</v>
      </c>
      <c r="H233" s="23">
        <f t="shared" si="29"/>
        <v>1</v>
      </c>
      <c r="I233" s="23">
        <f t="shared" si="32"/>
        <v>0</v>
      </c>
      <c r="J233" s="43" t="e">
        <f t="shared" si="33"/>
        <v>#N/A</v>
      </c>
      <c r="K233" s="23">
        <f>'Leave Record'!F235</f>
        <v>0</v>
      </c>
    </row>
    <row r="234" spans="1:11" x14ac:dyDescent="0.25">
      <c r="A234" s="38">
        <f t="shared" si="30"/>
        <v>1</v>
      </c>
      <c r="B234" s="38">
        <f>IF(K234=$P$15,$M$4,IF(K234=$P$13,'Leave Entry'!$B$4,F234-1))</f>
        <v>-1</v>
      </c>
      <c r="C234" s="23">
        <f t="shared" si="27"/>
        <v>-1</v>
      </c>
      <c r="D234" s="43">
        <f t="shared" si="28"/>
        <v>-9.0909090909090912E-2</v>
      </c>
      <c r="E234" s="43" t="e">
        <f t="shared" si="31"/>
        <v>#N/A</v>
      </c>
      <c r="F234" s="38">
        <f>'Leave Record'!D236</f>
        <v>0</v>
      </c>
      <c r="G234" s="38">
        <f>'Leave Record'!E236</f>
        <v>0</v>
      </c>
      <c r="H234" s="23">
        <f t="shared" si="29"/>
        <v>1</v>
      </c>
      <c r="I234" s="23">
        <f t="shared" si="32"/>
        <v>0</v>
      </c>
      <c r="J234" s="43" t="e">
        <f t="shared" si="33"/>
        <v>#N/A</v>
      </c>
      <c r="K234" s="23">
        <f>'Leave Record'!F236</f>
        <v>0</v>
      </c>
    </row>
    <row r="235" spans="1:11" x14ac:dyDescent="0.25">
      <c r="A235" s="38">
        <f t="shared" si="30"/>
        <v>1</v>
      </c>
      <c r="B235" s="38">
        <f>IF(K235=$P$15,$M$4,IF(K235=$P$13,'Leave Entry'!$B$4,F235-1))</f>
        <v>-1</v>
      </c>
      <c r="C235" s="23">
        <f t="shared" si="27"/>
        <v>-1</v>
      </c>
      <c r="D235" s="43">
        <f t="shared" si="28"/>
        <v>-9.0909090909090912E-2</v>
      </c>
      <c r="E235" s="43" t="e">
        <f t="shared" si="31"/>
        <v>#N/A</v>
      </c>
      <c r="F235" s="38">
        <f>'Leave Record'!D237</f>
        <v>0</v>
      </c>
      <c r="G235" s="38">
        <f>'Leave Record'!E237</f>
        <v>0</v>
      </c>
      <c r="H235" s="23">
        <f t="shared" si="29"/>
        <v>1</v>
      </c>
      <c r="I235" s="23">
        <f t="shared" si="32"/>
        <v>0</v>
      </c>
      <c r="J235" s="43" t="e">
        <f t="shared" si="33"/>
        <v>#N/A</v>
      </c>
      <c r="K235" s="23">
        <f>'Leave Record'!F237</f>
        <v>0</v>
      </c>
    </row>
    <row r="236" spans="1:11" x14ac:dyDescent="0.25">
      <c r="A236" s="38">
        <f t="shared" si="30"/>
        <v>1</v>
      </c>
      <c r="B236" s="38">
        <f>IF(K236=$P$15,$M$4,IF(K236=$P$13,'Leave Entry'!$B$4,F236-1))</f>
        <v>-1</v>
      </c>
      <c r="C236" s="23">
        <f t="shared" si="27"/>
        <v>-1</v>
      </c>
      <c r="D236" s="43">
        <f t="shared" si="28"/>
        <v>-9.0909090909090912E-2</v>
      </c>
      <c r="E236" s="43" t="e">
        <f t="shared" si="31"/>
        <v>#N/A</v>
      </c>
      <c r="F236" s="38">
        <f>'Leave Record'!D238</f>
        <v>0</v>
      </c>
      <c r="G236" s="38">
        <f>'Leave Record'!E238</f>
        <v>0</v>
      </c>
      <c r="H236" s="23">
        <f t="shared" si="29"/>
        <v>1</v>
      </c>
      <c r="I236" s="23">
        <f t="shared" si="32"/>
        <v>0</v>
      </c>
      <c r="J236" s="43" t="e">
        <f t="shared" si="33"/>
        <v>#N/A</v>
      </c>
      <c r="K236" s="23">
        <f>'Leave Record'!F238</f>
        <v>0</v>
      </c>
    </row>
    <row r="237" spans="1:11" x14ac:dyDescent="0.25">
      <c r="A237" s="38">
        <f t="shared" si="30"/>
        <v>1</v>
      </c>
      <c r="B237" s="38">
        <f>IF(K237=$P$15,$M$4,IF(K237=$P$13,'Leave Entry'!$B$4,F237-1))</f>
        <v>-1</v>
      </c>
      <c r="C237" s="23">
        <f t="shared" si="27"/>
        <v>-1</v>
      </c>
      <c r="D237" s="43">
        <f t="shared" si="28"/>
        <v>-9.0909090909090912E-2</v>
      </c>
      <c r="E237" s="43" t="e">
        <f t="shared" si="31"/>
        <v>#N/A</v>
      </c>
      <c r="F237" s="38">
        <f>'Leave Record'!D239</f>
        <v>0</v>
      </c>
      <c r="G237" s="38">
        <f>'Leave Record'!E239</f>
        <v>0</v>
      </c>
      <c r="H237" s="23">
        <f t="shared" si="29"/>
        <v>1</v>
      </c>
      <c r="I237" s="23">
        <f t="shared" si="32"/>
        <v>0</v>
      </c>
      <c r="J237" s="43" t="e">
        <f t="shared" si="33"/>
        <v>#N/A</v>
      </c>
      <c r="K237" s="23">
        <f>'Leave Record'!F239</f>
        <v>0</v>
      </c>
    </row>
    <row r="238" spans="1:11" x14ac:dyDescent="0.25">
      <c r="A238" s="38">
        <f t="shared" si="30"/>
        <v>1</v>
      </c>
      <c r="B238" s="38">
        <f>IF(K238=$P$15,$M$4,IF(K238=$P$13,'Leave Entry'!$B$4,F238-1))</f>
        <v>-1</v>
      </c>
      <c r="C238" s="23">
        <f t="shared" si="27"/>
        <v>-1</v>
      </c>
      <c r="D238" s="43">
        <f t="shared" si="28"/>
        <v>-9.0909090909090912E-2</v>
      </c>
      <c r="E238" s="43" t="e">
        <f t="shared" si="31"/>
        <v>#N/A</v>
      </c>
      <c r="F238" s="38">
        <f>'Leave Record'!D240</f>
        <v>0</v>
      </c>
      <c r="G238" s="38">
        <f>'Leave Record'!E240</f>
        <v>0</v>
      </c>
      <c r="H238" s="23">
        <f t="shared" si="29"/>
        <v>1</v>
      </c>
      <c r="I238" s="23">
        <f t="shared" si="32"/>
        <v>0</v>
      </c>
      <c r="J238" s="43" t="e">
        <f t="shared" si="33"/>
        <v>#N/A</v>
      </c>
      <c r="K238" s="23">
        <f>'Leave Record'!F240</f>
        <v>0</v>
      </c>
    </row>
    <row r="239" spans="1:11" x14ac:dyDescent="0.25">
      <c r="A239" s="38">
        <f t="shared" si="30"/>
        <v>1</v>
      </c>
      <c r="B239" s="38">
        <f>IF(K239=$P$15,$M$4,IF(K239=$P$13,'Leave Entry'!$B$4,F239-1))</f>
        <v>-1</v>
      </c>
      <c r="C239" s="23">
        <f t="shared" si="27"/>
        <v>-1</v>
      </c>
      <c r="D239" s="43">
        <f t="shared" si="28"/>
        <v>-9.0909090909090912E-2</v>
      </c>
      <c r="E239" s="43" t="e">
        <f t="shared" si="31"/>
        <v>#N/A</v>
      </c>
      <c r="F239" s="38">
        <f>'Leave Record'!D241</f>
        <v>0</v>
      </c>
      <c r="G239" s="38">
        <f>'Leave Record'!E241</f>
        <v>0</v>
      </c>
      <c r="H239" s="23">
        <f t="shared" si="29"/>
        <v>1</v>
      </c>
      <c r="I239" s="23">
        <f t="shared" si="32"/>
        <v>0</v>
      </c>
      <c r="J239" s="43" t="e">
        <f t="shared" si="33"/>
        <v>#N/A</v>
      </c>
      <c r="K239" s="23">
        <f>'Leave Record'!F241</f>
        <v>0</v>
      </c>
    </row>
    <row r="240" spans="1:11" x14ac:dyDescent="0.25">
      <c r="A240" s="38">
        <f t="shared" si="30"/>
        <v>1</v>
      </c>
      <c r="B240" s="38">
        <f>IF(K240=$P$15,$M$4,IF(K240=$P$13,'Leave Entry'!$B$4,F240-1))</f>
        <v>-1</v>
      </c>
      <c r="C240" s="23">
        <f t="shared" si="27"/>
        <v>-1</v>
      </c>
      <c r="D240" s="43">
        <f t="shared" si="28"/>
        <v>-9.0909090909090912E-2</v>
      </c>
      <c r="E240" s="43" t="e">
        <f t="shared" si="31"/>
        <v>#N/A</v>
      </c>
      <c r="F240" s="38">
        <f>'Leave Record'!D242</f>
        <v>0</v>
      </c>
      <c r="G240" s="38">
        <f>'Leave Record'!E242</f>
        <v>0</v>
      </c>
      <c r="H240" s="23">
        <f t="shared" si="29"/>
        <v>1</v>
      </c>
      <c r="I240" s="23">
        <f t="shared" si="32"/>
        <v>0</v>
      </c>
      <c r="J240" s="43" t="e">
        <f t="shared" si="33"/>
        <v>#N/A</v>
      </c>
      <c r="K240" s="23">
        <f>'Leave Record'!F242</f>
        <v>0</v>
      </c>
    </row>
    <row r="241" spans="1:11" x14ac:dyDescent="0.25">
      <c r="A241" s="38">
        <f t="shared" si="30"/>
        <v>1</v>
      </c>
      <c r="B241" s="38">
        <f>IF(K241=$P$15,$M$4,IF(K241=$P$13,'Leave Entry'!$B$4,F241-1))</f>
        <v>-1</v>
      </c>
      <c r="C241" s="23">
        <f t="shared" si="27"/>
        <v>-1</v>
      </c>
      <c r="D241" s="43">
        <f t="shared" si="28"/>
        <v>-9.0909090909090912E-2</v>
      </c>
      <c r="E241" s="43" t="e">
        <f t="shared" si="31"/>
        <v>#N/A</v>
      </c>
      <c r="F241" s="38">
        <f>'Leave Record'!D243</f>
        <v>0</v>
      </c>
      <c r="G241" s="38">
        <f>'Leave Record'!E243</f>
        <v>0</v>
      </c>
      <c r="H241" s="23">
        <f t="shared" si="29"/>
        <v>1</v>
      </c>
      <c r="I241" s="23">
        <f t="shared" si="32"/>
        <v>0</v>
      </c>
      <c r="J241" s="43" t="e">
        <f t="shared" si="33"/>
        <v>#N/A</v>
      </c>
      <c r="K241" s="23">
        <f>'Leave Record'!F243</f>
        <v>0</v>
      </c>
    </row>
    <row r="242" spans="1:11" x14ac:dyDescent="0.25">
      <c r="A242" s="38">
        <f t="shared" si="30"/>
        <v>1</v>
      </c>
      <c r="B242" s="38">
        <f>IF(K242=$P$15,$M$4,IF(K242=$P$13,'Leave Entry'!$B$4,F242-1))</f>
        <v>-1</v>
      </c>
      <c r="C242" s="23">
        <f t="shared" si="27"/>
        <v>-1</v>
      </c>
      <c r="D242" s="43">
        <f t="shared" si="28"/>
        <v>-9.0909090909090912E-2</v>
      </c>
      <c r="E242" s="43" t="e">
        <f t="shared" si="31"/>
        <v>#N/A</v>
      </c>
      <c r="F242" s="38">
        <f>'Leave Record'!D244</f>
        <v>0</v>
      </c>
      <c r="G242" s="38">
        <f>'Leave Record'!E244</f>
        <v>0</v>
      </c>
      <c r="H242" s="23">
        <f t="shared" si="29"/>
        <v>1</v>
      </c>
      <c r="I242" s="23">
        <f t="shared" si="32"/>
        <v>0</v>
      </c>
      <c r="J242" s="43" t="e">
        <f t="shared" si="33"/>
        <v>#N/A</v>
      </c>
      <c r="K242" s="23">
        <f>'Leave Record'!F244</f>
        <v>0</v>
      </c>
    </row>
    <row r="243" spans="1:11" x14ac:dyDescent="0.25">
      <c r="A243" s="38">
        <f t="shared" si="30"/>
        <v>1</v>
      </c>
      <c r="B243" s="38">
        <f>IF(K243=$P$15,$M$4,IF(K243=$P$13,'Leave Entry'!$B$4,F243-1))</f>
        <v>-1</v>
      </c>
      <c r="C243" s="23">
        <f t="shared" si="27"/>
        <v>-1</v>
      </c>
      <c r="D243" s="43">
        <f t="shared" si="28"/>
        <v>-9.0909090909090912E-2</v>
      </c>
      <c r="E243" s="43" t="e">
        <f t="shared" si="31"/>
        <v>#N/A</v>
      </c>
      <c r="F243" s="38">
        <f>'Leave Record'!D245</f>
        <v>0</v>
      </c>
      <c r="G243" s="38">
        <f>'Leave Record'!E245</f>
        <v>0</v>
      </c>
      <c r="H243" s="23">
        <f t="shared" si="29"/>
        <v>1</v>
      </c>
      <c r="I243" s="23">
        <f t="shared" si="32"/>
        <v>0</v>
      </c>
      <c r="J243" s="43" t="e">
        <f t="shared" si="33"/>
        <v>#N/A</v>
      </c>
      <c r="K243" s="23">
        <f>'Leave Record'!F245</f>
        <v>0</v>
      </c>
    </row>
    <row r="244" spans="1:11" x14ac:dyDescent="0.25">
      <c r="A244" s="38">
        <f t="shared" si="30"/>
        <v>1</v>
      </c>
      <c r="B244" s="38">
        <f>IF(K244=$P$15,$M$4,IF(K244=$P$13,'Leave Entry'!$B$4,F244-1))</f>
        <v>-1</v>
      </c>
      <c r="C244" s="23">
        <f t="shared" si="27"/>
        <v>-1</v>
      </c>
      <c r="D244" s="43">
        <f t="shared" si="28"/>
        <v>-9.0909090909090912E-2</v>
      </c>
      <c r="E244" s="43" t="e">
        <f t="shared" si="31"/>
        <v>#N/A</v>
      </c>
      <c r="F244" s="38">
        <f>'Leave Record'!D246</f>
        <v>0</v>
      </c>
      <c r="G244" s="38">
        <f>'Leave Record'!E246</f>
        <v>0</v>
      </c>
      <c r="H244" s="23">
        <f t="shared" si="29"/>
        <v>1</v>
      </c>
      <c r="I244" s="23">
        <f t="shared" si="32"/>
        <v>0</v>
      </c>
      <c r="J244" s="43" t="e">
        <f t="shared" si="33"/>
        <v>#N/A</v>
      </c>
      <c r="K244" s="23">
        <f>'Leave Record'!F246</f>
        <v>0</v>
      </c>
    </row>
    <row r="245" spans="1:11" x14ac:dyDescent="0.25">
      <c r="A245" s="38">
        <f t="shared" si="30"/>
        <v>1</v>
      </c>
      <c r="B245" s="38">
        <f>IF(K245=$P$15,$M$4,IF(K245=$P$13,'Leave Entry'!$B$4,F245-1))</f>
        <v>-1</v>
      </c>
      <c r="C245" s="23">
        <f t="shared" si="27"/>
        <v>-1</v>
      </c>
      <c r="D245" s="43">
        <f t="shared" si="28"/>
        <v>-9.0909090909090912E-2</v>
      </c>
      <c r="E245" s="43" t="e">
        <f t="shared" si="31"/>
        <v>#N/A</v>
      </c>
      <c r="F245" s="38">
        <f>'Leave Record'!D247</f>
        <v>0</v>
      </c>
      <c r="G245" s="38">
        <f>'Leave Record'!E247</f>
        <v>0</v>
      </c>
      <c r="H245" s="23">
        <f t="shared" si="29"/>
        <v>1</v>
      </c>
      <c r="I245" s="23">
        <f t="shared" si="32"/>
        <v>0</v>
      </c>
      <c r="J245" s="43" t="e">
        <f t="shared" si="33"/>
        <v>#N/A</v>
      </c>
      <c r="K245" s="23">
        <f>'Leave Record'!F247</f>
        <v>0</v>
      </c>
    </row>
    <row r="246" spans="1:11" x14ac:dyDescent="0.25">
      <c r="A246" s="38">
        <f t="shared" si="30"/>
        <v>1</v>
      </c>
      <c r="B246" s="38">
        <f>IF(K246=$P$15,$M$4,IF(K246=$P$13,'Leave Entry'!$B$4,F246-1))</f>
        <v>-1</v>
      </c>
      <c r="C246" s="23">
        <f t="shared" si="27"/>
        <v>-1</v>
      </c>
      <c r="D246" s="43">
        <f t="shared" si="28"/>
        <v>-9.0909090909090912E-2</v>
      </c>
      <c r="E246" s="43" t="e">
        <f t="shared" si="31"/>
        <v>#N/A</v>
      </c>
      <c r="F246" s="38">
        <f>'Leave Record'!D248</f>
        <v>0</v>
      </c>
      <c r="G246" s="38">
        <f>'Leave Record'!E248</f>
        <v>0</v>
      </c>
      <c r="H246" s="23">
        <f t="shared" si="29"/>
        <v>1</v>
      </c>
      <c r="I246" s="23">
        <f t="shared" si="32"/>
        <v>0</v>
      </c>
      <c r="J246" s="43" t="e">
        <f t="shared" si="33"/>
        <v>#N/A</v>
      </c>
      <c r="K246" s="23">
        <f>'Leave Record'!F248</f>
        <v>0</v>
      </c>
    </row>
    <row r="247" spans="1:11" x14ac:dyDescent="0.25">
      <c r="A247" s="38">
        <f t="shared" si="30"/>
        <v>1</v>
      </c>
      <c r="B247" s="38">
        <f>IF(K247=$P$15,$M$4,IF(K247=$P$13,'Leave Entry'!$B$4,F247-1))</f>
        <v>-1</v>
      </c>
      <c r="C247" s="23">
        <f t="shared" si="27"/>
        <v>-1</v>
      </c>
      <c r="D247" s="43">
        <f t="shared" si="28"/>
        <v>-9.0909090909090912E-2</v>
      </c>
      <c r="E247" s="43" t="e">
        <f t="shared" si="31"/>
        <v>#N/A</v>
      </c>
      <c r="F247" s="38">
        <f>'Leave Record'!D249</f>
        <v>0</v>
      </c>
      <c r="G247" s="38">
        <f>'Leave Record'!E249</f>
        <v>0</v>
      </c>
      <c r="H247" s="23">
        <f t="shared" si="29"/>
        <v>1</v>
      </c>
      <c r="I247" s="23">
        <f t="shared" si="32"/>
        <v>0</v>
      </c>
      <c r="J247" s="43" t="e">
        <f t="shared" si="33"/>
        <v>#N/A</v>
      </c>
      <c r="K247" s="23">
        <f>'Leave Record'!F249</f>
        <v>0</v>
      </c>
    </row>
    <row r="248" spans="1:11" x14ac:dyDescent="0.25">
      <c r="A248" s="38">
        <f t="shared" si="30"/>
        <v>1</v>
      </c>
      <c r="B248" s="38">
        <f>IF(K248=$P$15,$M$4,IF(K248=$P$13,'Leave Entry'!$B$4,F248-1))</f>
        <v>-1</v>
      </c>
      <c r="C248" s="23">
        <f t="shared" si="27"/>
        <v>-1</v>
      </c>
      <c r="D248" s="43">
        <f t="shared" si="28"/>
        <v>-9.0909090909090912E-2</v>
      </c>
      <c r="E248" s="43" t="e">
        <f t="shared" si="31"/>
        <v>#N/A</v>
      </c>
      <c r="F248" s="38">
        <f>'Leave Record'!D250</f>
        <v>0</v>
      </c>
      <c r="G248" s="38">
        <f>'Leave Record'!E250</f>
        <v>0</v>
      </c>
      <c r="H248" s="23">
        <f t="shared" si="29"/>
        <v>1</v>
      </c>
      <c r="I248" s="23">
        <f t="shared" si="32"/>
        <v>0</v>
      </c>
      <c r="J248" s="43" t="e">
        <f t="shared" si="33"/>
        <v>#N/A</v>
      </c>
      <c r="K248" s="23">
        <f>'Leave Record'!F250</f>
        <v>0</v>
      </c>
    </row>
    <row r="249" spans="1:11" x14ac:dyDescent="0.25">
      <c r="A249" s="38">
        <f t="shared" si="30"/>
        <v>1</v>
      </c>
      <c r="B249" s="38">
        <f>IF(K249=$P$15,$M$4,IF(K249=$P$13,'Leave Entry'!$B$4,F249-1))</f>
        <v>-1</v>
      </c>
      <c r="C249" s="23">
        <f t="shared" si="27"/>
        <v>-1</v>
      </c>
      <c r="D249" s="43">
        <f t="shared" si="28"/>
        <v>-9.0909090909090912E-2</v>
      </c>
      <c r="E249" s="43" t="e">
        <f t="shared" si="31"/>
        <v>#N/A</v>
      </c>
      <c r="F249" s="38">
        <f>'Leave Record'!D251</f>
        <v>0</v>
      </c>
      <c r="G249" s="38">
        <f>'Leave Record'!E251</f>
        <v>0</v>
      </c>
      <c r="H249" s="23">
        <f t="shared" si="29"/>
        <v>1</v>
      </c>
      <c r="I249" s="23">
        <f t="shared" si="32"/>
        <v>0</v>
      </c>
      <c r="J249" s="43" t="e">
        <f t="shared" si="33"/>
        <v>#N/A</v>
      </c>
      <c r="K249" s="23">
        <f>'Leave Record'!F251</f>
        <v>0</v>
      </c>
    </row>
    <row r="250" spans="1:11" x14ac:dyDescent="0.25">
      <c r="A250" s="38">
        <f t="shared" si="30"/>
        <v>1</v>
      </c>
      <c r="B250" s="38">
        <f>IF(K250=$P$15,$M$4,IF(K250=$P$13,'Leave Entry'!$B$4,F250-1))</f>
        <v>-1</v>
      </c>
      <c r="C250" s="23">
        <f t="shared" si="27"/>
        <v>-1</v>
      </c>
      <c r="D250" s="43">
        <f t="shared" si="28"/>
        <v>-9.0909090909090912E-2</v>
      </c>
      <c r="E250" s="43" t="e">
        <f t="shared" si="31"/>
        <v>#N/A</v>
      </c>
      <c r="F250" s="38">
        <f>'Leave Record'!D252</f>
        <v>0</v>
      </c>
      <c r="G250" s="38">
        <f>'Leave Record'!E252</f>
        <v>0</v>
      </c>
      <c r="H250" s="23">
        <f t="shared" si="29"/>
        <v>1</v>
      </c>
      <c r="I250" s="23">
        <f t="shared" si="32"/>
        <v>0</v>
      </c>
      <c r="J250" s="43" t="e">
        <f t="shared" si="33"/>
        <v>#N/A</v>
      </c>
      <c r="K250" s="23">
        <f>'Leave Record'!F252</f>
        <v>0</v>
      </c>
    </row>
    <row r="251" spans="1:11" x14ac:dyDescent="0.25">
      <c r="A251" s="38">
        <f t="shared" si="30"/>
        <v>1</v>
      </c>
      <c r="B251" s="38">
        <f>IF(K251=$P$15,$M$4,IF(K251=$P$13,'Leave Entry'!$B$4,F251-1))</f>
        <v>-1</v>
      </c>
      <c r="C251" s="23">
        <f t="shared" si="27"/>
        <v>-1</v>
      </c>
      <c r="D251" s="43">
        <f t="shared" si="28"/>
        <v>-9.0909090909090912E-2</v>
      </c>
      <c r="E251" s="43" t="e">
        <f t="shared" si="31"/>
        <v>#N/A</v>
      </c>
      <c r="F251" s="38">
        <f>'Leave Record'!D253</f>
        <v>0</v>
      </c>
      <c r="G251" s="38">
        <f>'Leave Record'!E253</f>
        <v>0</v>
      </c>
      <c r="H251" s="23">
        <f t="shared" si="29"/>
        <v>1</v>
      </c>
      <c r="I251" s="23">
        <f t="shared" si="32"/>
        <v>0</v>
      </c>
      <c r="J251" s="43" t="e">
        <f t="shared" si="33"/>
        <v>#N/A</v>
      </c>
      <c r="K251" s="23">
        <f>'Leave Record'!F253</f>
        <v>0</v>
      </c>
    </row>
    <row r="252" spans="1:11" x14ac:dyDescent="0.25">
      <c r="A252" s="38">
        <f t="shared" si="30"/>
        <v>1</v>
      </c>
      <c r="B252" s="38">
        <f>IF(K252=$P$15,$M$4,IF(K252=$P$13,'Leave Entry'!$B$4,F252-1))</f>
        <v>-1</v>
      </c>
      <c r="C252" s="23">
        <f t="shared" si="27"/>
        <v>-1</v>
      </c>
      <c r="D252" s="43">
        <f t="shared" si="28"/>
        <v>-9.0909090909090912E-2</v>
      </c>
      <c r="E252" s="43" t="e">
        <f t="shared" si="31"/>
        <v>#N/A</v>
      </c>
      <c r="F252" s="38">
        <f>'Leave Record'!D254</f>
        <v>0</v>
      </c>
      <c r="G252" s="38">
        <f>'Leave Record'!E254</f>
        <v>0</v>
      </c>
      <c r="H252" s="23">
        <f t="shared" si="29"/>
        <v>1</v>
      </c>
      <c r="I252" s="23">
        <f t="shared" si="32"/>
        <v>0</v>
      </c>
      <c r="J252" s="43" t="e">
        <f t="shared" si="33"/>
        <v>#N/A</v>
      </c>
      <c r="K252" s="23">
        <f>'Leave Record'!F254</f>
        <v>0</v>
      </c>
    </row>
    <row r="253" spans="1:11" x14ac:dyDescent="0.25">
      <c r="A253" s="38">
        <f t="shared" si="30"/>
        <v>1</v>
      </c>
      <c r="B253" s="38">
        <f>IF(K253=$P$15,$M$4,IF(K253=$P$13,'Leave Entry'!$B$4,F253-1))</f>
        <v>-1</v>
      </c>
      <c r="C253" s="23">
        <f t="shared" si="27"/>
        <v>-1</v>
      </c>
      <c r="D253" s="43">
        <f t="shared" si="28"/>
        <v>-9.0909090909090912E-2</v>
      </c>
      <c r="E253" s="43" t="e">
        <f t="shared" si="31"/>
        <v>#N/A</v>
      </c>
      <c r="F253" s="38">
        <f>'Leave Record'!D255</f>
        <v>0</v>
      </c>
      <c r="G253" s="38">
        <f>'Leave Record'!E255</f>
        <v>0</v>
      </c>
      <c r="H253" s="23">
        <f t="shared" si="29"/>
        <v>1</v>
      </c>
      <c r="I253" s="23">
        <f t="shared" si="32"/>
        <v>0</v>
      </c>
      <c r="J253" s="43" t="e">
        <f t="shared" si="33"/>
        <v>#N/A</v>
      </c>
      <c r="K253" s="23">
        <f>'Leave Record'!F255</f>
        <v>0</v>
      </c>
    </row>
    <row r="254" spans="1:11" x14ac:dyDescent="0.25">
      <c r="A254" s="38">
        <f t="shared" si="30"/>
        <v>1</v>
      </c>
      <c r="B254" s="38">
        <f>IF(K254=$P$15,$M$4,IF(K254=$P$13,'Leave Entry'!$B$4,F254-1))</f>
        <v>-1</v>
      </c>
      <c r="C254" s="23">
        <f t="shared" si="27"/>
        <v>-1</v>
      </c>
      <c r="D254" s="43">
        <f t="shared" si="28"/>
        <v>-9.0909090909090912E-2</v>
      </c>
      <c r="E254" s="43" t="e">
        <f t="shared" si="31"/>
        <v>#N/A</v>
      </c>
      <c r="F254" s="38">
        <f>'Leave Record'!D256</f>
        <v>0</v>
      </c>
      <c r="G254" s="38">
        <f>'Leave Record'!E256</f>
        <v>0</v>
      </c>
      <c r="H254" s="23">
        <f t="shared" si="29"/>
        <v>1</v>
      </c>
      <c r="I254" s="23">
        <f t="shared" si="32"/>
        <v>0</v>
      </c>
      <c r="J254" s="43" t="e">
        <f t="shared" si="33"/>
        <v>#N/A</v>
      </c>
      <c r="K254" s="23">
        <f>'Leave Record'!F256</f>
        <v>0</v>
      </c>
    </row>
    <row r="255" spans="1:11" x14ac:dyDescent="0.25">
      <c r="A255" s="38">
        <f t="shared" si="30"/>
        <v>1</v>
      </c>
      <c r="B255" s="38">
        <f>IF(K255=$P$15,$M$4,IF(K255=$P$13,'Leave Entry'!$B$4,F255-1))</f>
        <v>-1</v>
      </c>
      <c r="C255" s="23">
        <f t="shared" si="27"/>
        <v>-1</v>
      </c>
      <c r="D255" s="43">
        <f t="shared" si="28"/>
        <v>-9.0909090909090912E-2</v>
      </c>
      <c r="E255" s="43" t="e">
        <f t="shared" si="31"/>
        <v>#N/A</v>
      </c>
      <c r="F255" s="38">
        <f>'Leave Record'!D257</f>
        <v>0</v>
      </c>
      <c r="G255" s="38">
        <f>'Leave Record'!E257</f>
        <v>0</v>
      </c>
      <c r="H255" s="23">
        <f t="shared" si="29"/>
        <v>1</v>
      </c>
      <c r="I255" s="23">
        <f t="shared" si="32"/>
        <v>0</v>
      </c>
      <c r="J255" s="43" t="e">
        <f t="shared" si="33"/>
        <v>#N/A</v>
      </c>
      <c r="K255" s="23">
        <f>'Leave Record'!F257</f>
        <v>0</v>
      </c>
    </row>
    <row r="256" spans="1:11" x14ac:dyDescent="0.25">
      <c r="A256" s="38">
        <f t="shared" si="30"/>
        <v>1</v>
      </c>
      <c r="B256" s="38">
        <f>IF(K256=$P$15,$M$4,IF(K256=$P$13,'Leave Entry'!$B$4,F256-1))</f>
        <v>-1</v>
      </c>
      <c r="C256" s="23">
        <f t="shared" si="27"/>
        <v>-1</v>
      </c>
      <c r="D256" s="43">
        <f t="shared" si="28"/>
        <v>-9.0909090909090912E-2</v>
      </c>
      <c r="E256" s="43" t="e">
        <f t="shared" si="31"/>
        <v>#N/A</v>
      </c>
      <c r="F256" s="38">
        <f>'Leave Record'!D258</f>
        <v>0</v>
      </c>
      <c r="G256" s="38">
        <f>'Leave Record'!E258</f>
        <v>0</v>
      </c>
      <c r="H256" s="23">
        <f t="shared" si="29"/>
        <v>1</v>
      </c>
      <c r="I256" s="23">
        <f t="shared" si="32"/>
        <v>0</v>
      </c>
      <c r="J256" s="43" t="e">
        <f t="shared" si="33"/>
        <v>#N/A</v>
      </c>
      <c r="K256" s="23">
        <f>'Leave Record'!F258</f>
        <v>0</v>
      </c>
    </row>
    <row r="257" spans="1:11" x14ac:dyDescent="0.25">
      <c r="A257" s="38">
        <f t="shared" si="30"/>
        <v>1</v>
      </c>
      <c r="B257" s="38">
        <f>IF(K257=$P$15,$M$4,IF(K257=$P$13,'Leave Entry'!$B$4,F257-1))</f>
        <v>-1</v>
      </c>
      <c r="C257" s="23">
        <f t="shared" si="27"/>
        <v>-1</v>
      </c>
      <c r="D257" s="43">
        <f t="shared" si="28"/>
        <v>-9.0909090909090912E-2</v>
      </c>
      <c r="E257" s="43" t="e">
        <f t="shared" si="31"/>
        <v>#N/A</v>
      </c>
      <c r="F257" s="38">
        <f>'Leave Record'!D259</f>
        <v>0</v>
      </c>
      <c r="G257" s="38">
        <f>'Leave Record'!E259</f>
        <v>0</v>
      </c>
      <c r="H257" s="23">
        <f t="shared" si="29"/>
        <v>1</v>
      </c>
      <c r="I257" s="23">
        <f t="shared" si="32"/>
        <v>0</v>
      </c>
      <c r="J257" s="43" t="e">
        <f t="shared" si="33"/>
        <v>#N/A</v>
      </c>
      <c r="K257" s="23">
        <f>'Leave Record'!F259</f>
        <v>0</v>
      </c>
    </row>
    <row r="258" spans="1:11" x14ac:dyDescent="0.25">
      <c r="A258" s="38">
        <f t="shared" si="30"/>
        <v>1</v>
      </c>
      <c r="B258" s="38">
        <f>IF(K258=$P$15,$M$4,IF(K258=$P$13,'Leave Entry'!$B$4,F258-1))</f>
        <v>-1</v>
      </c>
      <c r="C258" s="23">
        <f t="shared" si="27"/>
        <v>-1</v>
      </c>
      <c r="D258" s="43">
        <f t="shared" si="28"/>
        <v>-9.0909090909090912E-2</v>
      </c>
      <c r="E258" s="43" t="e">
        <f t="shared" si="31"/>
        <v>#N/A</v>
      </c>
      <c r="F258" s="38">
        <f>'Leave Record'!D260</f>
        <v>0</v>
      </c>
      <c r="G258" s="38">
        <f>'Leave Record'!E260</f>
        <v>0</v>
      </c>
      <c r="H258" s="23">
        <f t="shared" si="29"/>
        <v>1</v>
      </c>
      <c r="I258" s="23">
        <f t="shared" si="32"/>
        <v>0</v>
      </c>
      <c r="J258" s="43" t="e">
        <f t="shared" si="33"/>
        <v>#N/A</v>
      </c>
      <c r="K258" s="23">
        <f>'Leave Record'!F260</f>
        <v>0</v>
      </c>
    </row>
    <row r="259" spans="1:11" x14ac:dyDescent="0.25">
      <c r="A259" s="38">
        <f t="shared" si="30"/>
        <v>1</v>
      </c>
      <c r="B259" s="38">
        <f>IF(K259=$P$15,$M$4,IF(K259=$P$13,'Leave Entry'!$B$4,F259-1))</f>
        <v>-1</v>
      </c>
      <c r="C259" s="23">
        <f t="shared" si="27"/>
        <v>-1</v>
      </c>
      <c r="D259" s="43">
        <f t="shared" si="28"/>
        <v>-9.0909090909090912E-2</v>
      </c>
      <c r="E259" s="43" t="e">
        <f t="shared" si="31"/>
        <v>#N/A</v>
      </c>
      <c r="F259" s="38">
        <f>'Leave Record'!D261</f>
        <v>0</v>
      </c>
      <c r="G259" s="38">
        <f>'Leave Record'!E261</f>
        <v>0</v>
      </c>
      <c r="H259" s="23">
        <f t="shared" si="29"/>
        <v>1</v>
      </c>
      <c r="I259" s="23">
        <f t="shared" si="32"/>
        <v>0</v>
      </c>
      <c r="J259" s="43" t="e">
        <f t="shared" si="33"/>
        <v>#N/A</v>
      </c>
      <c r="K259" s="23">
        <f>'Leave Record'!F261</f>
        <v>0</v>
      </c>
    </row>
    <row r="260" spans="1:11" x14ac:dyDescent="0.25">
      <c r="A260" s="38">
        <f t="shared" si="30"/>
        <v>1</v>
      </c>
      <c r="B260" s="38">
        <f>IF(K260=$P$15,$M$4,IF(K260=$P$13,'Leave Entry'!$B$4,F260-1))</f>
        <v>-1</v>
      </c>
      <c r="C260" s="23">
        <f t="shared" si="27"/>
        <v>-1</v>
      </c>
      <c r="D260" s="43">
        <f t="shared" si="28"/>
        <v>-9.0909090909090912E-2</v>
      </c>
      <c r="E260" s="43" t="e">
        <f t="shared" si="31"/>
        <v>#N/A</v>
      </c>
      <c r="F260" s="38">
        <f>'Leave Record'!D262</f>
        <v>0</v>
      </c>
      <c r="G260" s="38">
        <f>'Leave Record'!E262</f>
        <v>0</v>
      </c>
      <c r="H260" s="23">
        <f t="shared" si="29"/>
        <v>1</v>
      </c>
      <c r="I260" s="23">
        <f t="shared" si="32"/>
        <v>0</v>
      </c>
      <c r="J260" s="43" t="e">
        <f t="shared" si="33"/>
        <v>#N/A</v>
      </c>
      <c r="K260" s="23">
        <f>'Leave Record'!F262</f>
        <v>0</v>
      </c>
    </row>
    <row r="261" spans="1:11" x14ac:dyDescent="0.25">
      <c r="A261" s="38">
        <f t="shared" si="30"/>
        <v>1</v>
      </c>
      <c r="B261" s="38">
        <f>IF(K261=$P$15,$M$4,IF(K261=$P$13,'Leave Entry'!$B$4,F261-1))</f>
        <v>-1</v>
      </c>
      <c r="C261" s="23">
        <f t="shared" si="27"/>
        <v>-1</v>
      </c>
      <c r="D261" s="43">
        <f t="shared" si="28"/>
        <v>-9.0909090909090912E-2</v>
      </c>
      <c r="E261" s="43" t="e">
        <f t="shared" si="31"/>
        <v>#N/A</v>
      </c>
      <c r="F261" s="38">
        <f>'Leave Record'!D263</f>
        <v>0</v>
      </c>
      <c r="G261" s="38">
        <f>'Leave Record'!E263</f>
        <v>0</v>
      </c>
      <c r="H261" s="23">
        <f t="shared" si="29"/>
        <v>1</v>
      </c>
      <c r="I261" s="23">
        <f t="shared" si="32"/>
        <v>0</v>
      </c>
      <c r="J261" s="43" t="e">
        <f t="shared" si="33"/>
        <v>#N/A</v>
      </c>
      <c r="K261" s="23">
        <f>'Leave Record'!F263</f>
        <v>0</v>
      </c>
    </row>
    <row r="262" spans="1:11" x14ac:dyDescent="0.25">
      <c r="A262" s="38">
        <f t="shared" si="30"/>
        <v>1</v>
      </c>
      <c r="B262" s="38">
        <f>IF(K262=$P$15,$M$4,IF(K262=$P$13,'Leave Entry'!$B$4,F262-1))</f>
        <v>-1</v>
      </c>
      <c r="C262" s="23">
        <f t="shared" ref="C262:C325" si="34">B262-A262+1</f>
        <v>-1</v>
      </c>
      <c r="D262" s="43">
        <f t="shared" ref="D262:D325" si="35">C262/11</f>
        <v>-9.0909090909090912E-2</v>
      </c>
      <c r="E262" s="43" t="e">
        <f t="shared" si="31"/>
        <v>#N/A</v>
      </c>
      <c r="F262" s="38">
        <f>'Leave Record'!D264</f>
        <v>0</v>
      </c>
      <c r="G262" s="38">
        <f>'Leave Record'!E264</f>
        <v>0</v>
      </c>
      <c r="H262" s="23">
        <f t="shared" ref="H262:H325" si="36">G262-F262+1</f>
        <v>1</v>
      </c>
      <c r="I262" s="23">
        <f t="shared" si="32"/>
        <v>0</v>
      </c>
      <c r="J262" s="43" t="e">
        <f t="shared" si="33"/>
        <v>#N/A</v>
      </c>
      <c r="K262" s="23">
        <f>'Leave Record'!F264</f>
        <v>0</v>
      </c>
    </row>
    <row r="263" spans="1:11" x14ac:dyDescent="0.25">
      <c r="A263" s="38">
        <f t="shared" si="30"/>
        <v>1</v>
      </c>
      <c r="B263" s="38">
        <f>IF(K263=$P$15,$M$4,IF(K263=$P$13,'Leave Entry'!$B$4,F263-1))</f>
        <v>-1</v>
      </c>
      <c r="C263" s="23">
        <f t="shared" si="34"/>
        <v>-1</v>
      </c>
      <c r="D263" s="43">
        <f t="shared" si="35"/>
        <v>-9.0909090909090912E-2</v>
      </c>
      <c r="E263" s="43" t="e">
        <f t="shared" si="31"/>
        <v>#N/A</v>
      </c>
      <c r="F263" s="38">
        <f>'Leave Record'!D265</f>
        <v>0</v>
      </c>
      <c r="G263" s="38">
        <f>'Leave Record'!E265</f>
        <v>0</v>
      </c>
      <c r="H263" s="23">
        <f t="shared" si="36"/>
        <v>1</v>
      </c>
      <c r="I263" s="23">
        <f t="shared" si="32"/>
        <v>0</v>
      </c>
      <c r="J263" s="43" t="e">
        <f t="shared" si="33"/>
        <v>#N/A</v>
      </c>
      <c r="K263" s="23">
        <f>'Leave Record'!F265</f>
        <v>0</v>
      </c>
    </row>
    <row r="264" spans="1:11" x14ac:dyDescent="0.25">
      <c r="A264" s="38">
        <f t="shared" si="30"/>
        <v>1</v>
      </c>
      <c r="B264" s="38">
        <f>IF(K264=$P$15,$M$4,IF(K264=$P$13,'Leave Entry'!$B$4,F264-1))</f>
        <v>-1</v>
      </c>
      <c r="C264" s="23">
        <f t="shared" si="34"/>
        <v>-1</v>
      </c>
      <c r="D264" s="43">
        <f t="shared" si="35"/>
        <v>-9.0909090909090912E-2</v>
      </c>
      <c r="E264" s="43" t="e">
        <f t="shared" si="31"/>
        <v>#N/A</v>
      </c>
      <c r="F264" s="38">
        <f>'Leave Record'!D266</f>
        <v>0</v>
      </c>
      <c r="G264" s="38">
        <f>'Leave Record'!E266</f>
        <v>0</v>
      </c>
      <c r="H264" s="23">
        <f t="shared" si="36"/>
        <v>1</v>
      </c>
      <c r="I264" s="23">
        <f t="shared" si="32"/>
        <v>0</v>
      </c>
      <c r="J264" s="43" t="e">
        <f t="shared" si="33"/>
        <v>#N/A</v>
      </c>
      <c r="K264" s="23">
        <f>'Leave Record'!F266</f>
        <v>0</v>
      </c>
    </row>
    <row r="265" spans="1:11" x14ac:dyDescent="0.25">
      <c r="A265" s="38">
        <f t="shared" ref="A265:A328" si="37">G264+1</f>
        <v>1</v>
      </c>
      <c r="B265" s="38">
        <f>IF(K265=$P$15,$M$4,IF(K265=$P$13,'Leave Entry'!$B$4,F265-1))</f>
        <v>-1</v>
      </c>
      <c r="C265" s="23">
        <f t="shared" si="34"/>
        <v>-1</v>
      </c>
      <c r="D265" s="43">
        <f t="shared" si="35"/>
        <v>-9.0909090909090912E-2</v>
      </c>
      <c r="E265" s="43" t="e">
        <f t="shared" ref="E265:E328" si="38">J264+D265</f>
        <v>#N/A</v>
      </c>
      <c r="F265" s="38">
        <f>'Leave Record'!D267</f>
        <v>0</v>
      </c>
      <c r="G265" s="38">
        <f>'Leave Record'!E267</f>
        <v>0</v>
      </c>
      <c r="H265" s="23">
        <f t="shared" si="36"/>
        <v>1</v>
      </c>
      <c r="I265" s="23">
        <f t="shared" ref="I265:I328" si="39">IF(K265=$P$14,H265,0)</f>
        <v>0</v>
      </c>
      <c r="J265" s="43" t="e">
        <f t="shared" ref="J265:J328" si="40">E265-I265</f>
        <v>#N/A</v>
      </c>
      <c r="K265" s="23">
        <f>'Leave Record'!F267</f>
        <v>0</v>
      </c>
    </row>
    <row r="266" spans="1:11" x14ac:dyDescent="0.25">
      <c r="A266" s="38">
        <f t="shared" si="37"/>
        <v>1</v>
      </c>
      <c r="B266" s="38">
        <f>IF(K266=$P$15,$M$4,IF(K266=$P$13,'Leave Entry'!$B$4,F266-1))</f>
        <v>-1</v>
      </c>
      <c r="C266" s="23">
        <f t="shared" si="34"/>
        <v>-1</v>
      </c>
      <c r="D266" s="43">
        <f t="shared" si="35"/>
        <v>-9.0909090909090912E-2</v>
      </c>
      <c r="E266" s="43" t="e">
        <f t="shared" si="38"/>
        <v>#N/A</v>
      </c>
      <c r="F266" s="38">
        <f>'Leave Record'!D268</f>
        <v>0</v>
      </c>
      <c r="G266" s="38">
        <f>'Leave Record'!E268</f>
        <v>0</v>
      </c>
      <c r="H266" s="23">
        <f t="shared" si="36"/>
        <v>1</v>
      </c>
      <c r="I266" s="23">
        <f t="shared" si="39"/>
        <v>0</v>
      </c>
      <c r="J266" s="43" t="e">
        <f t="shared" si="40"/>
        <v>#N/A</v>
      </c>
      <c r="K266" s="23">
        <f>'Leave Record'!F268</f>
        <v>0</v>
      </c>
    </row>
    <row r="267" spans="1:11" x14ac:dyDescent="0.25">
      <c r="A267" s="38">
        <f t="shared" si="37"/>
        <v>1</v>
      </c>
      <c r="B267" s="38">
        <f>IF(K267=$P$15,$M$4,IF(K267=$P$13,'Leave Entry'!$B$4,F267-1))</f>
        <v>-1</v>
      </c>
      <c r="C267" s="23">
        <f t="shared" si="34"/>
        <v>-1</v>
      </c>
      <c r="D267" s="43">
        <f t="shared" si="35"/>
        <v>-9.0909090909090912E-2</v>
      </c>
      <c r="E267" s="43" t="e">
        <f t="shared" si="38"/>
        <v>#N/A</v>
      </c>
      <c r="F267" s="38">
        <f>'Leave Record'!D269</f>
        <v>0</v>
      </c>
      <c r="G267" s="38">
        <f>'Leave Record'!E269</f>
        <v>0</v>
      </c>
      <c r="H267" s="23">
        <f t="shared" si="36"/>
        <v>1</v>
      </c>
      <c r="I267" s="23">
        <f t="shared" si="39"/>
        <v>0</v>
      </c>
      <c r="J267" s="43" t="e">
        <f t="shared" si="40"/>
        <v>#N/A</v>
      </c>
      <c r="K267" s="23">
        <f>'Leave Record'!F269</f>
        <v>0</v>
      </c>
    </row>
    <row r="268" spans="1:11" x14ac:dyDescent="0.25">
      <c r="A268" s="38">
        <f t="shared" si="37"/>
        <v>1</v>
      </c>
      <c r="B268" s="38">
        <f>IF(K268=$P$15,$M$4,IF(K268=$P$13,'Leave Entry'!$B$4,F268-1))</f>
        <v>-1</v>
      </c>
      <c r="C268" s="23">
        <f t="shared" si="34"/>
        <v>-1</v>
      </c>
      <c r="D268" s="43">
        <f t="shared" si="35"/>
        <v>-9.0909090909090912E-2</v>
      </c>
      <c r="E268" s="43" t="e">
        <f t="shared" si="38"/>
        <v>#N/A</v>
      </c>
      <c r="F268" s="38">
        <f>'Leave Record'!D270</f>
        <v>0</v>
      </c>
      <c r="G268" s="38">
        <f>'Leave Record'!E270</f>
        <v>0</v>
      </c>
      <c r="H268" s="23">
        <f t="shared" si="36"/>
        <v>1</v>
      </c>
      <c r="I268" s="23">
        <f t="shared" si="39"/>
        <v>0</v>
      </c>
      <c r="J268" s="43" t="e">
        <f t="shared" si="40"/>
        <v>#N/A</v>
      </c>
      <c r="K268" s="23">
        <f>'Leave Record'!F270</f>
        <v>0</v>
      </c>
    </row>
    <row r="269" spans="1:11" x14ac:dyDescent="0.25">
      <c r="A269" s="38">
        <f t="shared" si="37"/>
        <v>1</v>
      </c>
      <c r="B269" s="38">
        <f>IF(K269=$P$15,$M$4,IF(K269=$P$13,'Leave Entry'!$B$4,F269-1))</f>
        <v>-1</v>
      </c>
      <c r="C269" s="23">
        <f t="shared" si="34"/>
        <v>-1</v>
      </c>
      <c r="D269" s="43">
        <f t="shared" si="35"/>
        <v>-9.0909090909090912E-2</v>
      </c>
      <c r="E269" s="43" t="e">
        <f t="shared" si="38"/>
        <v>#N/A</v>
      </c>
      <c r="F269" s="38">
        <f>'Leave Record'!D271</f>
        <v>0</v>
      </c>
      <c r="G269" s="38">
        <f>'Leave Record'!E271</f>
        <v>0</v>
      </c>
      <c r="H269" s="23">
        <f t="shared" si="36"/>
        <v>1</v>
      </c>
      <c r="I269" s="23">
        <f t="shared" si="39"/>
        <v>0</v>
      </c>
      <c r="J269" s="43" t="e">
        <f t="shared" si="40"/>
        <v>#N/A</v>
      </c>
      <c r="K269" s="23">
        <f>'Leave Record'!F271</f>
        <v>0</v>
      </c>
    </row>
    <row r="270" spans="1:11" x14ac:dyDescent="0.25">
      <c r="A270" s="38">
        <f t="shared" si="37"/>
        <v>1</v>
      </c>
      <c r="B270" s="38">
        <f>IF(K270=$P$15,$M$4,IF(K270=$P$13,'Leave Entry'!$B$4,F270-1))</f>
        <v>-1</v>
      </c>
      <c r="C270" s="23">
        <f t="shared" si="34"/>
        <v>-1</v>
      </c>
      <c r="D270" s="43">
        <f t="shared" si="35"/>
        <v>-9.0909090909090912E-2</v>
      </c>
      <c r="E270" s="43" t="e">
        <f t="shared" si="38"/>
        <v>#N/A</v>
      </c>
      <c r="F270" s="38">
        <f>'Leave Record'!D272</f>
        <v>0</v>
      </c>
      <c r="G270" s="38">
        <f>'Leave Record'!E272</f>
        <v>0</v>
      </c>
      <c r="H270" s="23">
        <f t="shared" si="36"/>
        <v>1</v>
      </c>
      <c r="I270" s="23">
        <f t="shared" si="39"/>
        <v>0</v>
      </c>
      <c r="J270" s="43" t="e">
        <f t="shared" si="40"/>
        <v>#N/A</v>
      </c>
      <c r="K270" s="23">
        <f>'Leave Record'!F272</f>
        <v>0</v>
      </c>
    </row>
    <row r="271" spans="1:11" x14ac:dyDescent="0.25">
      <c r="A271" s="38">
        <f t="shared" si="37"/>
        <v>1</v>
      </c>
      <c r="B271" s="38">
        <f>IF(K271=$P$15,$M$4,IF(K271=$P$13,'Leave Entry'!$B$4,F271-1))</f>
        <v>-1</v>
      </c>
      <c r="C271" s="23">
        <f t="shared" si="34"/>
        <v>-1</v>
      </c>
      <c r="D271" s="43">
        <f t="shared" si="35"/>
        <v>-9.0909090909090912E-2</v>
      </c>
      <c r="E271" s="43" t="e">
        <f t="shared" si="38"/>
        <v>#N/A</v>
      </c>
      <c r="F271" s="38">
        <f>'Leave Record'!D273</f>
        <v>0</v>
      </c>
      <c r="G271" s="38">
        <f>'Leave Record'!E273</f>
        <v>0</v>
      </c>
      <c r="H271" s="23">
        <f t="shared" si="36"/>
        <v>1</v>
      </c>
      <c r="I271" s="23">
        <f t="shared" si="39"/>
        <v>0</v>
      </c>
      <c r="J271" s="43" t="e">
        <f t="shared" si="40"/>
        <v>#N/A</v>
      </c>
      <c r="K271" s="23">
        <f>'Leave Record'!F273</f>
        <v>0</v>
      </c>
    </row>
    <row r="272" spans="1:11" x14ac:dyDescent="0.25">
      <c r="A272" s="38">
        <f t="shared" si="37"/>
        <v>1</v>
      </c>
      <c r="B272" s="38">
        <f>IF(K272=$P$15,$M$4,IF(K272=$P$13,'Leave Entry'!$B$4,F272-1))</f>
        <v>-1</v>
      </c>
      <c r="C272" s="23">
        <f t="shared" si="34"/>
        <v>-1</v>
      </c>
      <c r="D272" s="43">
        <f t="shared" si="35"/>
        <v>-9.0909090909090912E-2</v>
      </c>
      <c r="E272" s="43" t="e">
        <f t="shared" si="38"/>
        <v>#N/A</v>
      </c>
      <c r="F272" s="38">
        <f>'Leave Record'!D274</f>
        <v>0</v>
      </c>
      <c r="G272" s="38">
        <f>'Leave Record'!E274</f>
        <v>0</v>
      </c>
      <c r="H272" s="23">
        <f t="shared" si="36"/>
        <v>1</v>
      </c>
      <c r="I272" s="23">
        <f t="shared" si="39"/>
        <v>0</v>
      </c>
      <c r="J272" s="43" t="e">
        <f t="shared" si="40"/>
        <v>#N/A</v>
      </c>
      <c r="K272" s="23">
        <f>'Leave Record'!F274</f>
        <v>0</v>
      </c>
    </row>
    <row r="273" spans="1:11" x14ac:dyDescent="0.25">
      <c r="A273" s="38">
        <f t="shared" si="37"/>
        <v>1</v>
      </c>
      <c r="B273" s="38">
        <f>IF(K273=$P$15,$M$4,IF(K273=$P$13,'Leave Entry'!$B$4,F273-1))</f>
        <v>-1</v>
      </c>
      <c r="C273" s="23">
        <f t="shared" si="34"/>
        <v>-1</v>
      </c>
      <c r="D273" s="43">
        <f t="shared" si="35"/>
        <v>-9.0909090909090912E-2</v>
      </c>
      <c r="E273" s="43" t="e">
        <f t="shared" si="38"/>
        <v>#N/A</v>
      </c>
      <c r="F273" s="38">
        <f>'Leave Record'!D275</f>
        <v>0</v>
      </c>
      <c r="G273" s="38">
        <f>'Leave Record'!E275</f>
        <v>0</v>
      </c>
      <c r="H273" s="23">
        <f t="shared" si="36"/>
        <v>1</v>
      </c>
      <c r="I273" s="23">
        <f t="shared" si="39"/>
        <v>0</v>
      </c>
      <c r="J273" s="43" t="e">
        <f t="shared" si="40"/>
        <v>#N/A</v>
      </c>
      <c r="K273" s="23">
        <f>'Leave Record'!F275</f>
        <v>0</v>
      </c>
    </row>
    <row r="274" spans="1:11" x14ac:dyDescent="0.25">
      <c r="A274" s="38">
        <f t="shared" si="37"/>
        <v>1</v>
      </c>
      <c r="B274" s="38">
        <f>IF(K274=$P$15,$M$4,IF(K274=$P$13,'Leave Entry'!$B$4,F274-1))</f>
        <v>-1</v>
      </c>
      <c r="C274" s="23">
        <f t="shared" si="34"/>
        <v>-1</v>
      </c>
      <c r="D274" s="43">
        <f t="shared" si="35"/>
        <v>-9.0909090909090912E-2</v>
      </c>
      <c r="E274" s="43" t="e">
        <f t="shared" si="38"/>
        <v>#N/A</v>
      </c>
      <c r="F274" s="38">
        <f>'Leave Record'!D276</f>
        <v>0</v>
      </c>
      <c r="G274" s="38">
        <f>'Leave Record'!E276</f>
        <v>0</v>
      </c>
      <c r="H274" s="23">
        <f t="shared" si="36"/>
        <v>1</v>
      </c>
      <c r="I274" s="23">
        <f t="shared" si="39"/>
        <v>0</v>
      </c>
      <c r="J274" s="43" t="e">
        <f t="shared" si="40"/>
        <v>#N/A</v>
      </c>
      <c r="K274" s="23">
        <f>'Leave Record'!F276</f>
        <v>0</v>
      </c>
    </row>
    <row r="275" spans="1:11" x14ac:dyDescent="0.25">
      <c r="A275" s="38">
        <f t="shared" si="37"/>
        <v>1</v>
      </c>
      <c r="B275" s="38">
        <f>IF(K275=$P$15,$M$4,IF(K275=$P$13,'Leave Entry'!$B$4,F275-1))</f>
        <v>-1</v>
      </c>
      <c r="C275" s="23">
        <f t="shared" si="34"/>
        <v>-1</v>
      </c>
      <c r="D275" s="43">
        <f t="shared" si="35"/>
        <v>-9.0909090909090912E-2</v>
      </c>
      <c r="E275" s="43" t="e">
        <f t="shared" si="38"/>
        <v>#N/A</v>
      </c>
      <c r="F275" s="38">
        <f>'Leave Record'!D277</f>
        <v>0</v>
      </c>
      <c r="G275" s="38">
        <f>'Leave Record'!E277</f>
        <v>0</v>
      </c>
      <c r="H275" s="23">
        <f t="shared" si="36"/>
        <v>1</v>
      </c>
      <c r="I275" s="23">
        <f t="shared" si="39"/>
        <v>0</v>
      </c>
      <c r="J275" s="43" t="e">
        <f t="shared" si="40"/>
        <v>#N/A</v>
      </c>
      <c r="K275" s="23">
        <f>'Leave Record'!F277</f>
        <v>0</v>
      </c>
    </row>
    <row r="276" spans="1:11" x14ac:dyDescent="0.25">
      <c r="A276" s="38">
        <f t="shared" si="37"/>
        <v>1</v>
      </c>
      <c r="B276" s="38">
        <f>IF(K276=$P$15,$M$4,IF(K276=$P$13,'Leave Entry'!$B$4,F276-1))</f>
        <v>-1</v>
      </c>
      <c r="C276" s="23">
        <f t="shared" si="34"/>
        <v>-1</v>
      </c>
      <c r="D276" s="43">
        <f t="shared" si="35"/>
        <v>-9.0909090909090912E-2</v>
      </c>
      <c r="E276" s="43" t="e">
        <f t="shared" si="38"/>
        <v>#N/A</v>
      </c>
      <c r="F276" s="38">
        <f>'Leave Record'!D278</f>
        <v>0</v>
      </c>
      <c r="G276" s="38">
        <f>'Leave Record'!E278</f>
        <v>0</v>
      </c>
      <c r="H276" s="23">
        <f t="shared" si="36"/>
        <v>1</v>
      </c>
      <c r="I276" s="23">
        <f t="shared" si="39"/>
        <v>0</v>
      </c>
      <c r="J276" s="43" t="e">
        <f t="shared" si="40"/>
        <v>#N/A</v>
      </c>
      <c r="K276" s="23">
        <f>'Leave Record'!F278</f>
        <v>0</v>
      </c>
    </row>
    <row r="277" spans="1:11" x14ac:dyDescent="0.25">
      <c r="A277" s="38">
        <f t="shared" si="37"/>
        <v>1</v>
      </c>
      <c r="B277" s="38">
        <f>IF(K277=$P$15,$M$4,IF(K277=$P$13,'Leave Entry'!$B$4,F277-1))</f>
        <v>-1</v>
      </c>
      <c r="C277" s="23">
        <f t="shared" si="34"/>
        <v>-1</v>
      </c>
      <c r="D277" s="43">
        <f t="shared" si="35"/>
        <v>-9.0909090909090912E-2</v>
      </c>
      <c r="E277" s="43" t="e">
        <f t="shared" si="38"/>
        <v>#N/A</v>
      </c>
      <c r="F277" s="38">
        <f>'Leave Record'!D279</f>
        <v>0</v>
      </c>
      <c r="G277" s="38">
        <f>'Leave Record'!E279</f>
        <v>0</v>
      </c>
      <c r="H277" s="23">
        <f t="shared" si="36"/>
        <v>1</v>
      </c>
      <c r="I277" s="23">
        <f t="shared" si="39"/>
        <v>0</v>
      </c>
      <c r="J277" s="43" t="e">
        <f t="shared" si="40"/>
        <v>#N/A</v>
      </c>
      <c r="K277" s="23">
        <f>'Leave Record'!F279</f>
        <v>0</v>
      </c>
    </row>
    <row r="278" spans="1:11" x14ac:dyDescent="0.25">
      <c r="A278" s="38">
        <f t="shared" si="37"/>
        <v>1</v>
      </c>
      <c r="B278" s="38">
        <f>IF(K278=$P$15,$M$4,IF(K278=$P$13,'Leave Entry'!$B$4,F278-1))</f>
        <v>-1</v>
      </c>
      <c r="C278" s="23">
        <f t="shared" si="34"/>
        <v>-1</v>
      </c>
      <c r="D278" s="43">
        <f t="shared" si="35"/>
        <v>-9.0909090909090912E-2</v>
      </c>
      <c r="E278" s="43" t="e">
        <f t="shared" si="38"/>
        <v>#N/A</v>
      </c>
      <c r="F278" s="38">
        <f>'Leave Record'!D280</f>
        <v>0</v>
      </c>
      <c r="G278" s="38">
        <f>'Leave Record'!E280</f>
        <v>0</v>
      </c>
      <c r="H278" s="23">
        <f t="shared" si="36"/>
        <v>1</v>
      </c>
      <c r="I278" s="23">
        <f t="shared" si="39"/>
        <v>0</v>
      </c>
      <c r="J278" s="43" t="e">
        <f t="shared" si="40"/>
        <v>#N/A</v>
      </c>
      <c r="K278" s="23">
        <f>'Leave Record'!F280</f>
        <v>0</v>
      </c>
    </row>
    <row r="279" spans="1:11" x14ac:dyDescent="0.25">
      <c r="A279" s="38">
        <f t="shared" si="37"/>
        <v>1</v>
      </c>
      <c r="B279" s="38">
        <f>IF(K279=$P$15,$M$4,IF(K279=$P$13,'Leave Entry'!$B$4,F279-1))</f>
        <v>-1</v>
      </c>
      <c r="C279" s="23">
        <f t="shared" si="34"/>
        <v>-1</v>
      </c>
      <c r="D279" s="43">
        <f t="shared" si="35"/>
        <v>-9.0909090909090912E-2</v>
      </c>
      <c r="E279" s="43" t="e">
        <f t="shared" si="38"/>
        <v>#N/A</v>
      </c>
      <c r="F279" s="38">
        <f>'Leave Record'!D281</f>
        <v>0</v>
      </c>
      <c r="G279" s="38">
        <f>'Leave Record'!E281</f>
        <v>0</v>
      </c>
      <c r="H279" s="23">
        <f t="shared" si="36"/>
        <v>1</v>
      </c>
      <c r="I279" s="23">
        <f t="shared" si="39"/>
        <v>0</v>
      </c>
      <c r="J279" s="43" t="e">
        <f t="shared" si="40"/>
        <v>#N/A</v>
      </c>
      <c r="K279" s="23">
        <f>'Leave Record'!F281</f>
        <v>0</v>
      </c>
    </row>
    <row r="280" spans="1:11" x14ac:dyDescent="0.25">
      <c r="A280" s="38">
        <f t="shared" si="37"/>
        <v>1</v>
      </c>
      <c r="B280" s="38">
        <f>IF(K280=$P$15,$M$4,IF(K280=$P$13,'Leave Entry'!$B$4,F280-1))</f>
        <v>-1</v>
      </c>
      <c r="C280" s="23">
        <f t="shared" si="34"/>
        <v>-1</v>
      </c>
      <c r="D280" s="43">
        <f t="shared" si="35"/>
        <v>-9.0909090909090912E-2</v>
      </c>
      <c r="E280" s="43" t="e">
        <f t="shared" si="38"/>
        <v>#N/A</v>
      </c>
      <c r="F280" s="38">
        <f>'Leave Record'!D282</f>
        <v>0</v>
      </c>
      <c r="G280" s="38">
        <f>'Leave Record'!E282</f>
        <v>0</v>
      </c>
      <c r="H280" s="23">
        <f t="shared" si="36"/>
        <v>1</v>
      </c>
      <c r="I280" s="23">
        <f t="shared" si="39"/>
        <v>0</v>
      </c>
      <c r="J280" s="43" t="e">
        <f t="shared" si="40"/>
        <v>#N/A</v>
      </c>
      <c r="K280" s="23">
        <f>'Leave Record'!F282</f>
        <v>0</v>
      </c>
    </row>
    <row r="281" spans="1:11" x14ac:dyDescent="0.25">
      <c r="A281" s="38">
        <f t="shared" si="37"/>
        <v>1</v>
      </c>
      <c r="B281" s="38">
        <f>IF(K281=$P$15,$M$4,IF(K281=$P$13,'Leave Entry'!$B$4,F281-1))</f>
        <v>-1</v>
      </c>
      <c r="C281" s="23">
        <f t="shared" si="34"/>
        <v>-1</v>
      </c>
      <c r="D281" s="43">
        <f t="shared" si="35"/>
        <v>-9.0909090909090912E-2</v>
      </c>
      <c r="E281" s="43" t="e">
        <f t="shared" si="38"/>
        <v>#N/A</v>
      </c>
      <c r="F281" s="38">
        <f>'Leave Record'!D283</f>
        <v>0</v>
      </c>
      <c r="G281" s="38">
        <f>'Leave Record'!E283</f>
        <v>0</v>
      </c>
      <c r="H281" s="23">
        <f t="shared" si="36"/>
        <v>1</v>
      </c>
      <c r="I281" s="23">
        <f t="shared" si="39"/>
        <v>0</v>
      </c>
      <c r="J281" s="43" t="e">
        <f t="shared" si="40"/>
        <v>#N/A</v>
      </c>
      <c r="K281" s="23">
        <f>'Leave Record'!F283</f>
        <v>0</v>
      </c>
    </row>
    <row r="282" spans="1:11" x14ac:dyDescent="0.25">
      <c r="A282" s="38">
        <f t="shared" si="37"/>
        <v>1</v>
      </c>
      <c r="B282" s="38">
        <f>IF(K282=$P$15,$M$4,IF(K282=$P$13,'Leave Entry'!$B$4,F282-1))</f>
        <v>-1</v>
      </c>
      <c r="C282" s="23">
        <f t="shared" si="34"/>
        <v>-1</v>
      </c>
      <c r="D282" s="43">
        <f t="shared" si="35"/>
        <v>-9.0909090909090912E-2</v>
      </c>
      <c r="E282" s="43" t="e">
        <f t="shared" si="38"/>
        <v>#N/A</v>
      </c>
      <c r="F282" s="38">
        <f>'Leave Record'!D284</f>
        <v>0</v>
      </c>
      <c r="G282" s="38">
        <f>'Leave Record'!E284</f>
        <v>0</v>
      </c>
      <c r="H282" s="23">
        <f t="shared" si="36"/>
        <v>1</v>
      </c>
      <c r="I282" s="23">
        <f t="shared" si="39"/>
        <v>0</v>
      </c>
      <c r="J282" s="43" t="e">
        <f t="shared" si="40"/>
        <v>#N/A</v>
      </c>
      <c r="K282" s="23">
        <f>'Leave Record'!F284</f>
        <v>0</v>
      </c>
    </row>
    <row r="283" spans="1:11" x14ac:dyDescent="0.25">
      <c r="A283" s="38">
        <f t="shared" si="37"/>
        <v>1</v>
      </c>
      <c r="B283" s="38">
        <f>IF(K283=$P$15,$M$4,IF(K283=$P$13,'Leave Entry'!$B$4,F283-1))</f>
        <v>-1</v>
      </c>
      <c r="C283" s="23">
        <f t="shared" si="34"/>
        <v>-1</v>
      </c>
      <c r="D283" s="43">
        <f t="shared" si="35"/>
        <v>-9.0909090909090912E-2</v>
      </c>
      <c r="E283" s="43" t="e">
        <f t="shared" si="38"/>
        <v>#N/A</v>
      </c>
      <c r="F283" s="38">
        <f>'Leave Record'!D285</f>
        <v>0</v>
      </c>
      <c r="G283" s="38">
        <f>'Leave Record'!E285</f>
        <v>0</v>
      </c>
      <c r="H283" s="23">
        <f t="shared" si="36"/>
        <v>1</v>
      </c>
      <c r="I283" s="23">
        <f t="shared" si="39"/>
        <v>0</v>
      </c>
      <c r="J283" s="43" t="e">
        <f t="shared" si="40"/>
        <v>#N/A</v>
      </c>
      <c r="K283" s="23">
        <f>'Leave Record'!F285</f>
        <v>0</v>
      </c>
    </row>
    <row r="284" spans="1:11" x14ac:dyDescent="0.25">
      <c r="A284" s="38">
        <f t="shared" si="37"/>
        <v>1</v>
      </c>
      <c r="B284" s="38">
        <f>IF(K284=$P$15,$M$4,IF(K284=$P$13,'Leave Entry'!$B$4,F284-1))</f>
        <v>-1</v>
      </c>
      <c r="C284" s="23">
        <f t="shared" si="34"/>
        <v>-1</v>
      </c>
      <c r="D284" s="43">
        <f t="shared" si="35"/>
        <v>-9.0909090909090912E-2</v>
      </c>
      <c r="E284" s="43" t="e">
        <f t="shared" si="38"/>
        <v>#N/A</v>
      </c>
      <c r="F284" s="38">
        <f>'Leave Record'!D286</f>
        <v>0</v>
      </c>
      <c r="G284" s="38">
        <f>'Leave Record'!E286</f>
        <v>0</v>
      </c>
      <c r="H284" s="23">
        <f t="shared" si="36"/>
        <v>1</v>
      </c>
      <c r="I284" s="23">
        <f t="shared" si="39"/>
        <v>0</v>
      </c>
      <c r="J284" s="43" t="e">
        <f t="shared" si="40"/>
        <v>#N/A</v>
      </c>
      <c r="K284" s="23">
        <f>'Leave Record'!F286</f>
        <v>0</v>
      </c>
    </row>
    <row r="285" spans="1:11" x14ac:dyDescent="0.25">
      <c r="A285" s="38">
        <f t="shared" si="37"/>
        <v>1</v>
      </c>
      <c r="B285" s="38">
        <f>IF(K285=$P$15,$M$4,IF(K285=$P$13,'Leave Entry'!$B$4,F285-1))</f>
        <v>-1</v>
      </c>
      <c r="C285" s="23">
        <f t="shared" si="34"/>
        <v>-1</v>
      </c>
      <c r="D285" s="43">
        <f t="shared" si="35"/>
        <v>-9.0909090909090912E-2</v>
      </c>
      <c r="E285" s="43" t="e">
        <f t="shared" si="38"/>
        <v>#N/A</v>
      </c>
      <c r="F285" s="38">
        <f>'Leave Record'!D287</f>
        <v>0</v>
      </c>
      <c r="G285" s="38">
        <f>'Leave Record'!E287</f>
        <v>0</v>
      </c>
      <c r="H285" s="23">
        <f t="shared" si="36"/>
        <v>1</v>
      </c>
      <c r="I285" s="23">
        <f t="shared" si="39"/>
        <v>0</v>
      </c>
      <c r="J285" s="43" t="e">
        <f t="shared" si="40"/>
        <v>#N/A</v>
      </c>
      <c r="K285" s="23">
        <f>'Leave Record'!F287</f>
        <v>0</v>
      </c>
    </row>
    <row r="286" spans="1:11" x14ac:dyDescent="0.25">
      <c r="A286" s="38">
        <f t="shared" si="37"/>
        <v>1</v>
      </c>
      <c r="B286" s="38">
        <f>IF(K286=$P$15,$M$4,IF(K286=$P$13,'Leave Entry'!$B$4,F286-1))</f>
        <v>-1</v>
      </c>
      <c r="C286" s="23">
        <f t="shared" si="34"/>
        <v>-1</v>
      </c>
      <c r="D286" s="43">
        <f t="shared" si="35"/>
        <v>-9.0909090909090912E-2</v>
      </c>
      <c r="E286" s="43" t="e">
        <f t="shared" si="38"/>
        <v>#N/A</v>
      </c>
      <c r="F286" s="38">
        <f>'Leave Record'!D288</f>
        <v>0</v>
      </c>
      <c r="G286" s="38">
        <f>'Leave Record'!E288</f>
        <v>0</v>
      </c>
      <c r="H286" s="23">
        <f t="shared" si="36"/>
        <v>1</v>
      </c>
      <c r="I286" s="23">
        <f t="shared" si="39"/>
        <v>0</v>
      </c>
      <c r="J286" s="43" t="e">
        <f t="shared" si="40"/>
        <v>#N/A</v>
      </c>
      <c r="K286" s="23">
        <f>'Leave Record'!F288</f>
        <v>0</v>
      </c>
    </row>
    <row r="287" spans="1:11" x14ac:dyDescent="0.25">
      <c r="A287" s="38">
        <f t="shared" si="37"/>
        <v>1</v>
      </c>
      <c r="B287" s="38">
        <f>IF(K287=$P$15,$M$4,IF(K287=$P$13,'Leave Entry'!$B$4,F287-1))</f>
        <v>-1</v>
      </c>
      <c r="C287" s="23">
        <f t="shared" si="34"/>
        <v>-1</v>
      </c>
      <c r="D287" s="43">
        <f t="shared" si="35"/>
        <v>-9.0909090909090912E-2</v>
      </c>
      <c r="E287" s="43" t="e">
        <f t="shared" si="38"/>
        <v>#N/A</v>
      </c>
      <c r="F287" s="38">
        <f>'Leave Record'!D289</f>
        <v>0</v>
      </c>
      <c r="G287" s="38">
        <f>'Leave Record'!E289</f>
        <v>0</v>
      </c>
      <c r="H287" s="23">
        <f t="shared" si="36"/>
        <v>1</v>
      </c>
      <c r="I287" s="23">
        <f t="shared" si="39"/>
        <v>0</v>
      </c>
      <c r="J287" s="43" t="e">
        <f t="shared" si="40"/>
        <v>#N/A</v>
      </c>
      <c r="K287" s="23">
        <f>'Leave Record'!F289</f>
        <v>0</v>
      </c>
    </row>
    <row r="288" spans="1:11" x14ac:dyDescent="0.25">
      <c r="A288" s="38">
        <f t="shared" si="37"/>
        <v>1</v>
      </c>
      <c r="B288" s="38">
        <f>IF(K288=$P$15,$M$4,IF(K288=$P$13,'Leave Entry'!$B$4,F288-1))</f>
        <v>-1</v>
      </c>
      <c r="C288" s="23">
        <f t="shared" si="34"/>
        <v>-1</v>
      </c>
      <c r="D288" s="43">
        <f t="shared" si="35"/>
        <v>-9.0909090909090912E-2</v>
      </c>
      <c r="E288" s="43" t="e">
        <f t="shared" si="38"/>
        <v>#N/A</v>
      </c>
      <c r="F288" s="38">
        <f>'Leave Record'!D290</f>
        <v>0</v>
      </c>
      <c r="G288" s="38">
        <f>'Leave Record'!E290</f>
        <v>0</v>
      </c>
      <c r="H288" s="23">
        <f t="shared" si="36"/>
        <v>1</v>
      </c>
      <c r="I288" s="23">
        <f t="shared" si="39"/>
        <v>0</v>
      </c>
      <c r="J288" s="43" t="e">
        <f t="shared" si="40"/>
        <v>#N/A</v>
      </c>
      <c r="K288" s="23">
        <f>'Leave Record'!F290</f>
        <v>0</v>
      </c>
    </row>
    <row r="289" spans="1:11" x14ac:dyDescent="0.25">
      <c r="A289" s="38">
        <f t="shared" si="37"/>
        <v>1</v>
      </c>
      <c r="B289" s="38">
        <f>IF(K289=$P$15,$M$4,IF(K289=$P$13,'Leave Entry'!$B$4,F289-1))</f>
        <v>-1</v>
      </c>
      <c r="C289" s="23">
        <f t="shared" si="34"/>
        <v>-1</v>
      </c>
      <c r="D289" s="43">
        <f t="shared" si="35"/>
        <v>-9.0909090909090912E-2</v>
      </c>
      <c r="E289" s="43" t="e">
        <f t="shared" si="38"/>
        <v>#N/A</v>
      </c>
      <c r="F289" s="38">
        <f>'Leave Record'!D291</f>
        <v>0</v>
      </c>
      <c r="G289" s="38">
        <f>'Leave Record'!E291</f>
        <v>0</v>
      </c>
      <c r="H289" s="23">
        <f t="shared" si="36"/>
        <v>1</v>
      </c>
      <c r="I289" s="23">
        <f t="shared" si="39"/>
        <v>0</v>
      </c>
      <c r="J289" s="43" t="e">
        <f t="shared" si="40"/>
        <v>#N/A</v>
      </c>
      <c r="K289" s="23">
        <f>'Leave Record'!F291</f>
        <v>0</v>
      </c>
    </row>
    <row r="290" spans="1:11" x14ac:dyDescent="0.25">
      <c r="A290" s="38">
        <f t="shared" si="37"/>
        <v>1</v>
      </c>
      <c r="B290" s="38">
        <f>IF(K290=$P$15,$M$4,IF(K290=$P$13,'Leave Entry'!$B$4,F290-1))</f>
        <v>-1</v>
      </c>
      <c r="C290" s="23">
        <f t="shared" si="34"/>
        <v>-1</v>
      </c>
      <c r="D290" s="43">
        <f t="shared" si="35"/>
        <v>-9.0909090909090912E-2</v>
      </c>
      <c r="E290" s="43" t="e">
        <f t="shared" si="38"/>
        <v>#N/A</v>
      </c>
      <c r="F290" s="38">
        <f>'Leave Record'!D292</f>
        <v>0</v>
      </c>
      <c r="G290" s="38">
        <f>'Leave Record'!E292</f>
        <v>0</v>
      </c>
      <c r="H290" s="23">
        <f t="shared" si="36"/>
        <v>1</v>
      </c>
      <c r="I290" s="23">
        <f t="shared" si="39"/>
        <v>0</v>
      </c>
      <c r="J290" s="43" t="e">
        <f t="shared" si="40"/>
        <v>#N/A</v>
      </c>
      <c r="K290" s="23">
        <f>'Leave Record'!F292</f>
        <v>0</v>
      </c>
    </row>
    <row r="291" spans="1:11" x14ac:dyDescent="0.25">
      <c r="A291" s="38">
        <f t="shared" si="37"/>
        <v>1</v>
      </c>
      <c r="B291" s="38">
        <f>IF(K291=$P$15,$M$4,IF(K291=$P$13,'Leave Entry'!$B$4,F291-1))</f>
        <v>-1</v>
      </c>
      <c r="C291" s="23">
        <f t="shared" si="34"/>
        <v>-1</v>
      </c>
      <c r="D291" s="43">
        <f t="shared" si="35"/>
        <v>-9.0909090909090912E-2</v>
      </c>
      <c r="E291" s="43" t="e">
        <f t="shared" si="38"/>
        <v>#N/A</v>
      </c>
      <c r="F291" s="38">
        <f>'Leave Record'!D293</f>
        <v>0</v>
      </c>
      <c r="G291" s="38">
        <f>'Leave Record'!E293</f>
        <v>0</v>
      </c>
      <c r="H291" s="23">
        <f t="shared" si="36"/>
        <v>1</v>
      </c>
      <c r="I291" s="23">
        <f t="shared" si="39"/>
        <v>0</v>
      </c>
      <c r="J291" s="43" t="e">
        <f t="shared" si="40"/>
        <v>#N/A</v>
      </c>
      <c r="K291" s="23">
        <f>'Leave Record'!F293</f>
        <v>0</v>
      </c>
    </row>
    <row r="292" spans="1:11" x14ac:dyDescent="0.25">
      <c r="A292" s="38">
        <f t="shared" si="37"/>
        <v>1</v>
      </c>
      <c r="B292" s="38">
        <f>IF(K292=$P$15,$M$4,IF(K292=$P$13,'Leave Entry'!$B$4,F292-1))</f>
        <v>-1</v>
      </c>
      <c r="C292" s="23">
        <f t="shared" si="34"/>
        <v>-1</v>
      </c>
      <c r="D292" s="43">
        <f t="shared" si="35"/>
        <v>-9.0909090909090912E-2</v>
      </c>
      <c r="E292" s="43" t="e">
        <f t="shared" si="38"/>
        <v>#N/A</v>
      </c>
      <c r="F292" s="38">
        <f>'Leave Record'!D294</f>
        <v>0</v>
      </c>
      <c r="G292" s="38">
        <f>'Leave Record'!E294</f>
        <v>0</v>
      </c>
      <c r="H292" s="23">
        <f t="shared" si="36"/>
        <v>1</v>
      </c>
      <c r="I292" s="23">
        <f t="shared" si="39"/>
        <v>0</v>
      </c>
      <c r="J292" s="43" t="e">
        <f t="shared" si="40"/>
        <v>#N/A</v>
      </c>
      <c r="K292" s="23">
        <f>'Leave Record'!F294</f>
        <v>0</v>
      </c>
    </row>
    <row r="293" spans="1:11" x14ac:dyDescent="0.25">
      <c r="A293" s="38">
        <f t="shared" si="37"/>
        <v>1</v>
      </c>
      <c r="B293" s="38">
        <f>IF(K293=$P$15,$M$4,IF(K293=$P$13,'Leave Entry'!$B$4,F293-1))</f>
        <v>-1</v>
      </c>
      <c r="C293" s="23">
        <f t="shared" si="34"/>
        <v>-1</v>
      </c>
      <c r="D293" s="43">
        <f t="shared" si="35"/>
        <v>-9.0909090909090912E-2</v>
      </c>
      <c r="E293" s="43" t="e">
        <f t="shared" si="38"/>
        <v>#N/A</v>
      </c>
      <c r="F293" s="38">
        <f>'Leave Record'!D295</f>
        <v>0</v>
      </c>
      <c r="G293" s="38">
        <f>'Leave Record'!E295</f>
        <v>0</v>
      </c>
      <c r="H293" s="23">
        <f t="shared" si="36"/>
        <v>1</v>
      </c>
      <c r="I293" s="23">
        <f t="shared" si="39"/>
        <v>0</v>
      </c>
      <c r="J293" s="43" t="e">
        <f t="shared" si="40"/>
        <v>#N/A</v>
      </c>
      <c r="K293" s="23">
        <f>'Leave Record'!F295</f>
        <v>0</v>
      </c>
    </row>
    <row r="294" spans="1:11" x14ac:dyDescent="0.25">
      <c r="A294" s="38">
        <f t="shared" si="37"/>
        <v>1</v>
      </c>
      <c r="B294" s="38">
        <f>IF(K294=$P$15,$M$4,IF(K294=$P$13,'Leave Entry'!$B$4,F294-1))</f>
        <v>-1</v>
      </c>
      <c r="C294" s="23">
        <f t="shared" si="34"/>
        <v>-1</v>
      </c>
      <c r="D294" s="43">
        <f t="shared" si="35"/>
        <v>-9.0909090909090912E-2</v>
      </c>
      <c r="E294" s="43" t="e">
        <f t="shared" si="38"/>
        <v>#N/A</v>
      </c>
      <c r="F294" s="38">
        <f>'Leave Record'!D296</f>
        <v>0</v>
      </c>
      <c r="G294" s="38">
        <f>'Leave Record'!E296</f>
        <v>0</v>
      </c>
      <c r="H294" s="23">
        <f t="shared" si="36"/>
        <v>1</v>
      </c>
      <c r="I294" s="23">
        <f t="shared" si="39"/>
        <v>0</v>
      </c>
      <c r="J294" s="43" t="e">
        <f t="shared" si="40"/>
        <v>#N/A</v>
      </c>
      <c r="K294" s="23">
        <f>'Leave Record'!F296</f>
        <v>0</v>
      </c>
    </row>
    <row r="295" spans="1:11" x14ac:dyDescent="0.25">
      <c r="A295" s="38">
        <f t="shared" si="37"/>
        <v>1</v>
      </c>
      <c r="B295" s="38">
        <f>IF(K295=$P$15,$M$4,IF(K295=$P$13,'Leave Entry'!$B$4,F295-1))</f>
        <v>-1</v>
      </c>
      <c r="C295" s="23">
        <f t="shared" si="34"/>
        <v>-1</v>
      </c>
      <c r="D295" s="43">
        <f t="shared" si="35"/>
        <v>-9.0909090909090912E-2</v>
      </c>
      <c r="E295" s="43" t="e">
        <f t="shared" si="38"/>
        <v>#N/A</v>
      </c>
      <c r="F295" s="38">
        <f>'Leave Record'!D297</f>
        <v>0</v>
      </c>
      <c r="G295" s="38">
        <f>'Leave Record'!E297</f>
        <v>0</v>
      </c>
      <c r="H295" s="23">
        <f t="shared" si="36"/>
        <v>1</v>
      </c>
      <c r="I295" s="23">
        <f t="shared" si="39"/>
        <v>0</v>
      </c>
      <c r="J295" s="43" t="e">
        <f t="shared" si="40"/>
        <v>#N/A</v>
      </c>
      <c r="K295" s="23">
        <f>'Leave Record'!F297</f>
        <v>0</v>
      </c>
    </row>
    <row r="296" spans="1:11" x14ac:dyDescent="0.25">
      <c r="A296" s="38">
        <f t="shared" si="37"/>
        <v>1</v>
      </c>
      <c r="B296" s="38">
        <f>IF(K296=$P$15,$M$4,IF(K296=$P$13,'Leave Entry'!$B$4,F296-1))</f>
        <v>-1</v>
      </c>
      <c r="C296" s="23">
        <f t="shared" si="34"/>
        <v>-1</v>
      </c>
      <c r="D296" s="43">
        <f t="shared" si="35"/>
        <v>-9.0909090909090912E-2</v>
      </c>
      <c r="E296" s="43" t="e">
        <f t="shared" si="38"/>
        <v>#N/A</v>
      </c>
      <c r="F296" s="38">
        <f>'Leave Record'!D298</f>
        <v>0</v>
      </c>
      <c r="G296" s="38">
        <f>'Leave Record'!E298</f>
        <v>0</v>
      </c>
      <c r="H296" s="23">
        <f t="shared" si="36"/>
        <v>1</v>
      </c>
      <c r="I296" s="23">
        <f t="shared" si="39"/>
        <v>0</v>
      </c>
      <c r="J296" s="43" t="e">
        <f t="shared" si="40"/>
        <v>#N/A</v>
      </c>
      <c r="K296" s="23">
        <f>'Leave Record'!F298</f>
        <v>0</v>
      </c>
    </row>
    <row r="297" spans="1:11" x14ac:dyDescent="0.25">
      <c r="A297" s="38">
        <f t="shared" si="37"/>
        <v>1</v>
      </c>
      <c r="B297" s="38">
        <f>IF(K297=$P$15,$M$4,IF(K297=$P$13,'Leave Entry'!$B$4,F297-1))</f>
        <v>-1</v>
      </c>
      <c r="C297" s="23">
        <f t="shared" si="34"/>
        <v>-1</v>
      </c>
      <c r="D297" s="43">
        <f t="shared" si="35"/>
        <v>-9.0909090909090912E-2</v>
      </c>
      <c r="E297" s="43" t="e">
        <f t="shared" si="38"/>
        <v>#N/A</v>
      </c>
      <c r="F297" s="38">
        <f>'Leave Record'!D299</f>
        <v>0</v>
      </c>
      <c r="G297" s="38">
        <f>'Leave Record'!E299</f>
        <v>0</v>
      </c>
      <c r="H297" s="23">
        <f t="shared" si="36"/>
        <v>1</v>
      </c>
      <c r="I297" s="23">
        <f t="shared" si="39"/>
        <v>0</v>
      </c>
      <c r="J297" s="43" t="e">
        <f t="shared" si="40"/>
        <v>#N/A</v>
      </c>
      <c r="K297" s="23">
        <f>'Leave Record'!F299</f>
        <v>0</v>
      </c>
    </row>
    <row r="298" spans="1:11" x14ac:dyDescent="0.25">
      <c r="A298" s="38">
        <f t="shared" si="37"/>
        <v>1</v>
      </c>
      <c r="B298" s="38">
        <f>IF(K298=$P$15,$M$4,IF(K298=$P$13,'Leave Entry'!$B$4,F298-1))</f>
        <v>-1</v>
      </c>
      <c r="C298" s="23">
        <f t="shared" si="34"/>
        <v>-1</v>
      </c>
      <c r="D298" s="43">
        <f t="shared" si="35"/>
        <v>-9.0909090909090912E-2</v>
      </c>
      <c r="E298" s="43" t="e">
        <f t="shared" si="38"/>
        <v>#N/A</v>
      </c>
      <c r="F298" s="38">
        <f>'Leave Record'!D300</f>
        <v>0</v>
      </c>
      <c r="G298" s="38">
        <f>'Leave Record'!E300</f>
        <v>0</v>
      </c>
      <c r="H298" s="23">
        <f t="shared" si="36"/>
        <v>1</v>
      </c>
      <c r="I298" s="23">
        <f t="shared" si="39"/>
        <v>0</v>
      </c>
      <c r="J298" s="43" t="e">
        <f t="shared" si="40"/>
        <v>#N/A</v>
      </c>
      <c r="K298" s="23">
        <f>'Leave Record'!F300</f>
        <v>0</v>
      </c>
    </row>
    <row r="299" spans="1:11" x14ac:dyDescent="0.25">
      <c r="A299" s="38">
        <f t="shared" si="37"/>
        <v>1</v>
      </c>
      <c r="B299" s="38">
        <f>IF(K299=$P$15,$M$4,IF(K299=$P$13,'Leave Entry'!$B$4,F299-1))</f>
        <v>-1</v>
      </c>
      <c r="C299" s="23">
        <f t="shared" si="34"/>
        <v>-1</v>
      </c>
      <c r="D299" s="43">
        <f t="shared" si="35"/>
        <v>-9.0909090909090912E-2</v>
      </c>
      <c r="E299" s="43" t="e">
        <f t="shared" si="38"/>
        <v>#N/A</v>
      </c>
      <c r="F299" s="38">
        <f>'Leave Record'!D301</f>
        <v>0</v>
      </c>
      <c r="G299" s="38">
        <f>'Leave Record'!E301</f>
        <v>0</v>
      </c>
      <c r="H299" s="23">
        <f t="shared" si="36"/>
        <v>1</v>
      </c>
      <c r="I299" s="23">
        <f t="shared" si="39"/>
        <v>0</v>
      </c>
      <c r="J299" s="43" t="e">
        <f t="shared" si="40"/>
        <v>#N/A</v>
      </c>
      <c r="K299" s="23">
        <f>'Leave Record'!F301</f>
        <v>0</v>
      </c>
    </row>
    <row r="300" spans="1:11" x14ac:dyDescent="0.25">
      <c r="A300" s="38">
        <f t="shared" si="37"/>
        <v>1</v>
      </c>
      <c r="B300" s="38">
        <f>IF(K300=$P$15,$M$4,IF(K300=$P$13,'Leave Entry'!$B$4,F300-1))</f>
        <v>-1</v>
      </c>
      <c r="C300" s="23">
        <f t="shared" si="34"/>
        <v>-1</v>
      </c>
      <c r="D300" s="43">
        <f t="shared" si="35"/>
        <v>-9.0909090909090912E-2</v>
      </c>
      <c r="E300" s="43" t="e">
        <f t="shared" si="38"/>
        <v>#N/A</v>
      </c>
      <c r="F300" s="38">
        <f>'Leave Record'!D302</f>
        <v>0</v>
      </c>
      <c r="G300" s="38">
        <f>'Leave Record'!E302</f>
        <v>0</v>
      </c>
      <c r="H300" s="23">
        <f t="shared" si="36"/>
        <v>1</v>
      </c>
      <c r="I300" s="23">
        <f t="shared" si="39"/>
        <v>0</v>
      </c>
      <c r="J300" s="43" t="e">
        <f t="shared" si="40"/>
        <v>#N/A</v>
      </c>
      <c r="K300" s="23">
        <f>'Leave Record'!F302</f>
        <v>0</v>
      </c>
    </row>
    <row r="301" spans="1:11" x14ac:dyDescent="0.25">
      <c r="A301" s="38">
        <f t="shared" si="37"/>
        <v>1</v>
      </c>
      <c r="B301" s="38">
        <f>IF(K301=$P$15,$M$4,IF(K301=$P$13,'Leave Entry'!$B$4,F301-1))</f>
        <v>-1</v>
      </c>
      <c r="C301" s="23">
        <f t="shared" si="34"/>
        <v>-1</v>
      </c>
      <c r="D301" s="43">
        <f t="shared" si="35"/>
        <v>-9.0909090909090912E-2</v>
      </c>
      <c r="E301" s="43" t="e">
        <f t="shared" si="38"/>
        <v>#N/A</v>
      </c>
      <c r="F301" s="38">
        <f>'Leave Record'!D303</f>
        <v>0</v>
      </c>
      <c r="G301" s="38">
        <f>'Leave Record'!E303</f>
        <v>0</v>
      </c>
      <c r="H301" s="23">
        <f t="shared" si="36"/>
        <v>1</v>
      </c>
      <c r="I301" s="23">
        <f t="shared" si="39"/>
        <v>0</v>
      </c>
      <c r="J301" s="43" t="e">
        <f t="shared" si="40"/>
        <v>#N/A</v>
      </c>
      <c r="K301" s="23">
        <f>'Leave Record'!F303</f>
        <v>0</v>
      </c>
    </row>
    <row r="302" spans="1:11" x14ac:dyDescent="0.25">
      <c r="A302" s="38">
        <f t="shared" si="37"/>
        <v>1</v>
      </c>
      <c r="B302" s="38">
        <f>IF(K302=$P$15,$M$4,IF(K302=$P$13,'Leave Entry'!$B$4,F302-1))</f>
        <v>-1</v>
      </c>
      <c r="C302" s="23">
        <f t="shared" si="34"/>
        <v>-1</v>
      </c>
      <c r="D302" s="43">
        <f t="shared" si="35"/>
        <v>-9.0909090909090912E-2</v>
      </c>
      <c r="E302" s="43" t="e">
        <f t="shared" si="38"/>
        <v>#N/A</v>
      </c>
      <c r="F302" s="38">
        <f>'Leave Record'!D304</f>
        <v>0</v>
      </c>
      <c r="G302" s="38">
        <f>'Leave Record'!E304</f>
        <v>0</v>
      </c>
      <c r="H302" s="23">
        <f t="shared" si="36"/>
        <v>1</v>
      </c>
      <c r="I302" s="23">
        <f t="shared" si="39"/>
        <v>0</v>
      </c>
      <c r="J302" s="43" t="e">
        <f t="shared" si="40"/>
        <v>#N/A</v>
      </c>
      <c r="K302" s="23">
        <f>'Leave Record'!F304</f>
        <v>0</v>
      </c>
    </row>
    <row r="303" spans="1:11" x14ac:dyDescent="0.25">
      <c r="A303" s="38">
        <f t="shared" si="37"/>
        <v>1</v>
      </c>
      <c r="B303" s="38">
        <f>IF(K303=$P$15,$M$4,IF(K303=$P$13,'Leave Entry'!$B$4,F303-1))</f>
        <v>-1</v>
      </c>
      <c r="C303" s="23">
        <f t="shared" si="34"/>
        <v>-1</v>
      </c>
      <c r="D303" s="43">
        <f t="shared" si="35"/>
        <v>-9.0909090909090912E-2</v>
      </c>
      <c r="E303" s="43" t="e">
        <f t="shared" si="38"/>
        <v>#N/A</v>
      </c>
      <c r="F303" s="38">
        <f>'Leave Record'!D305</f>
        <v>0</v>
      </c>
      <c r="G303" s="38">
        <f>'Leave Record'!E305</f>
        <v>0</v>
      </c>
      <c r="H303" s="23">
        <f t="shared" si="36"/>
        <v>1</v>
      </c>
      <c r="I303" s="23">
        <f t="shared" si="39"/>
        <v>0</v>
      </c>
      <c r="J303" s="43" t="e">
        <f t="shared" si="40"/>
        <v>#N/A</v>
      </c>
      <c r="K303" s="23">
        <f>'Leave Record'!F305</f>
        <v>0</v>
      </c>
    </row>
    <row r="304" spans="1:11" x14ac:dyDescent="0.25">
      <c r="A304" s="38">
        <f t="shared" si="37"/>
        <v>1</v>
      </c>
      <c r="B304" s="38">
        <f>IF(K304=$P$15,$M$4,IF(K304=$P$13,'Leave Entry'!$B$4,F304-1))</f>
        <v>-1</v>
      </c>
      <c r="C304" s="23">
        <f t="shared" si="34"/>
        <v>-1</v>
      </c>
      <c r="D304" s="43">
        <f t="shared" si="35"/>
        <v>-9.0909090909090912E-2</v>
      </c>
      <c r="E304" s="43" t="e">
        <f t="shared" si="38"/>
        <v>#N/A</v>
      </c>
      <c r="F304" s="38">
        <f>'Leave Record'!D306</f>
        <v>0</v>
      </c>
      <c r="G304" s="38">
        <f>'Leave Record'!E306</f>
        <v>0</v>
      </c>
      <c r="H304" s="23">
        <f t="shared" si="36"/>
        <v>1</v>
      </c>
      <c r="I304" s="23">
        <f t="shared" si="39"/>
        <v>0</v>
      </c>
      <c r="J304" s="43" t="e">
        <f t="shared" si="40"/>
        <v>#N/A</v>
      </c>
      <c r="K304" s="23">
        <f>'Leave Record'!F306</f>
        <v>0</v>
      </c>
    </row>
    <row r="305" spans="1:11" x14ac:dyDescent="0.25">
      <c r="A305" s="38">
        <f t="shared" si="37"/>
        <v>1</v>
      </c>
      <c r="B305" s="38">
        <f>IF(K305=$P$15,$M$4,IF(K305=$P$13,'Leave Entry'!$B$4,F305-1))</f>
        <v>-1</v>
      </c>
      <c r="C305" s="23">
        <f t="shared" si="34"/>
        <v>-1</v>
      </c>
      <c r="D305" s="43">
        <f t="shared" si="35"/>
        <v>-9.0909090909090912E-2</v>
      </c>
      <c r="E305" s="43" t="e">
        <f t="shared" si="38"/>
        <v>#N/A</v>
      </c>
      <c r="F305" s="38">
        <f>'Leave Record'!D307</f>
        <v>0</v>
      </c>
      <c r="G305" s="38">
        <f>'Leave Record'!E307</f>
        <v>0</v>
      </c>
      <c r="H305" s="23">
        <f t="shared" si="36"/>
        <v>1</v>
      </c>
      <c r="I305" s="23">
        <f t="shared" si="39"/>
        <v>0</v>
      </c>
      <c r="J305" s="43" t="e">
        <f t="shared" si="40"/>
        <v>#N/A</v>
      </c>
      <c r="K305" s="23">
        <f>'Leave Record'!F307</f>
        <v>0</v>
      </c>
    </row>
    <row r="306" spans="1:11" x14ac:dyDescent="0.25">
      <c r="A306" s="38">
        <f t="shared" si="37"/>
        <v>1</v>
      </c>
      <c r="B306" s="38">
        <f>IF(K306=$P$15,$M$4,IF(K306=$P$13,'Leave Entry'!$B$4,F306-1))</f>
        <v>-1</v>
      </c>
      <c r="C306" s="23">
        <f t="shared" si="34"/>
        <v>-1</v>
      </c>
      <c r="D306" s="43">
        <f t="shared" si="35"/>
        <v>-9.0909090909090912E-2</v>
      </c>
      <c r="E306" s="43" t="e">
        <f t="shared" si="38"/>
        <v>#N/A</v>
      </c>
      <c r="F306" s="38">
        <f>'Leave Record'!D308</f>
        <v>0</v>
      </c>
      <c r="G306" s="38">
        <f>'Leave Record'!E308</f>
        <v>0</v>
      </c>
      <c r="H306" s="23">
        <f t="shared" si="36"/>
        <v>1</v>
      </c>
      <c r="I306" s="23">
        <f t="shared" si="39"/>
        <v>0</v>
      </c>
      <c r="J306" s="43" t="e">
        <f t="shared" si="40"/>
        <v>#N/A</v>
      </c>
      <c r="K306" s="23">
        <f>'Leave Record'!F308</f>
        <v>0</v>
      </c>
    </row>
    <row r="307" spans="1:11" x14ac:dyDescent="0.25">
      <c r="A307" s="38">
        <f t="shared" si="37"/>
        <v>1</v>
      </c>
      <c r="B307" s="38">
        <f>IF(K307=$P$15,$M$4,IF(K307=$P$13,'Leave Entry'!$B$4,F307-1))</f>
        <v>-1</v>
      </c>
      <c r="C307" s="23">
        <f t="shared" si="34"/>
        <v>-1</v>
      </c>
      <c r="D307" s="43">
        <f t="shared" si="35"/>
        <v>-9.0909090909090912E-2</v>
      </c>
      <c r="E307" s="43" t="e">
        <f t="shared" si="38"/>
        <v>#N/A</v>
      </c>
      <c r="F307" s="38">
        <f>'Leave Record'!D309</f>
        <v>0</v>
      </c>
      <c r="G307" s="38">
        <f>'Leave Record'!E309</f>
        <v>0</v>
      </c>
      <c r="H307" s="23">
        <f t="shared" si="36"/>
        <v>1</v>
      </c>
      <c r="I307" s="23">
        <f t="shared" si="39"/>
        <v>0</v>
      </c>
      <c r="J307" s="43" t="e">
        <f t="shared" si="40"/>
        <v>#N/A</v>
      </c>
      <c r="K307" s="23">
        <f>'Leave Record'!F309</f>
        <v>0</v>
      </c>
    </row>
    <row r="308" spans="1:11" x14ac:dyDescent="0.25">
      <c r="A308" s="38">
        <f t="shared" si="37"/>
        <v>1</v>
      </c>
      <c r="B308" s="38">
        <f>IF(K308=$P$15,$M$4,IF(K308=$P$13,'Leave Entry'!$B$4,F308-1))</f>
        <v>-1</v>
      </c>
      <c r="C308" s="23">
        <f t="shared" si="34"/>
        <v>-1</v>
      </c>
      <c r="D308" s="43">
        <f t="shared" si="35"/>
        <v>-9.0909090909090912E-2</v>
      </c>
      <c r="E308" s="43" t="e">
        <f t="shared" si="38"/>
        <v>#N/A</v>
      </c>
      <c r="F308" s="38">
        <f>'Leave Record'!D310</f>
        <v>0</v>
      </c>
      <c r="G308" s="38">
        <f>'Leave Record'!E310</f>
        <v>0</v>
      </c>
      <c r="H308" s="23">
        <f t="shared" si="36"/>
        <v>1</v>
      </c>
      <c r="I308" s="23">
        <f t="shared" si="39"/>
        <v>0</v>
      </c>
      <c r="J308" s="43" t="e">
        <f t="shared" si="40"/>
        <v>#N/A</v>
      </c>
      <c r="K308" s="23">
        <f>'Leave Record'!F310</f>
        <v>0</v>
      </c>
    </row>
    <row r="309" spans="1:11" x14ac:dyDescent="0.25">
      <c r="A309" s="38">
        <f t="shared" si="37"/>
        <v>1</v>
      </c>
      <c r="B309" s="38">
        <f>IF(K309=$P$15,$M$4,IF(K309=$P$13,'Leave Entry'!$B$4,F309-1))</f>
        <v>-1</v>
      </c>
      <c r="C309" s="23">
        <f t="shared" si="34"/>
        <v>-1</v>
      </c>
      <c r="D309" s="43">
        <f t="shared" si="35"/>
        <v>-9.0909090909090912E-2</v>
      </c>
      <c r="E309" s="43" t="e">
        <f t="shared" si="38"/>
        <v>#N/A</v>
      </c>
      <c r="F309" s="38">
        <f>'Leave Record'!D311</f>
        <v>0</v>
      </c>
      <c r="G309" s="38">
        <f>'Leave Record'!E311</f>
        <v>0</v>
      </c>
      <c r="H309" s="23">
        <f t="shared" si="36"/>
        <v>1</v>
      </c>
      <c r="I309" s="23">
        <f t="shared" si="39"/>
        <v>0</v>
      </c>
      <c r="J309" s="43" t="e">
        <f t="shared" si="40"/>
        <v>#N/A</v>
      </c>
      <c r="K309" s="23">
        <f>'Leave Record'!F311</f>
        <v>0</v>
      </c>
    </row>
    <row r="310" spans="1:11" x14ac:dyDescent="0.25">
      <c r="A310" s="38">
        <f t="shared" si="37"/>
        <v>1</v>
      </c>
      <c r="B310" s="38">
        <f>IF(K310=$P$15,$M$4,IF(K310=$P$13,'Leave Entry'!$B$4,F310-1))</f>
        <v>-1</v>
      </c>
      <c r="C310" s="23">
        <f t="shared" si="34"/>
        <v>-1</v>
      </c>
      <c r="D310" s="43">
        <f t="shared" si="35"/>
        <v>-9.0909090909090912E-2</v>
      </c>
      <c r="E310" s="43" t="e">
        <f t="shared" si="38"/>
        <v>#N/A</v>
      </c>
      <c r="F310" s="38">
        <f>'Leave Record'!D312</f>
        <v>0</v>
      </c>
      <c r="G310" s="38">
        <f>'Leave Record'!E312</f>
        <v>0</v>
      </c>
      <c r="H310" s="23">
        <f t="shared" si="36"/>
        <v>1</v>
      </c>
      <c r="I310" s="23">
        <f t="shared" si="39"/>
        <v>0</v>
      </c>
      <c r="J310" s="43" t="e">
        <f t="shared" si="40"/>
        <v>#N/A</v>
      </c>
      <c r="K310" s="23">
        <f>'Leave Record'!F312</f>
        <v>0</v>
      </c>
    </row>
    <row r="311" spans="1:11" x14ac:dyDescent="0.25">
      <c r="A311" s="38">
        <f t="shared" si="37"/>
        <v>1</v>
      </c>
      <c r="B311" s="38">
        <f>IF(K311=$P$15,$M$4,IF(K311=$P$13,'Leave Entry'!$B$4,F311-1))</f>
        <v>-1</v>
      </c>
      <c r="C311" s="23">
        <f t="shared" si="34"/>
        <v>-1</v>
      </c>
      <c r="D311" s="43">
        <f t="shared" si="35"/>
        <v>-9.0909090909090912E-2</v>
      </c>
      <c r="E311" s="43" t="e">
        <f t="shared" si="38"/>
        <v>#N/A</v>
      </c>
      <c r="F311" s="38">
        <f>'Leave Record'!D313</f>
        <v>0</v>
      </c>
      <c r="G311" s="38">
        <f>'Leave Record'!E313</f>
        <v>0</v>
      </c>
      <c r="H311" s="23">
        <f t="shared" si="36"/>
        <v>1</v>
      </c>
      <c r="I311" s="23">
        <f t="shared" si="39"/>
        <v>0</v>
      </c>
      <c r="J311" s="43" t="e">
        <f t="shared" si="40"/>
        <v>#N/A</v>
      </c>
      <c r="K311" s="23">
        <f>'Leave Record'!F313</f>
        <v>0</v>
      </c>
    </row>
    <row r="312" spans="1:11" x14ac:dyDescent="0.25">
      <c r="A312" s="38">
        <f t="shared" si="37"/>
        <v>1</v>
      </c>
      <c r="B312" s="38">
        <f>IF(K312=$P$15,$M$4,IF(K312=$P$13,'Leave Entry'!$B$4,F312-1))</f>
        <v>-1</v>
      </c>
      <c r="C312" s="23">
        <f t="shared" si="34"/>
        <v>-1</v>
      </c>
      <c r="D312" s="43">
        <f t="shared" si="35"/>
        <v>-9.0909090909090912E-2</v>
      </c>
      <c r="E312" s="43" t="e">
        <f t="shared" si="38"/>
        <v>#N/A</v>
      </c>
      <c r="F312" s="38">
        <f>'Leave Record'!D314</f>
        <v>0</v>
      </c>
      <c r="G312" s="38">
        <f>'Leave Record'!E314</f>
        <v>0</v>
      </c>
      <c r="H312" s="23">
        <f t="shared" si="36"/>
        <v>1</v>
      </c>
      <c r="I312" s="23">
        <f t="shared" si="39"/>
        <v>0</v>
      </c>
      <c r="J312" s="43" t="e">
        <f t="shared" si="40"/>
        <v>#N/A</v>
      </c>
      <c r="K312" s="23">
        <f>'Leave Record'!F314</f>
        <v>0</v>
      </c>
    </row>
    <row r="313" spans="1:11" x14ac:dyDescent="0.25">
      <c r="A313" s="38">
        <f t="shared" si="37"/>
        <v>1</v>
      </c>
      <c r="B313" s="38">
        <f>IF(K313=$P$15,$M$4,IF(K313=$P$13,'Leave Entry'!$B$4,F313-1))</f>
        <v>-1</v>
      </c>
      <c r="C313" s="23">
        <f t="shared" si="34"/>
        <v>-1</v>
      </c>
      <c r="D313" s="43">
        <f t="shared" si="35"/>
        <v>-9.0909090909090912E-2</v>
      </c>
      <c r="E313" s="43" t="e">
        <f t="shared" si="38"/>
        <v>#N/A</v>
      </c>
      <c r="F313" s="38">
        <f>'Leave Record'!D315</f>
        <v>0</v>
      </c>
      <c r="G313" s="38">
        <f>'Leave Record'!E315</f>
        <v>0</v>
      </c>
      <c r="H313" s="23">
        <f t="shared" si="36"/>
        <v>1</v>
      </c>
      <c r="I313" s="23">
        <f t="shared" si="39"/>
        <v>0</v>
      </c>
      <c r="J313" s="43" t="e">
        <f t="shared" si="40"/>
        <v>#N/A</v>
      </c>
      <c r="K313" s="23">
        <f>'Leave Record'!F315</f>
        <v>0</v>
      </c>
    </row>
    <row r="314" spans="1:11" x14ac:dyDescent="0.25">
      <c r="A314" s="38">
        <f t="shared" si="37"/>
        <v>1</v>
      </c>
      <c r="B314" s="38">
        <f>IF(K314=$P$15,$M$4,IF(K314=$P$13,'Leave Entry'!$B$4,F314-1))</f>
        <v>-1</v>
      </c>
      <c r="C314" s="23">
        <f t="shared" si="34"/>
        <v>-1</v>
      </c>
      <c r="D314" s="43">
        <f t="shared" si="35"/>
        <v>-9.0909090909090912E-2</v>
      </c>
      <c r="E314" s="43" t="e">
        <f t="shared" si="38"/>
        <v>#N/A</v>
      </c>
      <c r="F314" s="38">
        <f>'Leave Record'!D316</f>
        <v>0</v>
      </c>
      <c r="G314" s="38">
        <f>'Leave Record'!E316</f>
        <v>0</v>
      </c>
      <c r="H314" s="23">
        <f t="shared" si="36"/>
        <v>1</v>
      </c>
      <c r="I314" s="23">
        <f t="shared" si="39"/>
        <v>0</v>
      </c>
      <c r="J314" s="43" t="e">
        <f t="shared" si="40"/>
        <v>#N/A</v>
      </c>
      <c r="K314" s="23">
        <f>'Leave Record'!F316</f>
        <v>0</v>
      </c>
    </row>
    <row r="315" spans="1:11" x14ac:dyDescent="0.25">
      <c r="A315" s="38">
        <f t="shared" si="37"/>
        <v>1</v>
      </c>
      <c r="B315" s="38">
        <f>IF(K315=$P$15,$M$4,IF(K315=$P$13,'Leave Entry'!$B$4,F315-1))</f>
        <v>-1</v>
      </c>
      <c r="C315" s="23">
        <f t="shared" si="34"/>
        <v>-1</v>
      </c>
      <c r="D315" s="43">
        <f t="shared" si="35"/>
        <v>-9.0909090909090912E-2</v>
      </c>
      <c r="E315" s="43" t="e">
        <f t="shared" si="38"/>
        <v>#N/A</v>
      </c>
      <c r="F315" s="38">
        <f>'Leave Record'!D317</f>
        <v>0</v>
      </c>
      <c r="G315" s="38">
        <f>'Leave Record'!E317</f>
        <v>0</v>
      </c>
      <c r="H315" s="23">
        <f t="shared" si="36"/>
        <v>1</v>
      </c>
      <c r="I315" s="23">
        <f t="shared" si="39"/>
        <v>0</v>
      </c>
      <c r="J315" s="43" t="e">
        <f t="shared" si="40"/>
        <v>#N/A</v>
      </c>
      <c r="K315" s="23">
        <f>'Leave Record'!F317</f>
        <v>0</v>
      </c>
    </row>
    <row r="316" spans="1:11" x14ac:dyDescent="0.25">
      <c r="A316" s="38">
        <f t="shared" si="37"/>
        <v>1</v>
      </c>
      <c r="B316" s="38">
        <f>IF(K316=$P$15,$M$4,IF(K316=$P$13,'Leave Entry'!$B$4,F316-1))</f>
        <v>-1</v>
      </c>
      <c r="C316" s="23">
        <f t="shared" si="34"/>
        <v>-1</v>
      </c>
      <c r="D316" s="43">
        <f t="shared" si="35"/>
        <v>-9.0909090909090912E-2</v>
      </c>
      <c r="E316" s="43" t="e">
        <f t="shared" si="38"/>
        <v>#N/A</v>
      </c>
      <c r="F316" s="38">
        <f>'Leave Record'!D318</f>
        <v>0</v>
      </c>
      <c r="G316" s="38">
        <f>'Leave Record'!E318</f>
        <v>0</v>
      </c>
      <c r="H316" s="23">
        <f t="shared" si="36"/>
        <v>1</v>
      </c>
      <c r="I316" s="23">
        <f t="shared" si="39"/>
        <v>0</v>
      </c>
      <c r="J316" s="43" t="e">
        <f t="shared" si="40"/>
        <v>#N/A</v>
      </c>
      <c r="K316" s="23">
        <f>'Leave Record'!F318</f>
        <v>0</v>
      </c>
    </row>
    <row r="317" spans="1:11" x14ac:dyDescent="0.25">
      <c r="A317" s="38">
        <f t="shared" si="37"/>
        <v>1</v>
      </c>
      <c r="B317" s="38">
        <f>IF(K317=$P$15,$M$4,IF(K317=$P$13,'Leave Entry'!$B$4,F317-1))</f>
        <v>-1</v>
      </c>
      <c r="C317" s="23">
        <f t="shared" si="34"/>
        <v>-1</v>
      </c>
      <c r="D317" s="43">
        <f t="shared" si="35"/>
        <v>-9.0909090909090912E-2</v>
      </c>
      <c r="E317" s="43" t="e">
        <f t="shared" si="38"/>
        <v>#N/A</v>
      </c>
      <c r="F317" s="38">
        <f>'Leave Record'!D319</f>
        <v>0</v>
      </c>
      <c r="G317" s="38">
        <f>'Leave Record'!E319</f>
        <v>0</v>
      </c>
      <c r="H317" s="23">
        <f t="shared" si="36"/>
        <v>1</v>
      </c>
      <c r="I317" s="23">
        <f t="shared" si="39"/>
        <v>0</v>
      </c>
      <c r="J317" s="43" t="e">
        <f t="shared" si="40"/>
        <v>#N/A</v>
      </c>
      <c r="K317" s="23">
        <f>'Leave Record'!F319</f>
        <v>0</v>
      </c>
    </row>
    <row r="318" spans="1:11" x14ac:dyDescent="0.25">
      <c r="A318" s="38">
        <f t="shared" si="37"/>
        <v>1</v>
      </c>
      <c r="B318" s="38">
        <f>IF(K318=$P$15,$M$4,IF(K318=$P$13,'Leave Entry'!$B$4,F318-1))</f>
        <v>-1</v>
      </c>
      <c r="C318" s="23">
        <f t="shared" si="34"/>
        <v>-1</v>
      </c>
      <c r="D318" s="43">
        <f t="shared" si="35"/>
        <v>-9.0909090909090912E-2</v>
      </c>
      <c r="E318" s="43" t="e">
        <f t="shared" si="38"/>
        <v>#N/A</v>
      </c>
      <c r="F318" s="38">
        <f>'Leave Record'!D320</f>
        <v>0</v>
      </c>
      <c r="G318" s="38">
        <f>'Leave Record'!E320</f>
        <v>0</v>
      </c>
      <c r="H318" s="23">
        <f t="shared" si="36"/>
        <v>1</v>
      </c>
      <c r="I318" s="23">
        <f t="shared" si="39"/>
        <v>0</v>
      </c>
      <c r="J318" s="43" t="e">
        <f t="shared" si="40"/>
        <v>#N/A</v>
      </c>
      <c r="K318" s="23">
        <f>'Leave Record'!F320</f>
        <v>0</v>
      </c>
    </row>
    <row r="319" spans="1:11" x14ac:dyDescent="0.25">
      <c r="A319" s="38">
        <f t="shared" si="37"/>
        <v>1</v>
      </c>
      <c r="B319" s="38">
        <f>IF(K319=$P$15,$M$4,IF(K319=$P$13,'Leave Entry'!$B$4,F319-1))</f>
        <v>-1</v>
      </c>
      <c r="C319" s="23">
        <f t="shared" si="34"/>
        <v>-1</v>
      </c>
      <c r="D319" s="43">
        <f t="shared" si="35"/>
        <v>-9.0909090909090912E-2</v>
      </c>
      <c r="E319" s="43" t="e">
        <f t="shared" si="38"/>
        <v>#N/A</v>
      </c>
      <c r="F319" s="38">
        <f>'Leave Record'!D321</f>
        <v>0</v>
      </c>
      <c r="G319" s="38">
        <f>'Leave Record'!E321</f>
        <v>0</v>
      </c>
      <c r="H319" s="23">
        <f t="shared" si="36"/>
        <v>1</v>
      </c>
      <c r="I319" s="23">
        <f t="shared" si="39"/>
        <v>0</v>
      </c>
      <c r="J319" s="43" t="e">
        <f t="shared" si="40"/>
        <v>#N/A</v>
      </c>
      <c r="K319" s="23">
        <f>'Leave Record'!F321</f>
        <v>0</v>
      </c>
    </row>
    <row r="320" spans="1:11" x14ac:dyDescent="0.25">
      <c r="A320" s="38">
        <f t="shared" si="37"/>
        <v>1</v>
      </c>
      <c r="B320" s="38">
        <f>IF(K320=$P$15,$M$4,IF(K320=$P$13,'Leave Entry'!$B$4,F320-1))</f>
        <v>-1</v>
      </c>
      <c r="C320" s="23">
        <f t="shared" si="34"/>
        <v>-1</v>
      </c>
      <c r="D320" s="43">
        <f t="shared" si="35"/>
        <v>-9.0909090909090912E-2</v>
      </c>
      <c r="E320" s="43" t="e">
        <f t="shared" si="38"/>
        <v>#N/A</v>
      </c>
      <c r="F320" s="38">
        <f>'Leave Record'!D322</f>
        <v>0</v>
      </c>
      <c r="G320" s="38">
        <f>'Leave Record'!E322</f>
        <v>0</v>
      </c>
      <c r="H320" s="23">
        <f t="shared" si="36"/>
        <v>1</v>
      </c>
      <c r="I320" s="23">
        <f t="shared" si="39"/>
        <v>0</v>
      </c>
      <c r="J320" s="43" t="e">
        <f t="shared" si="40"/>
        <v>#N/A</v>
      </c>
      <c r="K320" s="23">
        <f>'Leave Record'!F322</f>
        <v>0</v>
      </c>
    </row>
    <row r="321" spans="1:11" x14ac:dyDescent="0.25">
      <c r="A321" s="38">
        <f t="shared" si="37"/>
        <v>1</v>
      </c>
      <c r="B321" s="38">
        <f>IF(K321=$P$15,$M$4,IF(K321=$P$13,'Leave Entry'!$B$4,F321-1))</f>
        <v>-1</v>
      </c>
      <c r="C321" s="23">
        <f t="shared" si="34"/>
        <v>-1</v>
      </c>
      <c r="D321" s="43">
        <f t="shared" si="35"/>
        <v>-9.0909090909090912E-2</v>
      </c>
      <c r="E321" s="43" t="e">
        <f t="shared" si="38"/>
        <v>#N/A</v>
      </c>
      <c r="F321" s="38">
        <f>'Leave Record'!D323</f>
        <v>0</v>
      </c>
      <c r="G321" s="38">
        <f>'Leave Record'!E323</f>
        <v>0</v>
      </c>
      <c r="H321" s="23">
        <f t="shared" si="36"/>
        <v>1</v>
      </c>
      <c r="I321" s="23">
        <f t="shared" si="39"/>
        <v>0</v>
      </c>
      <c r="J321" s="43" t="e">
        <f t="shared" si="40"/>
        <v>#N/A</v>
      </c>
      <c r="K321" s="23">
        <f>'Leave Record'!F323</f>
        <v>0</v>
      </c>
    </row>
    <row r="322" spans="1:11" x14ac:dyDescent="0.25">
      <c r="A322" s="38">
        <f t="shared" si="37"/>
        <v>1</v>
      </c>
      <c r="B322" s="38">
        <f>IF(K322=$P$15,$M$4,IF(K322=$P$13,'Leave Entry'!$B$4,F322-1))</f>
        <v>-1</v>
      </c>
      <c r="C322" s="23">
        <f t="shared" si="34"/>
        <v>-1</v>
      </c>
      <c r="D322" s="43">
        <f t="shared" si="35"/>
        <v>-9.0909090909090912E-2</v>
      </c>
      <c r="E322" s="43" t="e">
        <f t="shared" si="38"/>
        <v>#N/A</v>
      </c>
      <c r="F322" s="38">
        <f>'Leave Record'!D324</f>
        <v>0</v>
      </c>
      <c r="G322" s="38">
        <f>'Leave Record'!E324</f>
        <v>0</v>
      </c>
      <c r="H322" s="23">
        <f t="shared" si="36"/>
        <v>1</v>
      </c>
      <c r="I322" s="23">
        <f t="shared" si="39"/>
        <v>0</v>
      </c>
      <c r="J322" s="43" t="e">
        <f t="shared" si="40"/>
        <v>#N/A</v>
      </c>
      <c r="K322" s="23">
        <f>'Leave Record'!F324</f>
        <v>0</v>
      </c>
    </row>
    <row r="323" spans="1:11" x14ac:dyDescent="0.25">
      <c r="A323" s="38">
        <f t="shared" si="37"/>
        <v>1</v>
      </c>
      <c r="B323" s="38">
        <f>IF(K323=$P$15,$M$4,IF(K323=$P$13,'Leave Entry'!$B$4,F323-1))</f>
        <v>-1</v>
      </c>
      <c r="C323" s="23">
        <f t="shared" si="34"/>
        <v>-1</v>
      </c>
      <c r="D323" s="43">
        <f t="shared" si="35"/>
        <v>-9.0909090909090912E-2</v>
      </c>
      <c r="E323" s="43" t="e">
        <f t="shared" si="38"/>
        <v>#N/A</v>
      </c>
      <c r="F323" s="38">
        <f>'Leave Record'!D325</f>
        <v>0</v>
      </c>
      <c r="G323" s="38">
        <f>'Leave Record'!E325</f>
        <v>0</v>
      </c>
      <c r="H323" s="23">
        <f t="shared" si="36"/>
        <v>1</v>
      </c>
      <c r="I323" s="23">
        <f t="shared" si="39"/>
        <v>0</v>
      </c>
      <c r="J323" s="43" t="e">
        <f t="shared" si="40"/>
        <v>#N/A</v>
      </c>
      <c r="K323" s="23">
        <f>'Leave Record'!F325</f>
        <v>0</v>
      </c>
    </row>
    <row r="324" spans="1:11" x14ac:dyDescent="0.25">
      <c r="A324" s="38">
        <f t="shared" si="37"/>
        <v>1</v>
      </c>
      <c r="B324" s="38">
        <f>IF(K324=$P$15,$M$4,IF(K324=$P$13,'Leave Entry'!$B$4,F324-1))</f>
        <v>-1</v>
      </c>
      <c r="C324" s="23">
        <f t="shared" si="34"/>
        <v>-1</v>
      </c>
      <c r="D324" s="43">
        <f t="shared" si="35"/>
        <v>-9.0909090909090912E-2</v>
      </c>
      <c r="E324" s="43" t="e">
        <f t="shared" si="38"/>
        <v>#N/A</v>
      </c>
      <c r="F324" s="38">
        <f>'Leave Record'!D326</f>
        <v>0</v>
      </c>
      <c r="G324" s="38">
        <f>'Leave Record'!E326</f>
        <v>0</v>
      </c>
      <c r="H324" s="23">
        <f t="shared" si="36"/>
        <v>1</v>
      </c>
      <c r="I324" s="23">
        <f t="shared" si="39"/>
        <v>0</v>
      </c>
      <c r="J324" s="43" t="e">
        <f t="shared" si="40"/>
        <v>#N/A</v>
      </c>
      <c r="K324" s="23">
        <f>'Leave Record'!F326</f>
        <v>0</v>
      </c>
    </row>
    <row r="325" spans="1:11" x14ac:dyDescent="0.25">
      <c r="A325" s="38">
        <f t="shared" si="37"/>
        <v>1</v>
      </c>
      <c r="B325" s="38">
        <f>IF(K325=$P$15,$M$4,IF(K325=$P$13,'Leave Entry'!$B$4,F325-1))</f>
        <v>-1</v>
      </c>
      <c r="C325" s="23">
        <f t="shared" si="34"/>
        <v>-1</v>
      </c>
      <c r="D325" s="43">
        <f t="shared" si="35"/>
        <v>-9.0909090909090912E-2</v>
      </c>
      <c r="E325" s="43" t="e">
        <f t="shared" si="38"/>
        <v>#N/A</v>
      </c>
      <c r="F325" s="38">
        <f>'Leave Record'!D327</f>
        <v>0</v>
      </c>
      <c r="G325" s="38">
        <f>'Leave Record'!E327</f>
        <v>0</v>
      </c>
      <c r="H325" s="23">
        <f t="shared" si="36"/>
        <v>1</v>
      </c>
      <c r="I325" s="23">
        <f t="shared" si="39"/>
        <v>0</v>
      </c>
      <c r="J325" s="43" t="e">
        <f t="shared" si="40"/>
        <v>#N/A</v>
      </c>
      <c r="K325" s="23">
        <f>'Leave Record'!F327</f>
        <v>0</v>
      </c>
    </row>
    <row r="326" spans="1:11" x14ac:dyDescent="0.25">
      <c r="A326" s="38">
        <f t="shared" si="37"/>
        <v>1</v>
      </c>
      <c r="B326" s="38">
        <f>IF(K326=$P$15,$M$4,IF(K326=$P$13,'Leave Entry'!$B$4,F326-1))</f>
        <v>-1</v>
      </c>
      <c r="C326" s="23">
        <f t="shared" ref="C326:C389" si="41">B326-A326+1</f>
        <v>-1</v>
      </c>
      <c r="D326" s="43">
        <f t="shared" ref="D326:D389" si="42">C326/11</f>
        <v>-9.0909090909090912E-2</v>
      </c>
      <c r="E326" s="43" t="e">
        <f t="shared" si="38"/>
        <v>#N/A</v>
      </c>
      <c r="F326" s="38">
        <f>'Leave Record'!D328</f>
        <v>0</v>
      </c>
      <c r="G326" s="38">
        <f>'Leave Record'!E328</f>
        <v>0</v>
      </c>
      <c r="H326" s="23">
        <f t="shared" ref="H326:H389" si="43">G326-F326+1</f>
        <v>1</v>
      </c>
      <c r="I326" s="23">
        <f t="shared" si="39"/>
        <v>0</v>
      </c>
      <c r="J326" s="43" t="e">
        <f t="shared" si="40"/>
        <v>#N/A</v>
      </c>
      <c r="K326" s="23">
        <f>'Leave Record'!F328</f>
        <v>0</v>
      </c>
    </row>
    <row r="327" spans="1:11" x14ac:dyDescent="0.25">
      <c r="A327" s="38">
        <f t="shared" si="37"/>
        <v>1</v>
      </c>
      <c r="B327" s="38">
        <f>IF(K327=$P$15,$M$4,IF(K327=$P$13,'Leave Entry'!$B$4,F327-1))</f>
        <v>-1</v>
      </c>
      <c r="C327" s="23">
        <f t="shared" si="41"/>
        <v>-1</v>
      </c>
      <c r="D327" s="43">
        <f t="shared" si="42"/>
        <v>-9.0909090909090912E-2</v>
      </c>
      <c r="E327" s="43" t="e">
        <f t="shared" si="38"/>
        <v>#N/A</v>
      </c>
      <c r="F327" s="38">
        <f>'Leave Record'!D329</f>
        <v>0</v>
      </c>
      <c r="G327" s="38">
        <f>'Leave Record'!E329</f>
        <v>0</v>
      </c>
      <c r="H327" s="23">
        <f t="shared" si="43"/>
        <v>1</v>
      </c>
      <c r="I327" s="23">
        <f t="shared" si="39"/>
        <v>0</v>
      </c>
      <c r="J327" s="43" t="e">
        <f t="shared" si="40"/>
        <v>#N/A</v>
      </c>
      <c r="K327" s="23">
        <f>'Leave Record'!F329</f>
        <v>0</v>
      </c>
    </row>
    <row r="328" spans="1:11" x14ac:dyDescent="0.25">
      <c r="A328" s="38">
        <f t="shared" si="37"/>
        <v>1</v>
      </c>
      <c r="B328" s="38">
        <f>IF(K328=$P$15,$M$4,IF(K328=$P$13,'Leave Entry'!$B$4,F328-1))</f>
        <v>-1</v>
      </c>
      <c r="C328" s="23">
        <f t="shared" si="41"/>
        <v>-1</v>
      </c>
      <c r="D328" s="43">
        <f t="shared" si="42"/>
        <v>-9.0909090909090912E-2</v>
      </c>
      <c r="E328" s="43" t="e">
        <f t="shared" si="38"/>
        <v>#N/A</v>
      </c>
      <c r="F328" s="38">
        <f>'Leave Record'!D330</f>
        <v>0</v>
      </c>
      <c r="G328" s="38">
        <f>'Leave Record'!E330</f>
        <v>0</v>
      </c>
      <c r="H328" s="23">
        <f t="shared" si="43"/>
        <v>1</v>
      </c>
      <c r="I328" s="23">
        <f t="shared" si="39"/>
        <v>0</v>
      </c>
      <c r="J328" s="43" t="e">
        <f t="shared" si="40"/>
        <v>#N/A</v>
      </c>
      <c r="K328" s="23">
        <f>'Leave Record'!F330</f>
        <v>0</v>
      </c>
    </row>
    <row r="329" spans="1:11" x14ac:dyDescent="0.25">
      <c r="A329" s="38">
        <f t="shared" ref="A329:A392" si="44">G328+1</f>
        <v>1</v>
      </c>
      <c r="B329" s="38">
        <f>IF(K329=$P$15,$M$4,IF(K329=$P$13,'Leave Entry'!$B$4,F329-1))</f>
        <v>-1</v>
      </c>
      <c r="C329" s="23">
        <f t="shared" si="41"/>
        <v>-1</v>
      </c>
      <c r="D329" s="43">
        <f t="shared" si="42"/>
        <v>-9.0909090909090912E-2</v>
      </c>
      <c r="E329" s="43" t="e">
        <f t="shared" ref="E329:E392" si="45">J328+D329</f>
        <v>#N/A</v>
      </c>
      <c r="F329" s="38">
        <f>'Leave Record'!D331</f>
        <v>0</v>
      </c>
      <c r="G329" s="38">
        <f>'Leave Record'!E331</f>
        <v>0</v>
      </c>
      <c r="H329" s="23">
        <f t="shared" si="43"/>
        <v>1</v>
      </c>
      <c r="I329" s="23">
        <f t="shared" ref="I329:I392" si="46">IF(K329=$P$14,H329,0)</f>
        <v>0</v>
      </c>
      <c r="J329" s="43" t="e">
        <f t="shared" ref="J329:J392" si="47">E329-I329</f>
        <v>#N/A</v>
      </c>
      <c r="K329" s="23">
        <f>'Leave Record'!F331</f>
        <v>0</v>
      </c>
    </row>
    <row r="330" spans="1:11" x14ac:dyDescent="0.25">
      <c r="A330" s="38">
        <f t="shared" si="44"/>
        <v>1</v>
      </c>
      <c r="B330" s="38">
        <f>IF(K330=$P$15,$M$4,IF(K330=$P$13,'Leave Entry'!$B$4,F330-1))</f>
        <v>-1</v>
      </c>
      <c r="C330" s="23">
        <f t="shared" si="41"/>
        <v>-1</v>
      </c>
      <c r="D330" s="43">
        <f t="shared" si="42"/>
        <v>-9.0909090909090912E-2</v>
      </c>
      <c r="E330" s="43" t="e">
        <f t="shared" si="45"/>
        <v>#N/A</v>
      </c>
      <c r="F330" s="38">
        <f>'Leave Record'!D332</f>
        <v>0</v>
      </c>
      <c r="G330" s="38">
        <f>'Leave Record'!E332</f>
        <v>0</v>
      </c>
      <c r="H330" s="23">
        <f t="shared" si="43"/>
        <v>1</v>
      </c>
      <c r="I330" s="23">
        <f t="shared" si="46"/>
        <v>0</v>
      </c>
      <c r="J330" s="43" t="e">
        <f t="shared" si="47"/>
        <v>#N/A</v>
      </c>
      <c r="K330" s="23">
        <f>'Leave Record'!F332</f>
        <v>0</v>
      </c>
    </row>
    <row r="331" spans="1:11" x14ac:dyDescent="0.25">
      <c r="A331" s="38">
        <f t="shared" si="44"/>
        <v>1</v>
      </c>
      <c r="B331" s="38">
        <f>IF(K331=$P$15,$M$4,IF(K331=$P$13,'Leave Entry'!$B$4,F331-1))</f>
        <v>-1</v>
      </c>
      <c r="C331" s="23">
        <f t="shared" si="41"/>
        <v>-1</v>
      </c>
      <c r="D331" s="43">
        <f t="shared" si="42"/>
        <v>-9.0909090909090912E-2</v>
      </c>
      <c r="E331" s="43" t="e">
        <f t="shared" si="45"/>
        <v>#N/A</v>
      </c>
      <c r="F331" s="38">
        <f>'Leave Record'!D333</f>
        <v>0</v>
      </c>
      <c r="G331" s="38">
        <f>'Leave Record'!E333</f>
        <v>0</v>
      </c>
      <c r="H331" s="23">
        <f t="shared" si="43"/>
        <v>1</v>
      </c>
      <c r="I331" s="23">
        <f t="shared" si="46"/>
        <v>0</v>
      </c>
      <c r="J331" s="43" t="e">
        <f t="shared" si="47"/>
        <v>#N/A</v>
      </c>
      <c r="K331" s="23">
        <f>'Leave Record'!F333</f>
        <v>0</v>
      </c>
    </row>
    <row r="332" spans="1:11" x14ac:dyDescent="0.25">
      <c r="A332" s="38">
        <f t="shared" si="44"/>
        <v>1</v>
      </c>
      <c r="B332" s="38">
        <f>IF(K332=$P$15,$M$4,IF(K332=$P$13,'Leave Entry'!$B$4,F332-1))</f>
        <v>-1</v>
      </c>
      <c r="C332" s="23">
        <f t="shared" si="41"/>
        <v>-1</v>
      </c>
      <c r="D332" s="43">
        <f t="shared" si="42"/>
        <v>-9.0909090909090912E-2</v>
      </c>
      <c r="E332" s="43" t="e">
        <f t="shared" si="45"/>
        <v>#N/A</v>
      </c>
      <c r="F332" s="38">
        <f>'Leave Record'!D334</f>
        <v>0</v>
      </c>
      <c r="G332" s="38">
        <f>'Leave Record'!E334</f>
        <v>0</v>
      </c>
      <c r="H332" s="23">
        <f t="shared" si="43"/>
        <v>1</v>
      </c>
      <c r="I332" s="23">
        <f t="shared" si="46"/>
        <v>0</v>
      </c>
      <c r="J332" s="43" t="e">
        <f t="shared" si="47"/>
        <v>#N/A</v>
      </c>
      <c r="K332" s="23">
        <f>'Leave Record'!F334</f>
        <v>0</v>
      </c>
    </row>
    <row r="333" spans="1:11" x14ac:dyDescent="0.25">
      <c r="A333" s="38">
        <f t="shared" si="44"/>
        <v>1</v>
      </c>
      <c r="B333" s="38">
        <f>IF(K333=$P$15,$M$4,IF(K333=$P$13,'Leave Entry'!$B$4,F333-1))</f>
        <v>-1</v>
      </c>
      <c r="C333" s="23">
        <f t="shared" si="41"/>
        <v>-1</v>
      </c>
      <c r="D333" s="43">
        <f t="shared" si="42"/>
        <v>-9.0909090909090912E-2</v>
      </c>
      <c r="E333" s="43" t="e">
        <f t="shared" si="45"/>
        <v>#N/A</v>
      </c>
      <c r="F333" s="38">
        <f>'Leave Record'!D335</f>
        <v>0</v>
      </c>
      <c r="G333" s="38">
        <f>'Leave Record'!E335</f>
        <v>0</v>
      </c>
      <c r="H333" s="23">
        <f t="shared" si="43"/>
        <v>1</v>
      </c>
      <c r="I333" s="23">
        <f t="shared" si="46"/>
        <v>0</v>
      </c>
      <c r="J333" s="43" t="e">
        <f t="shared" si="47"/>
        <v>#N/A</v>
      </c>
      <c r="K333" s="23">
        <f>'Leave Record'!F335</f>
        <v>0</v>
      </c>
    </row>
    <row r="334" spans="1:11" x14ac:dyDescent="0.25">
      <c r="A334" s="38">
        <f t="shared" si="44"/>
        <v>1</v>
      </c>
      <c r="B334" s="38">
        <f>IF(K334=$P$15,$M$4,IF(K334=$P$13,'Leave Entry'!$B$4,F334-1))</f>
        <v>-1</v>
      </c>
      <c r="C334" s="23">
        <f t="shared" si="41"/>
        <v>-1</v>
      </c>
      <c r="D334" s="43">
        <f t="shared" si="42"/>
        <v>-9.0909090909090912E-2</v>
      </c>
      <c r="E334" s="43" t="e">
        <f t="shared" si="45"/>
        <v>#N/A</v>
      </c>
      <c r="F334" s="38">
        <f>'Leave Record'!D336</f>
        <v>0</v>
      </c>
      <c r="G334" s="38">
        <f>'Leave Record'!E336</f>
        <v>0</v>
      </c>
      <c r="H334" s="23">
        <f t="shared" si="43"/>
        <v>1</v>
      </c>
      <c r="I334" s="23">
        <f t="shared" si="46"/>
        <v>0</v>
      </c>
      <c r="J334" s="43" t="e">
        <f t="shared" si="47"/>
        <v>#N/A</v>
      </c>
      <c r="K334" s="23">
        <f>'Leave Record'!F336</f>
        <v>0</v>
      </c>
    </row>
    <row r="335" spans="1:11" x14ac:dyDescent="0.25">
      <c r="A335" s="38">
        <f t="shared" si="44"/>
        <v>1</v>
      </c>
      <c r="B335" s="38">
        <f>IF(K335=$P$15,$M$4,IF(K335=$P$13,'Leave Entry'!$B$4,F335-1))</f>
        <v>-1</v>
      </c>
      <c r="C335" s="23">
        <f t="shared" si="41"/>
        <v>-1</v>
      </c>
      <c r="D335" s="43">
        <f t="shared" si="42"/>
        <v>-9.0909090909090912E-2</v>
      </c>
      <c r="E335" s="43" t="e">
        <f t="shared" si="45"/>
        <v>#N/A</v>
      </c>
      <c r="F335" s="38">
        <f>'Leave Record'!D337</f>
        <v>0</v>
      </c>
      <c r="G335" s="38">
        <f>'Leave Record'!E337</f>
        <v>0</v>
      </c>
      <c r="H335" s="23">
        <f t="shared" si="43"/>
        <v>1</v>
      </c>
      <c r="I335" s="23">
        <f t="shared" si="46"/>
        <v>0</v>
      </c>
      <c r="J335" s="43" t="e">
        <f t="shared" si="47"/>
        <v>#N/A</v>
      </c>
      <c r="K335" s="23">
        <f>'Leave Record'!F337</f>
        <v>0</v>
      </c>
    </row>
    <row r="336" spans="1:11" x14ac:dyDescent="0.25">
      <c r="A336" s="38">
        <f t="shared" si="44"/>
        <v>1</v>
      </c>
      <c r="B336" s="38">
        <f>IF(K336=$P$15,$M$4,IF(K336=$P$13,'Leave Entry'!$B$4,F336-1))</f>
        <v>-1</v>
      </c>
      <c r="C336" s="23">
        <f t="shared" si="41"/>
        <v>-1</v>
      </c>
      <c r="D336" s="43">
        <f t="shared" si="42"/>
        <v>-9.0909090909090912E-2</v>
      </c>
      <c r="E336" s="43" t="e">
        <f t="shared" si="45"/>
        <v>#N/A</v>
      </c>
      <c r="F336" s="38">
        <f>'Leave Record'!D338</f>
        <v>0</v>
      </c>
      <c r="G336" s="38">
        <f>'Leave Record'!E338</f>
        <v>0</v>
      </c>
      <c r="H336" s="23">
        <f t="shared" si="43"/>
        <v>1</v>
      </c>
      <c r="I336" s="23">
        <f t="shared" si="46"/>
        <v>0</v>
      </c>
      <c r="J336" s="43" t="e">
        <f t="shared" si="47"/>
        <v>#N/A</v>
      </c>
      <c r="K336" s="23">
        <f>'Leave Record'!F338</f>
        <v>0</v>
      </c>
    </row>
    <row r="337" spans="1:11" x14ac:dyDescent="0.25">
      <c r="A337" s="38">
        <f t="shared" si="44"/>
        <v>1</v>
      </c>
      <c r="B337" s="38">
        <f>IF(K337=$P$15,$M$4,IF(K337=$P$13,'Leave Entry'!$B$4,F337-1))</f>
        <v>-1</v>
      </c>
      <c r="C337" s="23">
        <f t="shared" si="41"/>
        <v>-1</v>
      </c>
      <c r="D337" s="43">
        <f t="shared" si="42"/>
        <v>-9.0909090909090912E-2</v>
      </c>
      <c r="E337" s="43" t="e">
        <f t="shared" si="45"/>
        <v>#N/A</v>
      </c>
      <c r="F337" s="38">
        <f>'Leave Record'!D339</f>
        <v>0</v>
      </c>
      <c r="G337" s="38">
        <f>'Leave Record'!E339</f>
        <v>0</v>
      </c>
      <c r="H337" s="23">
        <f t="shared" si="43"/>
        <v>1</v>
      </c>
      <c r="I337" s="23">
        <f t="shared" si="46"/>
        <v>0</v>
      </c>
      <c r="J337" s="43" t="e">
        <f t="shared" si="47"/>
        <v>#N/A</v>
      </c>
      <c r="K337" s="23">
        <f>'Leave Record'!F339</f>
        <v>0</v>
      </c>
    </row>
    <row r="338" spans="1:11" x14ac:dyDescent="0.25">
      <c r="A338" s="38">
        <f t="shared" si="44"/>
        <v>1</v>
      </c>
      <c r="B338" s="38">
        <f>IF(K338=$P$15,$M$4,IF(K338=$P$13,'Leave Entry'!$B$4,F338-1))</f>
        <v>-1</v>
      </c>
      <c r="C338" s="23">
        <f t="shared" si="41"/>
        <v>-1</v>
      </c>
      <c r="D338" s="43">
        <f t="shared" si="42"/>
        <v>-9.0909090909090912E-2</v>
      </c>
      <c r="E338" s="43" t="e">
        <f t="shared" si="45"/>
        <v>#N/A</v>
      </c>
      <c r="F338" s="38">
        <f>'Leave Record'!D340</f>
        <v>0</v>
      </c>
      <c r="G338" s="38">
        <f>'Leave Record'!E340</f>
        <v>0</v>
      </c>
      <c r="H338" s="23">
        <f t="shared" si="43"/>
        <v>1</v>
      </c>
      <c r="I338" s="23">
        <f t="shared" si="46"/>
        <v>0</v>
      </c>
      <c r="J338" s="43" t="e">
        <f t="shared" si="47"/>
        <v>#N/A</v>
      </c>
      <c r="K338" s="23">
        <f>'Leave Record'!F340</f>
        <v>0</v>
      </c>
    </row>
    <row r="339" spans="1:11" x14ac:dyDescent="0.25">
      <c r="A339" s="38">
        <f t="shared" si="44"/>
        <v>1</v>
      </c>
      <c r="B339" s="38">
        <f>IF(K339=$P$15,$M$4,IF(K339=$P$13,'Leave Entry'!$B$4,F339-1))</f>
        <v>-1</v>
      </c>
      <c r="C339" s="23">
        <f t="shared" si="41"/>
        <v>-1</v>
      </c>
      <c r="D339" s="43">
        <f t="shared" si="42"/>
        <v>-9.0909090909090912E-2</v>
      </c>
      <c r="E339" s="43" t="e">
        <f t="shared" si="45"/>
        <v>#N/A</v>
      </c>
      <c r="F339" s="38">
        <f>'Leave Record'!D341</f>
        <v>0</v>
      </c>
      <c r="G339" s="38">
        <f>'Leave Record'!E341</f>
        <v>0</v>
      </c>
      <c r="H339" s="23">
        <f t="shared" si="43"/>
        <v>1</v>
      </c>
      <c r="I339" s="23">
        <f t="shared" si="46"/>
        <v>0</v>
      </c>
      <c r="J339" s="43" t="e">
        <f t="shared" si="47"/>
        <v>#N/A</v>
      </c>
      <c r="K339" s="23">
        <f>'Leave Record'!F341</f>
        <v>0</v>
      </c>
    </row>
    <row r="340" spans="1:11" x14ac:dyDescent="0.25">
      <c r="A340" s="38">
        <f t="shared" si="44"/>
        <v>1</v>
      </c>
      <c r="B340" s="38">
        <f>IF(K340=$P$15,$M$4,IF(K340=$P$13,'Leave Entry'!$B$4,F340-1))</f>
        <v>-1</v>
      </c>
      <c r="C340" s="23">
        <f t="shared" si="41"/>
        <v>-1</v>
      </c>
      <c r="D340" s="43">
        <f t="shared" si="42"/>
        <v>-9.0909090909090912E-2</v>
      </c>
      <c r="E340" s="43" t="e">
        <f t="shared" si="45"/>
        <v>#N/A</v>
      </c>
      <c r="F340" s="38">
        <f>'Leave Record'!D342</f>
        <v>0</v>
      </c>
      <c r="G340" s="38">
        <f>'Leave Record'!E342</f>
        <v>0</v>
      </c>
      <c r="H340" s="23">
        <f t="shared" si="43"/>
        <v>1</v>
      </c>
      <c r="I340" s="23">
        <f t="shared" si="46"/>
        <v>0</v>
      </c>
      <c r="J340" s="43" t="e">
        <f t="shared" si="47"/>
        <v>#N/A</v>
      </c>
      <c r="K340" s="23">
        <f>'Leave Record'!F342</f>
        <v>0</v>
      </c>
    </row>
    <row r="341" spans="1:11" x14ac:dyDescent="0.25">
      <c r="A341" s="38">
        <f t="shared" si="44"/>
        <v>1</v>
      </c>
      <c r="B341" s="38">
        <f>IF(K341=$P$15,$M$4,IF(K341=$P$13,'Leave Entry'!$B$4,F341-1))</f>
        <v>-1</v>
      </c>
      <c r="C341" s="23">
        <f t="shared" si="41"/>
        <v>-1</v>
      </c>
      <c r="D341" s="43">
        <f t="shared" si="42"/>
        <v>-9.0909090909090912E-2</v>
      </c>
      <c r="E341" s="43" t="e">
        <f t="shared" si="45"/>
        <v>#N/A</v>
      </c>
      <c r="F341" s="38">
        <f>'Leave Record'!D343</f>
        <v>0</v>
      </c>
      <c r="G341" s="38">
        <f>'Leave Record'!E343</f>
        <v>0</v>
      </c>
      <c r="H341" s="23">
        <f t="shared" si="43"/>
        <v>1</v>
      </c>
      <c r="I341" s="23">
        <f t="shared" si="46"/>
        <v>0</v>
      </c>
      <c r="J341" s="43" t="e">
        <f t="shared" si="47"/>
        <v>#N/A</v>
      </c>
      <c r="K341" s="23">
        <f>'Leave Record'!F343</f>
        <v>0</v>
      </c>
    </row>
    <row r="342" spans="1:11" x14ac:dyDescent="0.25">
      <c r="A342" s="38">
        <f t="shared" si="44"/>
        <v>1</v>
      </c>
      <c r="B342" s="38">
        <f>IF(K342=$P$15,$M$4,IF(K342=$P$13,'Leave Entry'!$B$4,F342-1))</f>
        <v>-1</v>
      </c>
      <c r="C342" s="23">
        <f t="shared" si="41"/>
        <v>-1</v>
      </c>
      <c r="D342" s="43">
        <f t="shared" si="42"/>
        <v>-9.0909090909090912E-2</v>
      </c>
      <c r="E342" s="43" t="e">
        <f t="shared" si="45"/>
        <v>#N/A</v>
      </c>
      <c r="F342" s="38">
        <f>'Leave Record'!D344</f>
        <v>0</v>
      </c>
      <c r="G342" s="38">
        <f>'Leave Record'!E344</f>
        <v>0</v>
      </c>
      <c r="H342" s="23">
        <f t="shared" si="43"/>
        <v>1</v>
      </c>
      <c r="I342" s="23">
        <f t="shared" si="46"/>
        <v>0</v>
      </c>
      <c r="J342" s="43" t="e">
        <f t="shared" si="47"/>
        <v>#N/A</v>
      </c>
      <c r="K342" s="23">
        <f>'Leave Record'!F344</f>
        <v>0</v>
      </c>
    </row>
    <row r="343" spans="1:11" x14ac:dyDescent="0.25">
      <c r="A343" s="38">
        <f t="shared" si="44"/>
        <v>1</v>
      </c>
      <c r="B343" s="38">
        <f>IF(K343=$P$15,$M$4,IF(K343=$P$13,'Leave Entry'!$B$4,F343-1))</f>
        <v>-1</v>
      </c>
      <c r="C343" s="23">
        <f t="shared" si="41"/>
        <v>-1</v>
      </c>
      <c r="D343" s="43">
        <f t="shared" si="42"/>
        <v>-9.0909090909090912E-2</v>
      </c>
      <c r="E343" s="43" t="e">
        <f t="shared" si="45"/>
        <v>#N/A</v>
      </c>
      <c r="F343" s="38">
        <f>'Leave Record'!D345</f>
        <v>0</v>
      </c>
      <c r="G343" s="38">
        <f>'Leave Record'!E345</f>
        <v>0</v>
      </c>
      <c r="H343" s="23">
        <f t="shared" si="43"/>
        <v>1</v>
      </c>
      <c r="I343" s="23">
        <f t="shared" si="46"/>
        <v>0</v>
      </c>
      <c r="J343" s="43" t="e">
        <f t="shared" si="47"/>
        <v>#N/A</v>
      </c>
      <c r="K343" s="23">
        <f>'Leave Record'!F345</f>
        <v>0</v>
      </c>
    </row>
    <row r="344" spans="1:11" x14ac:dyDescent="0.25">
      <c r="A344" s="38">
        <f t="shared" si="44"/>
        <v>1</v>
      </c>
      <c r="B344" s="38">
        <f>IF(K344=$P$15,$M$4,IF(K344=$P$13,'Leave Entry'!$B$4,F344-1))</f>
        <v>-1</v>
      </c>
      <c r="C344" s="23">
        <f t="shared" si="41"/>
        <v>-1</v>
      </c>
      <c r="D344" s="43">
        <f t="shared" si="42"/>
        <v>-9.0909090909090912E-2</v>
      </c>
      <c r="E344" s="43" t="e">
        <f t="shared" si="45"/>
        <v>#N/A</v>
      </c>
      <c r="F344" s="38">
        <f>'Leave Record'!D346</f>
        <v>0</v>
      </c>
      <c r="G344" s="38">
        <f>'Leave Record'!E346</f>
        <v>0</v>
      </c>
      <c r="H344" s="23">
        <f t="shared" si="43"/>
        <v>1</v>
      </c>
      <c r="I344" s="23">
        <f t="shared" si="46"/>
        <v>0</v>
      </c>
      <c r="J344" s="43" t="e">
        <f t="shared" si="47"/>
        <v>#N/A</v>
      </c>
      <c r="K344" s="23">
        <f>'Leave Record'!F346</f>
        <v>0</v>
      </c>
    </row>
    <row r="345" spans="1:11" x14ac:dyDescent="0.25">
      <c r="A345" s="38">
        <f t="shared" si="44"/>
        <v>1</v>
      </c>
      <c r="B345" s="38">
        <f>IF(K345=$P$15,$M$4,IF(K345=$P$13,'Leave Entry'!$B$4,F345-1))</f>
        <v>-1</v>
      </c>
      <c r="C345" s="23">
        <f t="shared" si="41"/>
        <v>-1</v>
      </c>
      <c r="D345" s="43">
        <f t="shared" si="42"/>
        <v>-9.0909090909090912E-2</v>
      </c>
      <c r="E345" s="43" t="e">
        <f t="shared" si="45"/>
        <v>#N/A</v>
      </c>
      <c r="F345" s="38">
        <f>'Leave Record'!D347</f>
        <v>0</v>
      </c>
      <c r="G345" s="38">
        <f>'Leave Record'!E347</f>
        <v>0</v>
      </c>
      <c r="H345" s="23">
        <f t="shared" si="43"/>
        <v>1</v>
      </c>
      <c r="I345" s="23">
        <f t="shared" si="46"/>
        <v>0</v>
      </c>
      <c r="J345" s="43" t="e">
        <f t="shared" si="47"/>
        <v>#N/A</v>
      </c>
      <c r="K345" s="23">
        <f>'Leave Record'!F347</f>
        <v>0</v>
      </c>
    </row>
    <row r="346" spans="1:11" x14ac:dyDescent="0.25">
      <c r="A346" s="38">
        <f t="shared" si="44"/>
        <v>1</v>
      </c>
      <c r="B346" s="38">
        <f>IF(K346=$P$15,$M$4,IF(K346=$P$13,'Leave Entry'!$B$4,F346-1))</f>
        <v>-1</v>
      </c>
      <c r="C346" s="23">
        <f t="shared" si="41"/>
        <v>-1</v>
      </c>
      <c r="D346" s="43">
        <f t="shared" si="42"/>
        <v>-9.0909090909090912E-2</v>
      </c>
      <c r="E346" s="43" t="e">
        <f t="shared" si="45"/>
        <v>#N/A</v>
      </c>
      <c r="F346" s="38">
        <f>'Leave Record'!D348</f>
        <v>0</v>
      </c>
      <c r="G346" s="38">
        <f>'Leave Record'!E348</f>
        <v>0</v>
      </c>
      <c r="H346" s="23">
        <f t="shared" si="43"/>
        <v>1</v>
      </c>
      <c r="I346" s="23">
        <f t="shared" si="46"/>
        <v>0</v>
      </c>
      <c r="J346" s="43" t="e">
        <f t="shared" si="47"/>
        <v>#N/A</v>
      </c>
      <c r="K346" s="23">
        <f>'Leave Record'!F348</f>
        <v>0</v>
      </c>
    </row>
    <row r="347" spans="1:11" x14ac:dyDescent="0.25">
      <c r="A347" s="38">
        <f t="shared" si="44"/>
        <v>1</v>
      </c>
      <c r="B347" s="38">
        <f>IF(K347=$P$15,$M$4,IF(K347=$P$13,'Leave Entry'!$B$4,F347-1))</f>
        <v>-1</v>
      </c>
      <c r="C347" s="23">
        <f t="shared" si="41"/>
        <v>-1</v>
      </c>
      <c r="D347" s="43">
        <f t="shared" si="42"/>
        <v>-9.0909090909090912E-2</v>
      </c>
      <c r="E347" s="43" t="e">
        <f t="shared" si="45"/>
        <v>#N/A</v>
      </c>
      <c r="F347" s="38">
        <f>'Leave Record'!D349</f>
        <v>0</v>
      </c>
      <c r="G347" s="38">
        <f>'Leave Record'!E349</f>
        <v>0</v>
      </c>
      <c r="H347" s="23">
        <f t="shared" si="43"/>
        <v>1</v>
      </c>
      <c r="I347" s="23">
        <f t="shared" si="46"/>
        <v>0</v>
      </c>
      <c r="J347" s="43" t="e">
        <f t="shared" si="47"/>
        <v>#N/A</v>
      </c>
      <c r="K347" s="23">
        <f>'Leave Record'!F349</f>
        <v>0</v>
      </c>
    </row>
    <row r="348" spans="1:11" x14ac:dyDescent="0.25">
      <c r="A348" s="38">
        <f t="shared" si="44"/>
        <v>1</v>
      </c>
      <c r="B348" s="38">
        <f>IF(K348=$P$15,$M$4,IF(K348=$P$13,'Leave Entry'!$B$4,F348-1))</f>
        <v>-1</v>
      </c>
      <c r="C348" s="23">
        <f t="shared" si="41"/>
        <v>-1</v>
      </c>
      <c r="D348" s="43">
        <f t="shared" si="42"/>
        <v>-9.0909090909090912E-2</v>
      </c>
      <c r="E348" s="43" t="e">
        <f t="shared" si="45"/>
        <v>#N/A</v>
      </c>
      <c r="F348" s="38">
        <f>'Leave Record'!D350</f>
        <v>0</v>
      </c>
      <c r="G348" s="38">
        <f>'Leave Record'!E350</f>
        <v>0</v>
      </c>
      <c r="H348" s="23">
        <f t="shared" si="43"/>
        <v>1</v>
      </c>
      <c r="I348" s="23">
        <f t="shared" si="46"/>
        <v>0</v>
      </c>
      <c r="J348" s="43" t="e">
        <f t="shared" si="47"/>
        <v>#N/A</v>
      </c>
      <c r="K348" s="23">
        <f>'Leave Record'!F350</f>
        <v>0</v>
      </c>
    </row>
    <row r="349" spans="1:11" x14ac:dyDescent="0.25">
      <c r="A349" s="38">
        <f t="shared" si="44"/>
        <v>1</v>
      </c>
      <c r="B349" s="38">
        <f>IF(K349=$P$15,$M$4,IF(K349=$P$13,'Leave Entry'!$B$4,F349-1))</f>
        <v>-1</v>
      </c>
      <c r="C349" s="23">
        <f t="shared" si="41"/>
        <v>-1</v>
      </c>
      <c r="D349" s="43">
        <f t="shared" si="42"/>
        <v>-9.0909090909090912E-2</v>
      </c>
      <c r="E349" s="43" t="e">
        <f t="shared" si="45"/>
        <v>#N/A</v>
      </c>
      <c r="F349" s="38">
        <f>'Leave Record'!D351</f>
        <v>0</v>
      </c>
      <c r="G349" s="38">
        <f>'Leave Record'!E351</f>
        <v>0</v>
      </c>
      <c r="H349" s="23">
        <f t="shared" si="43"/>
        <v>1</v>
      </c>
      <c r="I349" s="23">
        <f t="shared" si="46"/>
        <v>0</v>
      </c>
      <c r="J349" s="43" t="e">
        <f t="shared" si="47"/>
        <v>#N/A</v>
      </c>
      <c r="K349" s="23">
        <f>'Leave Record'!F351</f>
        <v>0</v>
      </c>
    </row>
    <row r="350" spans="1:11" x14ac:dyDescent="0.25">
      <c r="A350" s="38">
        <f t="shared" si="44"/>
        <v>1</v>
      </c>
      <c r="B350" s="38">
        <f>IF(K350=$P$15,$M$4,IF(K350=$P$13,'Leave Entry'!$B$4,F350-1))</f>
        <v>-1</v>
      </c>
      <c r="C350" s="23">
        <f t="shared" si="41"/>
        <v>-1</v>
      </c>
      <c r="D350" s="43">
        <f t="shared" si="42"/>
        <v>-9.0909090909090912E-2</v>
      </c>
      <c r="E350" s="43" t="e">
        <f t="shared" si="45"/>
        <v>#N/A</v>
      </c>
      <c r="F350" s="38">
        <f>'Leave Record'!D352</f>
        <v>0</v>
      </c>
      <c r="G350" s="38">
        <f>'Leave Record'!E352</f>
        <v>0</v>
      </c>
      <c r="H350" s="23">
        <f t="shared" si="43"/>
        <v>1</v>
      </c>
      <c r="I350" s="23">
        <f t="shared" si="46"/>
        <v>0</v>
      </c>
      <c r="J350" s="43" t="e">
        <f t="shared" si="47"/>
        <v>#N/A</v>
      </c>
      <c r="K350" s="23">
        <f>'Leave Record'!F352</f>
        <v>0</v>
      </c>
    </row>
    <row r="351" spans="1:11" x14ac:dyDescent="0.25">
      <c r="A351" s="38">
        <f t="shared" si="44"/>
        <v>1</v>
      </c>
      <c r="B351" s="38">
        <f>IF(K351=$P$15,$M$4,IF(K351=$P$13,'Leave Entry'!$B$4,F351-1))</f>
        <v>-1</v>
      </c>
      <c r="C351" s="23">
        <f t="shared" si="41"/>
        <v>-1</v>
      </c>
      <c r="D351" s="43">
        <f t="shared" si="42"/>
        <v>-9.0909090909090912E-2</v>
      </c>
      <c r="E351" s="43" t="e">
        <f t="shared" si="45"/>
        <v>#N/A</v>
      </c>
      <c r="F351" s="38">
        <f>'Leave Record'!D353</f>
        <v>0</v>
      </c>
      <c r="G351" s="38">
        <f>'Leave Record'!E353</f>
        <v>0</v>
      </c>
      <c r="H351" s="23">
        <f t="shared" si="43"/>
        <v>1</v>
      </c>
      <c r="I351" s="23">
        <f t="shared" si="46"/>
        <v>0</v>
      </c>
      <c r="J351" s="43" t="e">
        <f t="shared" si="47"/>
        <v>#N/A</v>
      </c>
      <c r="K351" s="23">
        <f>'Leave Record'!F353</f>
        <v>0</v>
      </c>
    </row>
    <row r="352" spans="1:11" x14ac:dyDescent="0.25">
      <c r="A352" s="38">
        <f t="shared" si="44"/>
        <v>1</v>
      </c>
      <c r="B352" s="38">
        <f>IF(K352=$P$15,$M$4,IF(K352=$P$13,'Leave Entry'!$B$4,F352-1))</f>
        <v>-1</v>
      </c>
      <c r="C352" s="23">
        <f t="shared" si="41"/>
        <v>-1</v>
      </c>
      <c r="D352" s="43">
        <f t="shared" si="42"/>
        <v>-9.0909090909090912E-2</v>
      </c>
      <c r="E352" s="43" t="e">
        <f t="shared" si="45"/>
        <v>#N/A</v>
      </c>
      <c r="F352" s="38">
        <f>'Leave Record'!D354</f>
        <v>0</v>
      </c>
      <c r="G352" s="38">
        <f>'Leave Record'!E354</f>
        <v>0</v>
      </c>
      <c r="H352" s="23">
        <f t="shared" si="43"/>
        <v>1</v>
      </c>
      <c r="I352" s="23">
        <f t="shared" si="46"/>
        <v>0</v>
      </c>
      <c r="J352" s="43" t="e">
        <f t="shared" si="47"/>
        <v>#N/A</v>
      </c>
      <c r="K352" s="23">
        <f>'Leave Record'!F354</f>
        <v>0</v>
      </c>
    </row>
    <row r="353" spans="1:11" x14ac:dyDescent="0.25">
      <c r="A353" s="38">
        <f t="shared" si="44"/>
        <v>1</v>
      </c>
      <c r="B353" s="38">
        <f>IF(K353=$P$15,$M$4,IF(K353=$P$13,'Leave Entry'!$B$4,F353-1))</f>
        <v>-1</v>
      </c>
      <c r="C353" s="23">
        <f t="shared" si="41"/>
        <v>-1</v>
      </c>
      <c r="D353" s="43">
        <f t="shared" si="42"/>
        <v>-9.0909090909090912E-2</v>
      </c>
      <c r="E353" s="43" t="e">
        <f t="shared" si="45"/>
        <v>#N/A</v>
      </c>
      <c r="F353" s="38">
        <f>'Leave Record'!D355</f>
        <v>0</v>
      </c>
      <c r="G353" s="38">
        <f>'Leave Record'!E355</f>
        <v>0</v>
      </c>
      <c r="H353" s="23">
        <f t="shared" si="43"/>
        <v>1</v>
      </c>
      <c r="I353" s="23">
        <f t="shared" si="46"/>
        <v>0</v>
      </c>
      <c r="J353" s="43" t="e">
        <f t="shared" si="47"/>
        <v>#N/A</v>
      </c>
      <c r="K353" s="23">
        <f>'Leave Record'!F355</f>
        <v>0</v>
      </c>
    </row>
    <row r="354" spans="1:11" x14ac:dyDescent="0.25">
      <c r="A354" s="38">
        <f t="shared" si="44"/>
        <v>1</v>
      </c>
      <c r="B354" s="38">
        <f>IF(K354=$P$15,$M$4,IF(K354=$P$13,'Leave Entry'!$B$4,F354-1))</f>
        <v>-1</v>
      </c>
      <c r="C354" s="23">
        <f t="shared" si="41"/>
        <v>-1</v>
      </c>
      <c r="D354" s="43">
        <f t="shared" si="42"/>
        <v>-9.0909090909090912E-2</v>
      </c>
      <c r="E354" s="43" t="e">
        <f t="shared" si="45"/>
        <v>#N/A</v>
      </c>
      <c r="F354" s="38">
        <f>'Leave Record'!D356</f>
        <v>0</v>
      </c>
      <c r="G354" s="38">
        <f>'Leave Record'!E356</f>
        <v>0</v>
      </c>
      <c r="H354" s="23">
        <f t="shared" si="43"/>
        <v>1</v>
      </c>
      <c r="I354" s="23">
        <f t="shared" si="46"/>
        <v>0</v>
      </c>
      <c r="J354" s="43" t="e">
        <f t="shared" si="47"/>
        <v>#N/A</v>
      </c>
      <c r="K354" s="23">
        <f>'Leave Record'!F356</f>
        <v>0</v>
      </c>
    </row>
    <row r="355" spans="1:11" x14ac:dyDescent="0.25">
      <c r="A355" s="38">
        <f t="shared" si="44"/>
        <v>1</v>
      </c>
      <c r="B355" s="38">
        <f>IF(K355=$P$15,$M$4,IF(K355=$P$13,'Leave Entry'!$B$4,F355-1))</f>
        <v>-1</v>
      </c>
      <c r="C355" s="23">
        <f t="shared" si="41"/>
        <v>-1</v>
      </c>
      <c r="D355" s="43">
        <f t="shared" si="42"/>
        <v>-9.0909090909090912E-2</v>
      </c>
      <c r="E355" s="43" t="e">
        <f t="shared" si="45"/>
        <v>#N/A</v>
      </c>
      <c r="F355" s="38">
        <f>'Leave Record'!D357</f>
        <v>0</v>
      </c>
      <c r="G355" s="38">
        <f>'Leave Record'!E357</f>
        <v>0</v>
      </c>
      <c r="H355" s="23">
        <f t="shared" si="43"/>
        <v>1</v>
      </c>
      <c r="I355" s="23">
        <f t="shared" si="46"/>
        <v>0</v>
      </c>
      <c r="J355" s="43" t="e">
        <f t="shared" si="47"/>
        <v>#N/A</v>
      </c>
      <c r="K355" s="23">
        <f>'Leave Record'!F357</f>
        <v>0</v>
      </c>
    </row>
    <row r="356" spans="1:11" x14ac:dyDescent="0.25">
      <c r="A356" s="38">
        <f t="shared" si="44"/>
        <v>1</v>
      </c>
      <c r="B356" s="38">
        <f>IF(K356=$P$15,$M$4,IF(K356=$P$13,'Leave Entry'!$B$4,F356-1))</f>
        <v>-1</v>
      </c>
      <c r="C356" s="23">
        <f t="shared" si="41"/>
        <v>-1</v>
      </c>
      <c r="D356" s="43">
        <f t="shared" si="42"/>
        <v>-9.0909090909090912E-2</v>
      </c>
      <c r="E356" s="43" t="e">
        <f t="shared" si="45"/>
        <v>#N/A</v>
      </c>
      <c r="F356" s="38">
        <f>'Leave Record'!D358</f>
        <v>0</v>
      </c>
      <c r="G356" s="38">
        <f>'Leave Record'!E358</f>
        <v>0</v>
      </c>
      <c r="H356" s="23">
        <f t="shared" si="43"/>
        <v>1</v>
      </c>
      <c r="I356" s="23">
        <f t="shared" si="46"/>
        <v>0</v>
      </c>
      <c r="J356" s="43" t="e">
        <f t="shared" si="47"/>
        <v>#N/A</v>
      </c>
      <c r="K356" s="23">
        <f>'Leave Record'!F358</f>
        <v>0</v>
      </c>
    </row>
    <row r="357" spans="1:11" x14ac:dyDescent="0.25">
      <c r="A357" s="38">
        <f t="shared" si="44"/>
        <v>1</v>
      </c>
      <c r="B357" s="38">
        <f>IF(K357=$P$15,$M$4,IF(K357=$P$13,'Leave Entry'!$B$4,F357-1))</f>
        <v>-1</v>
      </c>
      <c r="C357" s="23">
        <f t="shared" si="41"/>
        <v>-1</v>
      </c>
      <c r="D357" s="43">
        <f t="shared" si="42"/>
        <v>-9.0909090909090912E-2</v>
      </c>
      <c r="E357" s="43" t="e">
        <f t="shared" si="45"/>
        <v>#N/A</v>
      </c>
      <c r="F357" s="38">
        <f>'Leave Record'!D359</f>
        <v>0</v>
      </c>
      <c r="G357" s="38">
        <f>'Leave Record'!E359</f>
        <v>0</v>
      </c>
      <c r="H357" s="23">
        <f t="shared" si="43"/>
        <v>1</v>
      </c>
      <c r="I357" s="23">
        <f t="shared" si="46"/>
        <v>0</v>
      </c>
      <c r="J357" s="43" t="e">
        <f t="shared" si="47"/>
        <v>#N/A</v>
      </c>
      <c r="K357" s="23">
        <f>'Leave Record'!F359</f>
        <v>0</v>
      </c>
    </row>
    <row r="358" spans="1:11" x14ac:dyDescent="0.25">
      <c r="A358" s="38">
        <f t="shared" si="44"/>
        <v>1</v>
      </c>
      <c r="B358" s="38">
        <f>IF(K358=$P$15,$M$4,IF(K358=$P$13,'Leave Entry'!$B$4,F358-1))</f>
        <v>-1</v>
      </c>
      <c r="C358" s="23">
        <f t="shared" si="41"/>
        <v>-1</v>
      </c>
      <c r="D358" s="43">
        <f t="shared" si="42"/>
        <v>-9.0909090909090912E-2</v>
      </c>
      <c r="E358" s="43" t="e">
        <f t="shared" si="45"/>
        <v>#N/A</v>
      </c>
      <c r="F358" s="38">
        <f>'Leave Record'!D360</f>
        <v>0</v>
      </c>
      <c r="G358" s="38">
        <f>'Leave Record'!E360</f>
        <v>0</v>
      </c>
      <c r="H358" s="23">
        <f t="shared" si="43"/>
        <v>1</v>
      </c>
      <c r="I358" s="23">
        <f t="shared" si="46"/>
        <v>0</v>
      </c>
      <c r="J358" s="43" t="e">
        <f t="shared" si="47"/>
        <v>#N/A</v>
      </c>
      <c r="K358" s="23">
        <f>'Leave Record'!F360</f>
        <v>0</v>
      </c>
    </row>
    <row r="359" spans="1:11" x14ac:dyDescent="0.25">
      <c r="A359" s="38">
        <f t="shared" si="44"/>
        <v>1</v>
      </c>
      <c r="B359" s="38">
        <f>IF(K359=$P$15,$M$4,IF(K359=$P$13,'Leave Entry'!$B$4,F359-1))</f>
        <v>-1</v>
      </c>
      <c r="C359" s="23">
        <f t="shared" si="41"/>
        <v>-1</v>
      </c>
      <c r="D359" s="43">
        <f t="shared" si="42"/>
        <v>-9.0909090909090912E-2</v>
      </c>
      <c r="E359" s="43" t="e">
        <f t="shared" si="45"/>
        <v>#N/A</v>
      </c>
      <c r="F359" s="38">
        <f>'Leave Record'!D361</f>
        <v>0</v>
      </c>
      <c r="G359" s="38">
        <f>'Leave Record'!E361</f>
        <v>0</v>
      </c>
      <c r="H359" s="23">
        <f t="shared" si="43"/>
        <v>1</v>
      </c>
      <c r="I359" s="23">
        <f t="shared" si="46"/>
        <v>0</v>
      </c>
      <c r="J359" s="43" t="e">
        <f t="shared" si="47"/>
        <v>#N/A</v>
      </c>
      <c r="K359" s="23">
        <f>'Leave Record'!F361</f>
        <v>0</v>
      </c>
    </row>
    <row r="360" spans="1:11" x14ac:dyDescent="0.25">
      <c r="A360" s="38">
        <f t="shared" si="44"/>
        <v>1</v>
      </c>
      <c r="B360" s="38">
        <f>IF(K360=$P$15,$M$4,IF(K360=$P$13,'Leave Entry'!$B$4,F360-1))</f>
        <v>-1</v>
      </c>
      <c r="C360" s="23">
        <f t="shared" si="41"/>
        <v>-1</v>
      </c>
      <c r="D360" s="43">
        <f t="shared" si="42"/>
        <v>-9.0909090909090912E-2</v>
      </c>
      <c r="E360" s="43" t="e">
        <f t="shared" si="45"/>
        <v>#N/A</v>
      </c>
      <c r="F360" s="38">
        <f>'Leave Record'!D362</f>
        <v>0</v>
      </c>
      <c r="G360" s="38">
        <f>'Leave Record'!E362</f>
        <v>0</v>
      </c>
      <c r="H360" s="23">
        <f t="shared" si="43"/>
        <v>1</v>
      </c>
      <c r="I360" s="23">
        <f t="shared" si="46"/>
        <v>0</v>
      </c>
      <c r="J360" s="43" t="e">
        <f t="shared" si="47"/>
        <v>#N/A</v>
      </c>
      <c r="K360" s="23">
        <f>'Leave Record'!F362</f>
        <v>0</v>
      </c>
    </row>
    <row r="361" spans="1:11" x14ac:dyDescent="0.25">
      <c r="A361" s="38">
        <f t="shared" si="44"/>
        <v>1</v>
      </c>
      <c r="B361" s="38">
        <f>IF(K361=$P$15,$M$4,IF(K361=$P$13,'Leave Entry'!$B$4,F361-1))</f>
        <v>-1</v>
      </c>
      <c r="C361" s="23">
        <f t="shared" si="41"/>
        <v>-1</v>
      </c>
      <c r="D361" s="43">
        <f t="shared" si="42"/>
        <v>-9.0909090909090912E-2</v>
      </c>
      <c r="E361" s="43" t="e">
        <f t="shared" si="45"/>
        <v>#N/A</v>
      </c>
      <c r="F361" s="38">
        <f>'Leave Record'!D363</f>
        <v>0</v>
      </c>
      <c r="G361" s="38">
        <f>'Leave Record'!E363</f>
        <v>0</v>
      </c>
      <c r="H361" s="23">
        <f t="shared" si="43"/>
        <v>1</v>
      </c>
      <c r="I361" s="23">
        <f t="shared" si="46"/>
        <v>0</v>
      </c>
      <c r="J361" s="43" t="e">
        <f t="shared" si="47"/>
        <v>#N/A</v>
      </c>
      <c r="K361" s="23">
        <f>'Leave Record'!F363</f>
        <v>0</v>
      </c>
    </row>
    <row r="362" spans="1:11" x14ac:dyDescent="0.25">
      <c r="A362" s="38">
        <f t="shared" si="44"/>
        <v>1</v>
      </c>
      <c r="B362" s="38">
        <f>IF(K362=$P$15,$M$4,IF(K362=$P$13,'Leave Entry'!$B$4,F362-1))</f>
        <v>-1</v>
      </c>
      <c r="C362" s="23">
        <f t="shared" si="41"/>
        <v>-1</v>
      </c>
      <c r="D362" s="43">
        <f t="shared" si="42"/>
        <v>-9.0909090909090912E-2</v>
      </c>
      <c r="E362" s="43" t="e">
        <f t="shared" si="45"/>
        <v>#N/A</v>
      </c>
      <c r="F362" s="38">
        <f>'Leave Record'!D364</f>
        <v>0</v>
      </c>
      <c r="G362" s="38">
        <f>'Leave Record'!E364</f>
        <v>0</v>
      </c>
      <c r="H362" s="23">
        <f t="shared" si="43"/>
        <v>1</v>
      </c>
      <c r="I362" s="23">
        <f t="shared" si="46"/>
        <v>0</v>
      </c>
      <c r="J362" s="43" t="e">
        <f t="shared" si="47"/>
        <v>#N/A</v>
      </c>
      <c r="K362" s="23">
        <f>'Leave Record'!F364</f>
        <v>0</v>
      </c>
    </row>
    <row r="363" spans="1:11" x14ac:dyDescent="0.25">
      <c r="A363" s="38">
        <f t="shared" si="44"/>
        <v>1</v>
      </c>
      <c r="B363" s="38">
        <f>IF(K363=$P$15,$M$4,IF(K363=$P$13,'Leave Entry'!$B$4,F363-1))</f>
        <v>-1</v>
      </c>
      <c r="C363" s="23">
        <f t="shared" si="41"/>
        <v>-1</v>
      </c>
      <c r="D363" s="43">
        <f t="shared" si="42"/>
        <v>-9.0909090909090912E-2</v>
      </c>
      <c r="E363" s="43" t="e">
        <f t="shared" si="45"/>
        <v>#N/A</v>
      </c>
      <c r="F363" s="38">
        <f>'Leave Record'!D365</f>
        <v>0</v>
      </c>
      <c r="G363" s="38">
        <f>'Leave Record'!E365</f>
        <v>0</v>
      </c>
      <c r="H363" s="23">
        <f t="shared" si="43"/>
        <v>1</v>
      </c>
      <c r="I363" s="23">
        <f t="shared" si="46"/>
        <v>0</v>
      </c>
      <c r="J363" s="43" t="e">
        <f t="shared" si="47"/>
        <v>#N/A</v>
      </c>
      <c r="K363" s="23">
        <f>'Leave Record'!F365</f>
        <v>0</v>
      </c>
    </row>
    <row r="364" spans="1:11" x14ac:dyDescent="0.25">
      <c r="A364" s="38">
        <f t="shared" si="44"/>
        <v>1</v>
      </c>
      <c r="B364" s="38">
        <f>IF(K364=$P$15,$M$4,IF(K364=$P$13,'Leave Entry'!$B$4,F364-1))</f>
        <v>-1</v>
      </c>
      <c r="C364" s="23">
        <f t="shared" si="41"/>
        <v>-1</v>
      </c>
      <c r="D364" s="43">
        <f t="shared" si="42"/>
        <v>-9.0909090909090912E-2</v>
      </c>
      <c r="E364" s="43" t="e">
        <f t="shared" si="45"/>
        <v>#N/A</v>
      </c>
      <c r="F364" s="38">
        <f>'Leave Record'!D366</f>
        <v>0</v>
      </c>
      <c r="G364" s="38">
        <f>'Leave Record'!E366</f>
        <v>0</v>
      </c>
      <c r="H364" s="23">
        <f t="shared" si="43"/>
        <v>1</v>
      </c>
      <c r="I364" s="23">
        <f t="shared" si="46"/>
        <v>0</v>
      </c>
      <c r="J364" s="43" t="e">
        <f t="shared" si="47"/>
        <v>#N/A</v>
      </c>
      <c r="K364" s="23">
        <f>'Leave Record'!F366</f>
        <v>0</v>
      </c>
    </row>
    <row r="365" spans="1:11" x14ac:dyDescent="0.25">
      <c r="A365" s="38">
        <f t="shared" si="44"/>
        <v>1</v>
      </c>
      <c r="B365" s="38">
        <f>IF(K365=$P$15,$M$4,IF(K365=$P$13,'Leave Entry'!$B$4,F365-1))</f>
        <v>-1</v>
      </c>
      <c r="C365" s="23">
        <f t="shared" si="41"/>
        <v>-1</v>
      </c>
      <c r="D365" s="43">
        <f t="shared" si="42"/>
        <v>-9.0909090909090912E-2</v>
      </c>
      <c r="E365" s="43" t="e">
        <f t="shared" si="45"/>
        <v>#N/A</v>
      </c>
      <c r="F365" s="38">
        <f>'Leave Record'!D367</f>
        <v>0</v>
      </c>
      <c r="G365" s="38">
        <f>'Leave Record'!E367</f>
        <v>0</v>
      </c>
      <c r="H365" s="23">
        <f t="shared" si="43"/>
        <v>1</v>
      </c>
      <c r="I365" s="23">
        <f t="shared" si="46"/>
        <v>0</v>
      </c>
      <c r="J365" s="43" t="e">
        <f t="shared" si="47"/>
        <v>#N/A</v>
      </c>
      <c r="K365" s="23">
        <f>'Leave Record'!F367</f>
        <v>0</v>
      </c>
    </row>
    <row r="366" spans="1:11" x14ac:dyDescent="0.25">
      <c r="A366" s="38">
        <f t="shared" si="44"/>
        <v>1</v>
      </c>
      <c r="B366" s="38">
        <f>IF(K366=$P$15,$M$4,IF(K366=$P$13,'Leave Entry'!$B$4,F366-1))</f>
        <v>-1</v>
      </c>
      <c r="C366" s="23">
        <f t="shared" si="41"/>
        <v>-1</v>
      </c>
      <c r="D366" s="43">
        <f t="shared" si="42"/>
        <v>-9.0909090909090912E-2</v>
      </c>
      <c r="E366" s="43" t="e">
        <f t="shared" si="45"/>
        <v>#N/A</v>
      </c>
      <c r="F366" s="38">
        <f>'Leave Record'!D368</f>
        <v>0</v>
      </c>
      <c r="G366" s="38">
        <f>'Leave Record'!E368</f>
        <v>0</v>
      </c>
      <c r="H366" s="23">
        <f t="shared" si="43"/>
        <v>1</v>
      </c>
      <c r="I366" s="23">
        <f t="shared" si="46"/>
        <v>0</v>
      </c>
      <c r="J366" s="43" t="e">
        <f t="shared" si="47"/>
        <v>#N/A</v>
      </c>
      <c r="K366" s="23">
        <f>'Leave Record'!F368</f>
        <v>0</v>
      </c>
    </row>
    <row r="367" spans="1:11" x14ac:dyDescent="0.25">
      <c r="A367" s="38">
        <f t="shared" si="44"/>
        <v>1</v>
      </c>
      <c r="B367" s="38">
        <f>IF(K367=$P$15,$M$4,IF(K367=$P$13,'Leave Entry'!$B$4,F367-1))</f>
        <v>-1</v>
      </c>
      <c r="C367" s="23">
        <f t="shared" si="41"/>
        <v>-1</v>
      </c>
      <c r="D367" s="43">
        <f t="shared" si="42"/>
        <v>-9.0909090909090912E-2</v>
      </c>
      <c r="E367" s="43" t="e">
        <f t="shared" si="45"/>
        <v>#N/A</v>
      </c>
      <c r="F367" s="38">
        <f>'Leave Record'!D369</f>
        <v>0</v>
      </c>
      <c r="G367" s="38">
        <f>'Leave Record'!E369</f>
        <v>0</v>
      </c>
      <c r="H367" s="23">
        <f t="shared" si="43"/>
        <v>1</v>
      </c>
      <c r="I367" s="23">
        <f t="shared" si="46"/>
        <v>0</v>
      </c>
      <c r="J367" s="43" t="e">
        <f t="shared" si="47"/>
        <v>#N/A</v>
      </c>
      <c r="K367" s="23">
        <f>'Leave Record'!F369</f>
        <v>0</v>
      </c>
    </row>
    <row r="368" spans="1:11" x14ac:dyDescent="0.25">
      <c r="A368" s="38">
        <f t="shared" si="44"/>
        <v>1</v>
      </c>
      <c r="B368" s="38">
        <f>IF(K368=$P$15,$M$4,IF(K368=$P$13,'Leave Entry'!$B$4,F368-1))</f>
        <v>-1</v>
      </c>
      <c r="C368" s="23">
        <f t="shared" si="41"/>
        <v>-1</v>
      </c>
      <c r="D368" s="43">
        <f t="shared" si="42"/>
        <v>-9.0909090909090912E-2</v>
      </c>
      <c r="E368" s="43" t="e">
        <f t="shared" si="45"/>
        <v>#N/A</v>
      </c>
      <c r="F368" s="38">
        <f>'Leave Record'!D370</f>
        <v>0</v>
      </c>
      <c r="G368" s="38">
        <f>'Leave Record'!E370</f>
        <v>0</v>
      </c>
      <c r="H368" s="23">
        <f t="shared" si="43"/>
        <v>1</v>
      </c>
      <c r="I368" s="23">
        <f t="shared" si="46"/>
        <v>0</v>
      </c>
      <c r="J368" s="43" t="e">
        <f t="shared" si="47"/>
        <v>#N/A</v>
      </c>
      <c r="K368" s="23">
        <f>'Leave Record'!F370</f>
        <v>0</v>
      </c>
    </row>
    <row r="369" spans="1:11" x14ac:dyDescent="0.25">
      <c r="A369" s="38">
        <f t="shared" si="44"/>
        <v>1</v>
      </c>
      <c r="B369" s="38">
        <f>IF(K369=$P$15,$M$4,IF(K369=$P$13,'Leave Entry'!$B$4,F369-1))</f>
        <v>-1</v>
      </c>
      <c r="C369" s="23">
        <f t="shared" si="41"/>
        <v>-1</v>
      </c>
      <c r="D369" s="43">
        <f t="shared" si="42"/>
        <v>-9.0909090909090912E-2</v>
      </c>
      <c r="E369" s="43" t="e">
        <f t="shared" si="45"/>
        <v>#N/A</v>
      </c>
      <c r="F369" s="38">
        <f>'Leave Record'!D371</f>
        <v>0</v>
      </c>
      <c r="G369" s="38">
        <f>'Leave Record'!E371</f>
        <v>0</v>
      </c>
      <c r="H369" s="23">
        <f t="shared" si="43"/>
        <v>1</v>
      </c>
      <c r="I369" s="23">
        <f t="shared" si="46"/>
        <v>0</v>
      </c>
      <c r="J369" s="43" t="e">
        <f t="shared" si="47"/>
        <v>#N/A</v>
      </c>
      <c r="K369" s="23">
        <f>'Leave Record'!F371</f>
        <v>0</v>
      </c>
    </row>
    <row r="370" spans="1:11" x14ac:dyDescent="0.25">
      <c r="A370" s="38">
        <f t="shared" si="44"/>
        <v>1</v>
      </c>
      <c r="B370" s="38">
        <f>IF(K370=$P$15,$M$4,IF(K370=$P$13,'Leave Entry'!$B$4,F370-1))</f>
        <v>-1</v>
      </c>
      <c r="C370" s="23">
        <f t="shared" si="41"/>
        <v>-1</v>
      </c>
      <c r="D370" s="43">
        <f t="shared" si="42"/>
        <v>-9.0909090909090912E-2</v>
      </c>
      <c r="E370" s="43" t="e">
        <f t="shared" si="45"/>
        <v>#N/A</v>
      </c>
      <c r="F370" s="38">
        <f>'Leave Record'!D372</f>
        <v>0</v>
      </c>
      <c r="G370" s="38">
        <f>'Leave Record'!E372</f>
        <v>0</v>
      </c>
      <c r="H370" s="23">
        <f t="shared" si="43"/>
        <v>1</v>
      </c>
      <c r="I370" s="23">
        <f t="shared" si="46"/>
        <v>0</v>
      </c>
      <c r="J370" s="43" t="e">
        <f t="shared" si="47"/>
        <v>#N/A</v>
      </c>
      <c r="K370" s="23">
        <f>'Leave Record'!F372</f>
        <v>0</v>
      </c>
    </row>
    <row r="371" spans="1:11" x14ac:dyDescent="0.25">
      <c r="A371" s="38">
        <f t="shared" si="44"/>
        <v>1</v>
      </c>
      <c r="B371" s="38">
        <f>IF(K371=$P$15,$M$4,IF(K371=$P$13,'Leave Entry'!$B$4,F371-1))</f>
        <v>-1</v>
      </c>
      <c r="C371" s="23">
        <f t="shared" si="41"/>
        <v>-1</v>
      </c>
      <c r="D371" s="43">
        <f t="shared" si="42"/>
        <v>-9.0909090909090912E-2</v>
      </c>
      <c r="E371" s="43" t="e">
        <f t="shared" si="45"/>
        <v>#N/A</v>
      </c>
      <c r="F371" s="38">
        <f>'Leave Record'!D373</f>
        <v>0</v>
      </c>
      <c r="G371" s="38">
        <f>'Leave Record'!E373</f>
        <v>0</v>
      </c>
      <c r="H371" s="23">
        <f t="shared" si="43"/>
        <v>1</v>
      </c>
      <c r="I371" s="23">
        <f t="shared" si="46"/>
        <v>0</v>
      </c>
      <c r="J371" s="43" t="e">
        <f t="shared" si="47"/>
        <v>#N/A</v>
      </c>
      <c r="K371" s="23">
        <f>'Leave Record'!F373</f>
        <v>0</v>
      </c>
    </row>
    <row r="372" spans="1:11" x14ac:dyDescent="0.25">
      <c r="A372" s="38">
        <f t="shared" si="44"/>
        <v>1</v>
      </c>
      <c r="B372" s="38">
        <f>IF(K372=$P$15,$M$4,IF(K372=$P$13,'Leave Entry'!$B$4,F372-1))</f>
        <v>-1</v>
      </c>
      <c r="C372" s="23">
        <f t="shared" si="41"/>
        <v>-1</v>
      </c>
      <c r="D372" s="43">
        <f t="shared" si="42"/>
        <v>-9.0909090909090912E-2</v>
      </c>
      <c r="E372" s="43" t="e">
        <f t="shared" si="45"/>
        <v>#N/A</v>
      </c>
      <c r="F372" s="38">
        <f>'Leave Record'!D374</f>
        <v>0</v>
      </c>
      <c r="G372" s="38">
        <f>'Leave Record'!E374</f>
        <v>0</v>
      </c>
      <c r="H372" s="23">
        <f t="shared" si="43"/>
        <v>1</v>
      </c>
      <c r="I372" s="23">
        <f t="shared" si="46"/>
        <v>0</v>
      </c>
      <c r="J372" s="43" t="e">
        <f t="shared" si="47"/>
        <v>#N/A</v>
      </c>
      <c r="K372" s="23">
        <f>'Leave Record'!F374</f>
        <v>0</v>
      </c>
    </row>
    <row r="373" spans="1:11" x14ac:dyDescent="0.25">
      <c r="A373" s="38">
        <f t="shared" si="44"/>
        <v>1</v>
      </c>
      <c r="B373" s="38">
        <f>IF(K373=$P$15,$M$4,IF(K373=$P$13,'Leave Entry'!$B$4,F373-1))</f>
        <v>-1</v>
      </c>
      <c r="C373" s="23">
        <f t="shared" si="41"/>
        <v>-1</v>
      </c>
      <c r="D373" s="43">
        <f t="shared" si="42"/>
        <v>-9.0909090909090912E-2</v>
      </c>
      <c r="E373" s="43" t="e">
        <f t="shared" si="45"/>
        <v>#N/A</v>
      </c>
      <c r="F373" s="38">
        <f>'Leave Record'!D375</f>
        <v>0</v>
      </c>
      <c r="G373" s="38">
        <f>'Leave Record'!E375</f>
        <v>0</v>
      </c>
      <c r="H373" s="23">
        <f t="shared" si="43"/>
        <v>1</v>
      </c>
      <c r="I373" s="23">
        <f t="shared" si="46"/>
        <v>0</v>
      </c>
      <c r="J373" s="43" t="e">
        <f t="shared" si="47"/>
        <v>#N/A</v>
      </c>
      <c r="K373" s="23">
        <f>'Leave Record'!F375</f>
        <v>0</v>
      </c>
    </row>
    <row r="374" spans="1:11" x14ac:dyDescent="0.25">
      <c r="A374" s="38">
        <f t="shared" si="44"/>
        <v>1</v>
      </c>
      <c r="B374" s="38">
        <f>IF(K374=$P$15,$M$4,IF(K374=$P$13,'Leave Entry'!$B$4,F374-1))</f>
        <v>-1</v>
      </c>
      <c r="C374" s="23">
        <f t="shared" si="41"/>
        <v>-1</v>
      </c>
      <c r="D374" s="43">
        <f t="shared" si="42"/>
        <v>-9.0909090909090912E-2</v>
      </c>
      <c r="E374" s="43" t="e">
        <f t="shared" si="45"/>
        <v>#N/A</v>
      </c>
      <c r="F374" s="38">
        <f>'Leave Record'!D376</f>
        <v>0</v>
      </c>
      <c r="G374" s="38">
        <f>'Leave Record'!E376</f>
        <v>0</v>
      </c>
      <c r="H374" s="23">
        <f t="shared" si="43"/>
        <v>1</v>
      </c>
      <c r="I374" s="23">
        <f t="shared" si="46"/>
        <v>0</v>
      </c>
      <c r="J374" s="43" t="e">
        <f t="shared" si="47"/>
        <v>#N/A</v>
      </c>
      <c r="K374" s="23">
        <f>'Leave Record'!F376</f>
        <v>0</v>
      </c>
    </row>
    <row r="375" spans="1:11" x14ac:dyDescent="0.25">
      <c r="A375" s="38">
        <f t="shared" si="44"/>
        <v>1</v>
      </c>
      <c r="B375" s="38">
        <f>IF(K375=$P$15,$M$4,IF(K375=$P$13,'Leave Entry'!$B$4,F375-1))</f>
        <v>-1</v>
      </c>
      <c r="C375" s="23">
        <f t="shared" si="41"/>
        <v>-1</v>
      </c>
      <c r="D375" s="43">
        <f t="shared" si="42"/>
        <v>-9.0909090909090912E-2</v>
      </c>
      <c r="E375" s="43" t="e">
        <f t="shared" si="45"/>
        <v>#N/A</v>
      </c>
      <c r="F375" s="38">
        <f>'Leave Record'!D377</f>
        <v>0</v>
      </c>
      <c r="G375" s="38">
        <f>'Leave Record'!E377</f>
        <v>0</v>
      </c>
      <c r="H375" s="23">
        <f t="shared" si="43"/>
        <v>1</v>
      </c>
      <c r="I375" s="23">
        <f t="shared" si="46"/>
        <v>0</v>
      </c>
      <c r="J375" s="43" t="e">
        <f t="shared" si="47"/>
        <v>#N/A</v>
      </c>
      <c r="K375" s="23">
        <f>'Leave Record'!F377</f>
        <v>0</v>
      </c>
    </row>
    <row r="376" spans="1:11" x14ac:dyDescent="0.25">
      <c r="A376" s="38">
        <f t="shared" si="44"/>
        <v>1</v>
      </c>
      <c r="B376" s="38">
        <f>IF(K376=$P$15,$M$4,IF(K376=$P$13,'Leave Entry'!$B$4,F376-1))</f>
        <v>-1</v>
      </c>
      <c r="C376" s="23">
        <f t="shared" si="41"/>
        <v>-1</v>
      </c>
      <c r="D376" s="43">
        <f t="shared" si="42"/>
        <v>-9.0909090909090912E-2</v>
      </c>
      <c r="E376" s="43" t="e">
        <f t="shared" si="45"/>
        <v>#N/A</v>
      </c>
      <c r="F376" s="38">
        <f>'Leave Record'!D378</f>
        <v>0</v>
      </c>
      <c r="G376" s="38">
        <f>'Leave Record'!E378</f>
        <v>0</v>
      </c>
      <c r="H376" s="23">
        <f t="shared" si="43"/>
        <v>1</v>
      </c>
      <c r="I376" s="23">
        <f t="shared" si="46"/>
        <v>0</v>
      </c>
      <c r="J376" s="43" t="e">
        <f t="shared" si="47"/>
        <v>#N/A</v>
      </c>
      <c r="K376" s="23">
        <f>'Leave Record'!F378</f>
        <v>0</v>
      </c>
    </row>
    <row r="377" spans="1:11" x14ac:dyDescent="0.25">
      <c r="A377" s="38">
        <f t="shared" si="44"/>
        <v>1</v>
      </c>
      <c r="B377" s="38">
        <f>IF(K377=$P$15,$M$4,IF(K377=$P$13,'Leave Entry'!$B$4,F377-1))</f>
        <v>-1</v>
      </c>
      <c r="C377" s="23">
        <f t="shared" si="41"/>
        <v>-1</v>
      </c>
      <c r="D377" s="43">
        <f t="shared" si="42"/>
        <v>-9.0909090909090912E-2</v>
      </c>
      <c r="E377" s="43" t="e">
        <f t="shared" si="45"/>
        <v>#N/A</v>
      </c>
      <c r="F377" s="38">
        <f>'Leave Record'!D379</f>
        <v>0</v>
      </c>
      <c r="G377" s="38">
        <f>'Leave Record'!E379</f>
        <v>0</v>
      </c>
      <c r="H377" s="23">
        <f t="shared" si="43"/>
        <v>1</v>
      </c>
      <c r="I377" s="23">
        <f t="shared" si="46"/>
        <v>0</v>
      </c>
      <c r="J377" s="43" t="e">
        <f t="shared" si="47"/>
        <v>#N/A</v>
      </c>
      <c r="K377" s="23">
        <f>'Leave Record'!F379</f>
        <v>0</v>
      </c>
    </row>
    <row r="378" spans="1:11" x14ac:dyDescent="0.25">
      <c r="A378" s="38">
        <f t="shared" si="44"/>
        <v>1</v>
      </c>
      <c r="B378" s="38">
        <f>IF(K378=$P$15,$M$4,IF(K378=$P$13,'Leave Entry'!$B$4,F378-1))</f>
        <v>-1</v>
      </c>
      <c r="C378" s="23">
        <f t="shared" si="41"/>
        <v>-1</v>
      </c>
      <c r="D378" s="43">
        <f t="shared" si="42"/>
        <v>-9.0909090909090912E-2</v>
      </c>
      <c r="E378" s="43" t="e">
        <f t="shared" si="45"/>
        <v>#N/A</v>
      </c>
      <c r="F378" s="38">
        <f>'Leave Record'!D380</f>
        <v>0</v>
      </c>
      <c r="G378" s="38">
        <f>'Leave Record'!E380</f>
        <v>0</v>
      </c>
      <c r="H378" s="23">
        <f t="shared" si="43"/>
        <v>1</v>
      </c>
      <c r="I378" s="23">
        <f t="shared" si="46"/>
        <v>0</v>
      </c>
      <c r="J378" s="43" t="e">
        <f t="shared" si="47"/>
        <v>#N/A</v>
      </c>
      <c r="K378" s="23">
        <f>'Leave Record'!F380</f>
        <v>0</v>
      </c>
    </row>
    <row r="379" spans="1:11" x14ac:dyDescent="0.25">
      <c r="A379" s="38">
        <f t="shared" si="44"/>
        <v>1</v>
      </c>
      <c r="B379" s="38">
        <f>IF(K379=$P$15,$M$4,IF(K379=$P$13,'Leave Entry'!$B$4,F379-1))</f>
        <v>-1</v>
      </c>
      <c r="C379" s="23">
        <f t="shared" si="41"/>
        <v>-1</v>
      </c>
      <c r="D379" s="43">
        <f t="shared" si="42"/>
        <v>-9.0909090909090912E-2</v>
      </c>
      <c r="E379" s="43" t="e">
        <f t="shared" si="45"/>
        <v>#N/A</v>
      </c>
      <c r="F379" s="38">
        <f>'Leave Record'!D381</f>
        <v>0</v>
      </c>
      <c r="G379" s="38">
        <f>'Leave Record'!E381</f>
        <v>0</v>
      </c>
      <c r="H379" s="23">
        <f t="shared" si="43"/>
        <v>1</v>
      </c>
      <c r="I379" s="23">
        <f t="shared" si="46"/>
        <v>0</v>
      </c>
      <c r="J379" s="43" t="e">
        <f t="shared" si="47"/>
        <v>#N/A</v>
      </c>
      <c r="K379" s="23">
        <f>'Leave Record'!F381</f>
        <v>0</v>
      </c>
    </row>
    <row r="380" spans="1:11" x14ac:dyDescent="0.25">
      <c r="A380" s="38">
        <f t="shared" si="44"/>
        <v>1</v>
      </c>
      <c r="B380" s="38">
        <f>IF(K380=$P$15,$M$4,IF(K380=$P$13,'Leave Entry'!$B$4,F380-1))</f>
        <v>-1</v>
      </c>
      <c r="C380" s="23">
        <f t="shared" si="41"/>
        <v>-1</v>
      </c>
      <c r="D380" s="43">
        <f t="shared" si="42"/>
        <v>-9.0909090909090912E-2</v>
      </c>
      <c r="E380" s="43" t="e">
        <f t="shared" si="45"/>
        <v>#N/A</v>
      </c>
      <c r="F380" s="38">
        <f>'Leave Record'!D382</f>
        <v>0</v>
      </c>
      <c r="G380" s="38">
        <f>'Leave Record'!E382</f>
        <v>0</v>
      </c>
      <c r="H380" s="23">
        <f t="shared" si="43"/>
        <v>1</v>
      </c>
      <c r="I380" s="23">
        <f t="shared" si="46"/>
        <v>0</v>
      </c>
      <c r="J380" s="43" t="e">
        <f t="shared" si="47"/>
        <v>#N/A</v>
      </c>
      <c r="K380" s="23">
        <f>'Leave Record'!F382</f>
        <v>0</v>
      </c>
    </row>
    <row r="381" spans="1:11" x14ac:dyDescent="0.25">
      <c r="A381" s="38">
        <f t="shared" si="44"/>
        <v>1</v>
      </c>
      <c r="B381" s="38">
        <f>IF(K381=$P$15,$M$4,IF(K381=$P$13,'Leave Entry'!$B$4,F381-1))</f>
        <v>-1</v>
      </c>
      <c r="C381" s="23">
        <f t="shared" si="41"/>
        <v>-1</v>
      </c>
      <c r="D381" s="43">
        <f t="shared" si="42"/>
        <v>-9.0909090909090912E-2</v>
      </c>
      <c r="E381" s="43" t="e">
        <f t="shared" si="45"/>
        <v>#N/A</v>
      </c>
      <c r="F381" s="38">
        <f>'Leave Record'!D383</f>
        <v>0</v>
      </c>
      <c r="G381" s="38">
        <f>'Leave Record'!E383</f>
        <v>0</v>
      </c>
      <c r="H381" s="23">
        <f t="shared" si="43"/>
        <v>1</v>
      </c>
      <c r="I381" s="23">
        <f t="shared" si="46"/>
        <v>0</v>
      </c>
      <c r="J381" s="43" t="e">
        <f t="shared" si="47"/>
        <v>#N/A</v>
      </c>
      <c r="K381" s="23">
        <f>'Leave Record'!F383</f>
        <v>0</v>
      </c>
    </row>
    <row r="382" spans="1:11" x14ac:dyDescent="0.25">
      <c r="A382" s="38">
        <f t="shared" si="44"/>
        <v>1</v>
      </c>
      <c r="B382" s="38">
        <f>IF(K382=$P$15,$M$4,IF(K382=$P$13,'Leave Entry'!$B$4,F382-1))</f>
        <v>-1</v>
      </c>
      <c r="C382" s="23">
        <f t="shared" si="41"/>
        <v>-1</v>
      </c>
      <c r="D382" s="43">
        <f t="shared" si="42"/>
        <v>-9.0909090909090912E-2</v>
      </c>
      <c r="E382" s="43" t="e">
        <f t="shared" si="45"/>
        <v>#N/A</v>
      </c>
      <c r="F382" s="38">
        <f>'Leave Record'!D384</f>
        <v>0</v>
      </c>
      <c r="G382" s="38">
        <f>'Leave Record'!E384</f>
        <v>0</v>
      </c>
      <c r="H382" s="23">
        <f t="shared" si="43"/>
        <v>1</v>
      </c>
      <c r="I382" s="23">
        <f t="shared" si="46"/>
        <v>0</v>
      </c>
      <c r="J382" s="43" t="e">
        <f t="shared" si="47"/>
        <v>#N/A</v>
      </c>
      <c r="K382" s="23">
        <f>'Leave Record'!F384</f>
        <v>0</v>
      </c>
    </row>
    <row r="383" spans="1:11" x14ac:dyDescent="0.25">
      <c r="A383" s="38">
        <f t="shared" si="44"/>
        <v>1</v>
      </c>
      <c r="B383" s="38">
        <f>IF(K383=$P$15,$M$4,IF(K383=$P$13,'Leave Entry'!$B$4,F383-1))</f>
        <v>-1</v>
      </c>
      <c r="C383" s="23">
        <f t="shared" si="41"/>
        <v>-1</v>
      </c>
      <c r="D383" s="43">
        <f t="shared" si="42"/>
        <v>-9.0909090909090912E-2</v>
      </c>
      <c r="E383" s="43" t="e">
        <f t="shared" si="45"/>
        <v>#N/A</v>
      </c>
      <c r="F383" s="38">
        <f>'Leave Record'!D385</f>
        <v>0</v>
      </c>
      <c r="G383" s="38">
        <f>'Leave Record'!E385</f>
        <v>0</v>
      </c>
      <c r="H383" s="23">
        <f t="shared" si="43"/>
        <v>1</v>
      </c>
      <c r="I383" s="23">
        <f t="shared" si="46"/>
        <v>0</v>
      </c>
      <c r="J383" s="43" t="e">
        <f t="shared" si="47"/>
        <v>#N/A</v>
      </c>
      <c r="K383" s="23">
        <f>'Leave Record'!F385</f>
        <v>0</v>
      </c>
    </row>
    <row r="384" spans="1:11" x14ac:dyDescent="0.25">
      <c r="A384" s="38">
        <f t="shared" si="44"/>
        <v>1</v>
      </c>
      <c r="B384" s="38">
        <f>IF(K384=$P$15,$M$4,IF(K384=$P$13,'Leave Entry'!$B$4,F384-1))</f>
        <v>-1</v>
      </c>
      <c r="C384" s="23">
        <f t="shared" si="41"/>
        <v>-1</v>
      </c>
      <c r="D384" s="43">
        <f t="shared" si="42"/>
        <v>-9.0909090909090912E-2</v>
      </c>
      <c r="E384" s="43" t="e">
        <f t="shared" si="45"/>
        <v>#N/A</v>
      </c>
      <c r="F384" s="38">
        <f>'Leave Record'!D386</f>
        <v>0</v>
      </c>
      <c r="G384" s="38">
        <f>'Leave Record'!E386</f>
        <v>0</v>
      </c>
      <c r="H384" s="23">
        <f t="shared" si="43"/>
        <v>1</v>
      </c>
      <c r="I384" s="23">
        <f t="shared" si="46"/>
        <v>0</v>
      </c>
      <c r="J384" s="43" t="e">
        <f t="shared" si="47"/>
        <v>#N/A</v>
      </c>
      <c r="K384" s="23">
        <f>'Leave Record'!F386</f>
        <v>0</v>
      </c>
    </row>
    <row r="385" spans="1:11" x14ac:dyDescent="0.25">
      <c r="A385" s="38">
        <f t="shared" si="44"/>
        <v>1</v>
      </c>
      <c r="B385" s="38">
        <f>IF(K385=$P$15,$M$4,IF(K385=$P$13,'Leave Entry'!$B$4,F385-1))</f>
        <v>-1</v>
      </c>
      <c r="C385" s="23">
        <f t="shared" si="41"/>
        <v>-1</v>
      </c>
      <c r="D385" s="43">
        <f t="shared" si="42"/>
        <v>-9.0909090909090912E-2</v>
      </c>
      <c r="E385" s="43" t="e">
        <f t="shared" si="45"/>
        <v>#N/A</v>
      </c>
      <c r="F385" s="38">
        <f>'Leave Record'!D387</f>
        <v>0</v>
      </c>
      <c r="G385" s="38">
        <f>'Leave Record'!E387</f>
        <v>0</v>
      </c>
      <c r="H385" s="23">
        <f t="shared" si="43"/>
        <v>1</v>
      </c>
      <c r="I385" s="23">
        <f t="shared" si="46"/>
        <v>0</v>
      </c>
      <c r="J385" s="43" t="e">
        <f t="shared" si="47"/>
        <v>#N/A</v>
      </c>
      <c r="K385" s="23">
        <f>'Leave Record'!F387</f>
        <v>0</v>
      </c>
    </row>
    <row r="386" spans="1:11" x14ac:dyDescent="0.25">
      <c r="A386" s="38">
        <f t="shared" si="44"/>
        <v>1</v>
      </c>
      <c r="B386" s="38">
        <f>IF(K386=$P$15,$M$4,IF(K386=$P$13,'Leave Entry'!$B$4,F386-1))</f>
        <v>-1</v>
      </c>
      <c r="C386" s="23">
        <f t="shared" si="41"/>
        <v>-1</v>
      </c>
      <c r="D386" s="43">
        <f t="shared" si="42"/>
        <v>-9.0909090909090912E-2</v>
      </c>
      <c r="E386" s="43" t="e">
        <f t="shared" si="45"/>
        <v>#N/A</v>
      </c>
      <c r="F386" s="38">
        <f>'Leave Record'!D388</f>
        <v>0</v>
      </c>
      <c r="G386" s="38">
        <f>'Leave Record'!E388</f>
        <v>0</v>
      </c>
      <c r="H386" s="23">
        <f t="shared" si="43"/>
        <v>1</v>
      </c>
      <c r="I386" s="23">
        <f t="shared" si="46"/>
        <v>0</v>
      </c>
      <c r="J386" s="43" t="e">
        <f t="shared" si="47"/>
        <v>#N/A</v>
      </c>
      <c r="K386" s="23">
        <f>'Leave Record'!F388</f>
        <v>0</v>
      </c>
    </row>
    <row r="387" spans="1:11" x14ac:dyDescent="0.25">
      <c r="A387" s="38">
        <f t="shared" si="44"/>
        <v>1</v>
      </c>
      <c r="B387" s="38">
        <f>IF(K387=$P$15,$M$4,IF(K387=$P$13,'Leave Entry'!$B$4,F387-1))</f>
        <v>-1</v>
      </c>
      <c r="C387" s="23">
        <f t="shared" si="41"/>
        <v>-1</v>
      </c>
      <c r="D387" s="43">
        <f t="shared" si="42"/>
        <v>-9.0909090909090912E-2</v>
      </c>
      <c r="E387" s="43" t="e">
        <f t="shared" si="45"/>
        <v>#N/A</v>
      </c>
      <c r="F387" s="38">
        <f>'Leave Record'!D389</f>
        <v>0</v>
      </c>
      <c r="G387" s="38">
        <f>'Leave Record'!E389</f>
        <v>0</v>
      </c>
      <c r="H387" s="23">
        <f t="shared" si="43"/>
        <v>1</v>
      </c>
      <c r="I387" s="23">
        <f t="shared" si="46"/>
        <v>0</v>
      </c>
      <c r="J387" s="43" t="e">
        <f t="shared" si="47"/>
        <v>#N/A</v>
      </c>
      <c r="K387" s="23">
        <f>'Leave Record'!F389</f>
        <v>0</v>
      </c>
    </row>
    <row r="388" spans="1:11" x14ac:dyDescent="0.25">
      <c r="A388" s="38">
        <f t="shared" si="44"/>
        <v>1</v>
      </c>
      <c r="B388" s="38">
        <f>IF(K388=$P$15,$M$4,IF(K388=$P$13,'Leave Entry'!$B$4,F388-1))</f>
        <v>-1</v>
      </c>
      <c r="C388" s="23">
        <f t="shared" si="41"/>
        <v>-1</v>
      </c>
      <c r="D388" s="43">
        <f t="shared" si="42"/>
        <v>-9.0909090909090912E-2</v>
      </c>
      <c r="E388" s="43" t="e">
        <f t="shared" si="45"/>
        <v>#N/A</v>
      </c>
      <c r="F388" s="38">
        <f>'Leave Record'!D390</f>
        <v>0</v>
      </c>
      <c r="G388" s="38">
        <f>'Leave Record'!E390</f>
        <v>0</v>
      </c>
      <c r="H388" s="23">
        <f t="shared" si="43"/>
        <v>1</v>
      </c>
      <c r="I388" s="23">
        <f t="shared" si="46"/>
        <v>0</v>
      </c>
      <c r="J388" s="43" t="e">
        <f t="shared" si="47"/>
        <v>#N/A</v>
      </c>
      <c r="K388" s="23">
        <f>'Leave Record'!F390</f>
        <v>0</v>
      </c>
    </row>
    <row r="389" spans="1:11" x14ac:dyDescent="0.25">
      <c r="A389" s="38">
        <f t="shared" si="44"/>
        <v>1</v>
      </c>
      <c r="B389" s="38">
        <f>IF(K389=$P$15,$M$4,IF(K389=$P$13,'Leave Entry'!$B$4,F389-1))</f>
        <v>-1</v>
      </c>
      <c r="C389" s="23">
        <f t="shared" si="41"/>
        <v>-1</v>
      </c>
      <c r="D389" s="43">
        <f t="shared" si="42"/>
        <v>-9.0909090909090912E-2</v>
      </c>
      <c r="E389" s="43" t="e">
        <f t="shared" si="45"/>
        <v>#N/A</v>
      </c>
      <c r="F389" s="38">
        <f>'Leave Record'!D391</f>
        <v>0</v>
      </c>
      <c r="G389" s="38">
        <f>'Leave Record'!E391</f>
        <v>0</v>
      </c>
      <c r="H389" s="23">
        <f t="shared" si="43"/>
        <v>1</v>
      </c>
      <c r="I389" s="23">
        <f t="shared" si="46"/>
        <v>0</v>
      </c>
      <c r="J389" s="43" t="e">
        <f t="shared" si="47"/>
        <v>#N/A</v>
      </c>
      <c r="K389" s="23">
        <f>'Leave Record'!F391</f>
        <v>0</v>
      </c>
    </row>
    <row r="390" spans="1:11" x14ac:dyDescent="0.25">
      <c r="A390" s="38">
        <f t="shared" si="44"/>
        <v>1</v>
      </c>
      <c r="B390" s="38">
        <f>IF(K390=$P$15,$M$4,IF(K390=$P$13,'Leave Entry'!$B$4,F390-1))</f>
        <v>-1</v>
      </c>
      <c r="C390" s="23">
        <f t="shared" ref="C390:C453" si="48">B390-A390+1</f>
        <v>-1</v>
      </c>
      <c r="D390" s="43">
        <f t="shared" ref="D390:D453" si="49">C390/11</f>
        <v>-9.0909090909090912E-2</v>
      </c>
      <c r="E390" s="43" t="e">
        <f t="shared" si="45"/>
        <v>#N/A</v>
      </c>
      <c r="F390" s="38">
        <f>'Leave Record'!D392</f>
        <v>0</v>
      </c>
      <c r="G390" s="38">
        <f>'Leave Record'!E392</f>
        <v>0</v>
      </c>
      <c r="H390" s="23">
        <f t="shared" ref="H390:H453" si="50">G390-F390+1</f>
        <v>1</v>
      </c>
      <c r="I390" s="23">
        <f t="shared" si="46"/>
        <v>0</v>
      </c>
      <c r="J390" s="43" t="e">
        <f t="shared" si="47"/>
        <v>#N/A</v>
      </c>
      <c r="K390" s="23">
        <f>'Leave Record'!F392</f>
        <v>0</v>
      </c>
    </row>
    <row r="391" spans="1:11" x14ac:dyDescent="0.25">
      <c r="A391" s="38">
        <f t="shared" si="44"/>
        <v>1</v>
      </c>
      <c r="B391" s="38">
        <f>IF(K391=$P$15,$M$4,IF(K391=$P$13,'Leave Entry'!$B$4,F391-1))</f>
        <v>-1</v>
      </c>
      <c r="C391" s="23">
        <f t="shared" si="48"/>
        <v>-1</v>
      </c>
      <c r="D391" s="43">
        <f t="shared" si="49"/>
        <v>-9.0909090909090912E-2</v>
      </c>
      <c r="E391" s="43" t="e">
        <f t="shared" si="45"/>
        <v>#N/A</v>
      </c>
      <c r="F391" s="38">
        <f>'Leave Record'!D393</f>
        <v>0</v>
      </c>
      <c r="G391" s="38">
        <f>'Leave Record'!E393</f>
        <v>0</v>
      </c>
      <c r="H391" s="23">
        <f t="shared" si="50"/>
        <v>1</v>
      </c>
      <c r="I391" s="23">
        <f t="shared" si="46"/>
        <v>0</v>
      </c>
      <c r="J391" s="43" t="e">
        <f t="shared" si="47"/>
        <v>#N/A</v>
      </c>
      <c r="K391" s="23">
        <f>'Leave Record'!F393</f>
        <v>0</v>
      </c>
    </row>
    <row r="392" spans="1:11" x14ac:dyDescent="0.25">
      <c r="A392" s="38">
        <f t="shared" si="44"/>
        <v>1</v>
      </c>
      <c r="B392" s="38">
        <f>IF(K392=$P$15,$M$4,IF(K392=$P$13,'Leave Entry'!$B$4,F392-1))</f>
        <v>-1</v>
      </c>
      <c r="C392" s="23">
        <f t="shared" si="48"/>
        <v>-1</v>
      </c>
      <c r="D392" s="43">
        <f t="shared" si="49"/>
        <v>-9.0909090909090912E-2</v>
      </c>
      <c r="E392" s="43" t="e">
        <f t="shared" si="45"/>
        <v>#N/A</v>
      </c>
      <c r="F392" s="38">
        <f>'Leave Record'!D394</f>
        <v>0</v>
      </c>
      <c r="G392" s="38">
        <f>'Leave Record'!E394</f>
        <v>0</v>
      </c>
      <c r="H392" s="23">
        <f t="shared" si="50"/>
        <v>1</v>
      </c>
      <c r="I392" s="23">
        <f t="shared" si="46"/>
        <v>0</v>
      </c>
      <c r="J392" s="43" t="e">
        <f t="shared" si="47"/>
        <v>#N/A</v>
      </c>
      <c r="K392" s="23">
        <f>'Leave Record'!F394</f>
        <v>0</v>
      </c>
    </row>
    <row r="393" spans="1:11" x14ac:dyDescent="0.25">
      <c r="A393" s="38">
        <f t="shared" ref="A393:A456" si="51">G392+1</f>
        <v>1</v>
      </c>
      <c r="B393" s="38">
        <f>IF(K393=$P$15,$M$4,IF(K393=$P$13,'Leave Entry'!$B$4,F393-1))</f>
        <v>-1</v>
      </c>
      <c r="C393" s="23">
        <f t="shared" si="48"/>
        <v>-1</v>
      </c>
      <c r="D393" s="43">
        <f t="shared" si="49"/>
        <v>-9.0909090909090912E-2</v>
      </c>
      <c r="E393" s="43" t="e">
        <f t="shared" ref="E393:E456" si="52">J392+D393</f>
        <v>#N/A</v>
      </c>
      <c r="F393" s="38">
        <f>'Leave Record'!D395</f>
        <v>0</v>
      </c>
      <c r="G393" s="38">
        <f>'Leave Record'!E395</f>
        <v>0</v>
      </c>
      <c r="H393" s="23">
        <f t="shared" si="50"/>
        <v>1</v>
      </c>
      <c r="I393" s="23">
        <f t="shared" ref="I393:I456" si="53">IF(K393=$P$14,H393,0)</f>
        <v>0</v>
      </c>
      <c r="J393" s="43" t="e">
        <f t="shared" ref="J393:J456" si="54">E393-I393</f>
        <v>#N/A</v>
      </c>
      <c r="K393" s="23">
        <f>'Leave Record'!F395</f>
        <v>0</v>
      </c>
    </row>
    <row r="394" spans="1:11" x14ac:dyDescent="0.25">
      <c r="A394" s="38">
        <f t="shared" si="51"/>
        <v>1</v>
      </c>
      <c r="B394" s="38">
        <f>IF(K394=$P$15,$M$4,IF(K394=$P$13,'Leave Entry'!$B$4,F394-1))</f>
        <v>-1</v>
      </c>
      <c r="C394" s="23">
        <f t="shared" si="48"/>
        <v>-1</v>
      </c>
      <c r="D394" s="43">
        <f t="shared" si="49"/>
        <v>-9.0909090909090912E-2</v>
      </c>
      <c r="E394" s="43" t="e">
        <f t="shared" si="52"/>
        <v>#N/A</v>
      </c>
      <c r="F394" s="38">
        <f>'Leave Record'!D396</f>
        <v>0</v>
      </c>
      <c r="G394" s="38">
        <f>'Leave Record'!E396</f>
        <v>0</v>
      </c>
      <c r="H394" s="23">
        <f t="shared" si="50"/>
        <v>1</v>
      </c>
      <c r="I394" s="23">
        <f t="shared" si="53"/>
        <v>0</v>
      </c>
      <c r="J394" s="43" t="e">
        <f t="shared" si="54"/>
        <v>#N/A</v>
      </c>
      <c r="K394" s="23">
        <f>'Leave Record'!F396</f>
        <v>0</v>
      </c>
    </row>
    <row r="395" spans="1:11" x14ac:dyDescent="0.25">
      <c r="A395" s="38">
        <f t="shared" si="51"/>
        <v>1</v>
      </c>
      <c r="B395" s="38">
        <f>IF(K395=$P$15,$M$4,IF(K395=$P$13,'Leave Entry'!$B$4,F395-1))</f>
        <v>-1</v>
      </c>
      <c r="C395" s="23">
        <f t="shared" si="48"/>
        <v>-1</v>
      </c>
      <c r="D395" s="43">
        <f t="shared" si="49"/>
        <v>-9.0909090909090912E-2</v>
      </c>
      <c r="E395" s="43" t="e">
        <f t="shared" si="52"/>
        <v>#N/A</v>
      </c>
      <c r="F395" s="38">
        <f>'Leave Record'!D397</f>
        <v>0</v>
      </c>
      <c r="G395" s="38">
        <f>'Leave Record'!E397</f>
        <v>0</v>
      </c>
      <c r="H395" s="23">
        <f t="shared" si="50"/>
        <v>1</v>
      </c>
      <c r="I395" s="23">
        <f t="shared" si="53"/>
        <v>0</v>
      </c>
      <c r="J395" s="43" t="e">
        <f t="shared" si="54"/>
        <v>#N/A</v>
      </c>
      <c r="K395" s="23">
        <f>'Leave Record'!F397</f>
        <v>0</v>
      </c>
    </row>
    <row r="396" spans="1:11" x14ac:dyDescent="0.25">
      <c r="A396" s="38">
        <f t="shared" si="51"/>
        <v>1</v>
      </c>
      <c r="B396" s="38">
        <f>IF(K396=$P$15,$M$4,IF(K396=$P$13,'Leave Entry'!$B$4,F396-1))</f>
        <v>-1</v>
      </c>
      <c r="C396" s="23">
        <f t="shared" si="48"/>
        <v>-1</v>
      </c>
      <c r="D396" s="43">
        <f t="shared" si="49"/>
        <v>-9.0909090909090912E-2</v>
      </c>
      <c r="E396" s="43" t="e">
        <f t="shared" si="52"/>
        <v>#N/A</v>
      </c>
      <c r="F396" s="38">
        <f>'Leave Record'!D398</f>
        <v>0</v>
      </c>
      <c r="G396" s="38">
        <f>'Leave Record'!E398</f>
        <v>0</v>
      </c>
      <c r="H396" s="23">
        <f t="shared" si="50"/>
        <v>1</v>
      </c>
      <c r="I396" s="23">
        <f t="shared" si="53"/>
        <v>0</v>
      </c>
      <c r="J396" s="43" t="e">
        <f t="shared" si="54"/>
        <v>#N/A</v>
      </c>
      <c r="K396" s="23">
        <f>'Leave Record'!F398</f>
        <v>0</v>
      </c>
    </row>
    <row r="397" spans="1:11" x14ac:dyDescent="0.25">
      <c r="A397" s="38">
        <f t="shared" si="51"/>
        <v>1</v>
      </c>
      <c r="B397" s="38">
        <f>IF(K397=$P$15,$M$4,IF(K397=$P$13,'Leave Entry'!$B$4,F397-1))</f>
        <v>-1</v>
      </c>
      <c r="C397" s="23">
        <f t="shared" si="48"/>
        <v>-1</v>
      </c>
      <c r="D397" s="43">
        <f t="shared" si="49"/>
        <v>-9.0909090909090912E-2</v>
      </c>
      <c r="E397" s="43" t="e">
        <f t="shared" si="52"/>
        <v>#N/A</v>
      </c>
      <c r="F397" s="38">
        <f>'Leave Record'!D399</f>
        <v>0</v>
      </c>
      <c r="G397" s="38">
        <f>'Leave Record'!E399</f>
        <v>0</v>
      </c>
      <c r="H397" s="23">
        <f t="shared" si="50"/>
        <v>1</v>
      </c>
      <c r="I397" s="23">
        <f t="shared" si="53"/>
        <v>0</v>
      </c>
      <c r="J397" s="43" t="e">
        <f t="shared" si="54"/>
        <v>#N/A</v>
      </c>
      <c r="K397" s="23">
        <f>'Leave Record'!F399</f>
        <v>0</v>
      </c>
    </row>
    <row r="398" spans="1:11" x14ac:dyDescent="0.25">
      <c r="A398" s="38">
        <f t="shared" si="51"/>
        <v>1</v>
      </c>
      <c r="B398" s="38">
        <f>IF(K398=$P$15,$M$4,IF(K398=$P$13,'Leave Entry'!$B$4,F398-1))</f>
        <v>-1</v>
      </c>
      <c r="C398" s="23">
        <f t="shared" si="48"/>
        <v>-1</v>
      </c>
      <c r="D398" s="43">
        <f t="shared" si="49"/>
        <v>-9.0909090909090912E-2</v>
      </c>
      <c r="E398" s="43" t="e">
        <f t="shared" si="52"/>
        <v>#N/A</v>
      </c>
      <c r="F398" s="38">
        <f>'Leave Record'!D400</f>
        <v>0</v>
      </c>
      <c r="G398" s="38">
        <f>'Leave Record'!E400</f>
        <v>0</v>
      </c>
      <c r="H398" s="23">
        <f t="shared" si="50"/>
        <v>1</v>
      </c>
      <c r="I398" s="23">
        <f t="shared" si="53"/>
        <v>0</v>
      </c>
      <c r="J398" s="43" t="e">
        <f t="shared" si="54"/>
        <v>#N/A</v>
      </c>
      <c r="K398" s="23">
        <f>'Leave Record'!F400</f>
        <v>0</v>
      </c>
    </row>
    <row r="399" spans="1:11" x14ac:dyDescent="0.25">
      <c r="A399" s="38">
        <f t="shared" si="51"/>
        <v>1</v>
      </c>
      <c r="B399" s="38">
        <f>IF(K399=$P$15,$M$4,IF(K399=$P$13,'Leave Entry'!$B$4,F399-1))</f>
        <v>-1</v>
      </c>
      <c r="C399" s="23">
        <f t="shared" si="48"/>
        <v>-1</v>
      </c>
      <c r="D399" s="43">
        <f t="shared" si="49"/>
        <v>-9.0909090909090912E-2</v>
      </c>
      <c r="E399" s="43" t="e">
        <f t="shared" si="52"/>
        <v>#N/A</v>
      </c>
      <c r="F399" s="38">
        <f>'Leave Record'!D401</f>
        <v>0</v>
      </c>
      <c r="G399" s="38">
        <f>'Leave Record'!E401</f>
        <v>0</v>
      </c>
      <c r="H399" s="23">
        <f t="shared" si="50"/>
        <v>1</v>
      </c>
      <c r="I399" s="23">
        <f t="shared" si="53"/>
        <v>0</v>
      </c>
      <c r="J399" s="43" t="e">
        <f t="shared" si="54"/>
        <v>#N/A</v>
      </c>
      <c r="K399" s="23">
        <f>'Leave Record'!F401</f>
        <v>0</v>
      </c>
    </row>
    <row r="400" spans="1:11" x14ac:dyDescent="0.25">
      <c r="A400" s="38">
        <f t="shared" si="51"/>
        <v>1</v>
      </c>
      <c r="B400" s="38">
        <f>IF(K400=$P$15,$M$4,IF(K400=$P$13,'Leave Entry'!$B$4,F400-1))</f>
        <v>-1</v>
      </c>
      <c r="C400" s="23">
        <f t="shared" si="48"/>
        <v>-1</v>
      </c>
      <c r="D400" s="43">
        <f t="shared" si="49"/>
        <v>-9.0909090909090912E-2</v>
      </c>
      <c r="E400" s="43" t="e">
        <f t="shared" si="52"/>
        <v>#N/A</v>
      </c>
      <c r="F400" s="38">
        <f>'Leave Record'!D402</f>
        <v>0</v>
      </c>
      <c r="G400" s="38">
        <f>'Leave Record'!E402</f>
        <v>0</v>
      </c>
      <c r="H400" s="23">
        <f t="shared" si="50"/>
        <v>1</v>
      </c>
      <c r="I400" s="23">
        <f t="shared" si="53"/>
        <v>0</v>
      </c>
      <c r="J400" s="43" t="e">
        <f t="shared" si="54"/>
        <v>#N/A</v>
      </c>
      <c r="K400" s="23">
        <f>'Leave Record'!F402</f>
        <v>0</v>
      </c>
    </row>
    <row r="401" spans="1:11" x14ac:dyDescent="0.25">
      <c r="A401" s="38">
        <f t="shared" si="51"/>
        <v>1</v>
      </c>
      <c r="B401" s="38">
        <f>IF(K401=$P$15,$M$4,IF(K401=$P$13,'Leave Entry'!$B$4,F401-1))</f>
        <v>-1</v>
      </c>
      <c r="C401" s="23">
        <f t="shared" si="48"/>
        <v>-1</v>
      </c>
      <c r="D401" s="43">
        <f t="shared" si="49"/>
        <v>-9.0909090909090912E-2</v>
      </c>
      <c r="E401" s="43" t="e">
        <f t="shared" si="52"/>
        <v>#N/A</v>
      </c>
      <c r="F401" s="38">
        <f>'Leave Record'!D403</f>
        <v>0</v>
      </c>
      <c r="G401" s="38">
        <f>'Leave Record'!E403</f>
        <v>0</v>
      </c>
      <c r="H401" s="23">
        <f t="shared" si="50"/>
        <v>1</v>
      </c>
      <c r="I401" s="23">
        <f t="shared" si="53"/>
        <v>0</v>
      </c>
      <c r="J401" s="43" t="e">
        <f t="shared" si="54"/>
        <v>#N/A</v>
      </c>
      <c r="K401" s="23">
        <f>'Leave Record'!F403</f>
        <v>0</v>
      </c>
    </row>
    <row r="402" spans="1:11" x14ac:dyDescent="0.25">
      <c r="A402" s="38">
        <f t="shared" si="51"/>
        <v>1</v>
      </c>
      <c r="B402" s="38">
        <f>IF(K402=$P$15,$M$4,IF(K402=$P$13,'Leave Entry'!$B$4,F402-1))</f>
        <v>-1</v>
      </c>
      <c r="C402" s="23">
        <f t="shared" si="48"/>
        <v>-1</v>
      </c>
      <c r="D402" s="43">
        <f t="shared" si="49"/>
        <v>-9.0909090909090912E-2</v>
      </c>
      <c r="E402" s="43" t="e">
        <f t="shared" si="52"/>
        <v>#N/A</v>
      </c>
      <c r="F402" s="38">
        <f>'Leave Record'!D404</f>
        <v>0</v>
      </c>
      <c r="G402" s="38">
        <f>'Leave Record'!E404</f>
        <v>0</v>
      </c>
      <c r="H402" s="23">
        <f t="shared" si="50"/>
        <v>1</v>
      </c>
      <c r="I402" s="23">
        <f t="shared" si="53"/>
        <v>0</v>
      </c>
      <c r="J402" s="43" t="e">
        <f t="shared" si="54"/>
        <v>#N/A</v>
      </c>
      <c r="K402" s="23">
        <f>'Leave Record'!F404</f>
        <v>0</v>
      </c>
    </row>
    <row r="403" spans="1:11" x14ac:dyDescent="0.25">
      <c r="A403" s="38">
        <f t="shared" si="51"/>
        <v>1</v>
      </c>
      <c r="B403" s="38">
        <f>IF(K403=$P$15,$M$4,IF(K403=$P$13,'Leave Entry'!$B$4,F403-1))</f>
        <v>-1</v>
      </c>
      <c r="C403" s="23">
        <f t="shared" si="48"/>
        <v>-1</v>
      </c>
      <c r="D403" s="43">
        <f t="shared" si="49"/>
        <v>-9.0909090909090912E-2</v>
      </c>
      <c r="E403" s="43" t="e">
        <f t="shared" si="52"/>
        <v>#N/A</v>
      </c>
      <c r="F403" s="38">
        <f>'Leave Record'!D405</f>
        <v>0</v>
      </c>
      <c r="G403" s="38">
        <f>'Leave Record'!E405</f>
        <v>0</v>
      </c>
      <c r="H403" s="23">
        <f t="shared" si="50"/>
        <v>1</v>
      </c>
      <c r="I403" s="23">
        <f t="shared" si="53"/>
        <v>0</v>
      </c>
      <c r="J403" s="43" t="e">
        <f t="shared" si="54"/>
        <v>#N/A</v>
      </c>
      <c r="K403" s="23">
        <f>'Leave Record'!F405</f>
        <v>0</v>
      </c>
    </row>
    <row r="404" spans="1:11" x14ac:dyDescent="0.25">
      <c r="A404" s="38">
        <f t="shared" si="51"/>
        <v>1</v>
      </c>
      <c r="B404" s="38">
        <f>IF(K404=$P$15,$M$4,IF(K404=$P$13,'Leave Entry'!$B$4,F404-1))</f>
        <v>-1</v>
      </c>
      <c r="C404" s="23">
        <f t="shared" si="48"/>
        <v>-1</v>
      </c>
      <c r="D404" s="43">
        <f t="shared" si="49"/>
        <v>-9.0909090909090912E-2</v>
      </c>
      <c r="E404" s="43" t="e">
        <f t="shared" si="52"/>
        <v>#N/A</v>
      </c>
      <c r="F404" s="38">
        <f>'Leave Record'!D406</f>
        <v>0</v>
      </c>
      <c r="G404" s="38">
        <f>'Leave Record'!E406</f>
        <v>0</v>
      </c>
      <c r="H404" s="23">
        <f t="shared" si="50"/>
        <v>1</v>
      </c>
      <c r="I404" s="23">
        <f t="shared" si="53"/>
        <v>0</v>
      </c>
      <c r="J404" s="43" t="e">
        <f t="shared" si="54"/>
        <v>#N/A</v>
      </c>
      <c r="K404" s="23">
        <f>'Leave Record'!F406</f>
        <v>0</v>
      </c>
    </row>
    <row r="405" spans="1:11" x14ac:dyDescent="0.25">
      <c r="A405" s="38">
        <f t="shared" si="51"/>
        <v>1</v>
      </c>
      <c r="B405" s="38">
        <f>IF(K405=$P$15,$M$4,IF(K405=$P$13,'Leave Entry'!$B$4,F405-1))</f>
        <v>-1</v>
      </c>
      <c r="C405" s="23">
        <f t="shared" si="48"/>
        <v>-1</v>
      </c>
      <c r="D405" s="43">
        <f t="shared" si="49"/>
        <v>-9.0909090909090912E-2</v>
      </c>
      <c r="E405" s="43" t="e">
        <f t="shared" si="52"/>
        <v>#N/A</v>
      </c>
      <c r="F405" s="38">
        <f>'Leave Record'!D407</f>
        <v>0</v>
      </c>
      <c r="G405" s="38">
        <f>'Leave Record'!E407</f>
        <v>0</v>
      </c>
      <c r="H405" s="23">
        <f t="shared" si="50"/>
        <v>1</v>
      </c>
      <c r="I405" s="23">
        <f t="shared" si="53"/>
        <v>0</v>
      </c>
      <c r="J405" s="43" t="e">
        <f t="shared" si="54"/>
        <v>#N/A</v>
      </c>
      <c r="K405" s="23">
        <f>'Leave Record'!F407</f>
        <v>0</v>
      </c>
    </row>
    <row r="406" spans="1:11" x14ac:dyDescent="0.25">
      <c r="A406" s="38">
        <f t="shared" si="51"/>
        <v>1</v>
      </c>
      <c r="B406" s="38">
        <f>IF(K406=$P$15,$M$4,IF(K406=$P$13,'Leave Entry'!$B$4,F406-1))</f>
        <v>-1</v>
      </c>
      <c r="C406" s="23">
        <f t="shared" si="48"/>
        <v>-1</v>
      </c>
      <c r="D406" s="43">
        <f t="shared" si="49"/>
        <v>-9.0909090909090912E-2</v>
      </c>
      <c r="E406" s="43" t="e">
        <f t="shared" si="52"/>
        <v>#N/A</v>
      </c>
      <c r="F406" s="38">
        <f>'Leave Record'!D408</f>
        <v>0</v>
      </c>
      <c r="G406" s="38">
        <f>'Leave Record'!E408</f>
        <v>0</v>
      </c>
      <c r="H406" s="23">
        <f t="shared" si="50"/>
        <v>1</v>
      </c>
      <c r="I406" s="23">
        <f t="shared" si="53"/>
        <v>0</v>
      </c>
      <c r="J406" s="43" t="e">
        <f t="shared" si="54"/>
        <v>#N/A</v>
      </c>
      <c r="K406" s="23">
        <f>'Leave Record'!F408</f>
        <v>0</v>
      </c>
    </row>
    <row r="407" spans="1:11" x14ac:dyDescent="0.25">
      <c r="A407" s="38">
        <f t="shared" si="51"/>
        <v>1</v>
      </c>
      <c r="B407" s="38">
        <f>IF(K407=$P$15,$M$4,IF(K407=$P$13,'Leave Entry'!$B$4,F407-1))</f>
        <v>-1</v>
      </c>
      <c r="C407" s="23">
        <f t="shared" si="48"/>
        <v>-1</v>
      </c>
      <c r="D407" s="43">
        <f t="shared" si="49"/>
        <v>-9.0909090909090912E-2</v>
      </c>
      <c r="E407" s="43" t="e">
        <f t="shared" si="52"/>
        <v>#N/A</v>
      </c>
      <c r="F407" s="38">
        <f>'Leave Record'!D409</f>
        <v>0</v>
      </c>
      <c r="G407" s="38">
        <f>'Leave Record'!E409</f>
        <v>0</v>
      </c>
      <c r="H407" s="23">
        <f t="shared" si="50"/>
        <v>1</v>
      </c>
      <c r="I407" s="23">
        <f t="shared" si="53"/>
        <v>0</v>
      </c>
      <c r="J407" s="43" t="e">
        <f t="shared" si="54"/>
        <v>#N/A</v>
      </c>
      <c r="K407" s="23">
        <f>'Leave Record'!F409</f>
        <v>0</v>
      </c>
    </row>
    <row r="408" spans="1:11" x14ac:dyDescent="0.25">
      <c r="A408" s="38">
        <f t="shared" si="51"/>
        <v>1</v>
      </c>
      <c r="B408" s="38">
        <f>IF(K408=$P$15,$M$4,IF(K408=$P$13,'Leave Entry'!$B$4,F408-1))</f>
        <v>-1</v>
      </c>
      <c r="C408" s="23">
        <f t="shared" si="48"/>
        <v>-1</v>
      </c>
      <c r="D408" s="43">
        <f t="shared" si="49"/>
        <v>-9.0909090909090912E-2</v>
      </c>
      <c r="E408" s="43" t="e">
        <f t="shared" si="52"/>
        <v>#N/A</v>
      </c>
      <c r="F408" s="38">
        <f>'Leave Record'!D410</f>
        <v>0</v>
      </c>
      <c r="G408" s="38">
        <f>'Leave Record'!E410</f>
        <v>0</v>
      </c>
      <c r="H408" s="23">
        <f t="shared" si="50"/>
        <v>1</v>
      </c>
      <c r="I408" s="23">
        <f t="shared" si="53"/>
        <v>0</v>
      </c>
      <c r="J408" s="43" t="e">
        <f t="shared" si="54"/>
        <v>#N/A</v>
      </c>
      <c r="K408" s="23">
        <f>'Leave Record'!F410</f>
        <v>0</v>
      </c>
    </row>
    <row r="409" spans="1:11" x14ac:dyDescent="0.25">
      <c r="A409" s="38">
        <f t="shared" si="51"/>
        <v>1</v>
      </c>
      <c r="B409" s="38">
        <f>IF(K409=$P$15,$M$4,IF(K409=$P$13,'Leave Entry'!$B$4,F409-1))</f>
        <v>-1</v>
      </c>
      <c r="C409" s="23">
        <f t="shared" si="48"/>
        <v>-1</v>
      </c>
      <c r="D409" s="43">
        <f t="shared" si="49"/>
        <v>-9.0909090909090912E-2</v>
      </c>
      <c r="E409" s="43" t="e">
        <f t="shared" si="52"/>
        <v>#N/A</v>
      </c>
      <c r="F409" s="38">
        <f>'Leave Record'!D411</f>
        <v>0</v>
      </c>
      <c r="G409" s="38">
        <f>'Leave Record'!E411</f>
        <v>0</v>
      </c>
      <c r="H409" s="23">
        <f t="shared" si="50"/>
        <v>1</v>
      </c>
      <c r="I409" s="23">
        <f t="shared" si="53"/>
        <v>0</v>
      </c>
      <c r="J409" s="43" t="e">
        <f t="shared" si="54"/>
        <v>#N/A</v>
      </c>
      <c r="K409" s="23">
        <f>'Leave Record'!F411</f>
        <v>0</v>
      </c>
    </row>
    <row r="410" spans="1:11" x14ac:dyDescent="0.25">
      <c r="A410" s="38">
        <f t="shared" si="51"/>
        <v>1</v>
      </c>
      <c r="B410" s="38">
        <f>IF(K410=$P$15,$M$4,IF(K410=$P$13,'Leave Entry'!$B$4,F410-1))</f>
        <v>-1</v>
      </c>
      <c r="C410" s="23">
        <f t="shared" si="48"/>
        <v>-1</v>
      </c>
      <c r="D410" s="43">
        <f t="shared" si="49"/>
        <v>-9.0909090909090912E-2</v>
      </c>
      <c r="E410" s="43" t="e">
        <f t="shared" si="52"/>
        <v>#N/A</v>
      </c>
      <c r="F410" s="38">
        <f>'Leave Record'!D412</f>
        <v>0</v>
      </c>
      <c r="G410" s="38">
        <f>'Leave Record'!E412</f>
        <v>0</v>
      </c>
      <c r="H410" s="23">
        <f t="shared" si="50"/>
        <v>1</v>
      </c>
      <c r="I410" s="23">
        <f t="shared" si="53"/>
        <v>0</v>
      </c>
      <c r="J410" s="43" t="e">
        <f t="shared" si="54"/>
        <v>#N/A</v>
      </c>
      <c r="K410" s="23">
        <f>'Leave Record'!F412</f>
        <v>0</v>
      </c>
    </row>
    <row r="411" spans="1:11" x14ac:dyDescent="0.25">
      <c r="A411" s="38">
        <f t="shared" si="51"/>
        <v>1</v>
      </c>
      <c r="B411" s="38">
        <f>IF(K411=$P$15,$M$4,IF(K411=$P$13,'Leave Entry'!$B$4,F411-1))</f>
        <v>-1</v>
      </c>
      <c r="C411" s="23">
        <f t="shared" si="48"/>
        <v>-1</v>
      </c>
      <c r="D411" s="43">
        <f t="shared" si="49"/>
        <v>-9.0909090909090912E-2</v>
      </c>
      <c r="E411" s="43" t="e">
        <f t="shared" si="52"/>
        <v>#N/A</v>
      </c>
      <c r="F411" s="38">
        <f>'Leave Record'!D413</f>
        <v>0</v>
      </c>
      <c r="G411" s="38">
        <f>'Leave Record'!E413</f>
        <v>0</v>
      </c>
      <c r="H411" s="23">
        <f t="shared" si="50"/>
        <v>1</v>
      </c>
      <c r="I411" s="23">
        <f t="shared" si="53"/>
        <v>0</v>
      </c>
      <c r="J411" s="43" t="e">
        <f t="shared" si="54"/>
        <v>#N/A</v>
      </c>
      <c r="K411" s="23">
        <f>'Leave Record'!F413</f>
        <v>0</v>
      </c>
    </row>
    <row r="412" spans="1:11" x14ac:dyDescent="0.25">
      <c r="A412" s="38">
        <f t="shared" si="51"/>
        <v>1</v>
      </c>
      <c r="B412" s="38">
        <f>IF(K412=$P$15,$M$4,IF(K412=$P$13,'Leave Entry'!$B$4,F412-1))</f>
        <v>-1</v>
      </c>
      <c r="C412" s="23">
        <f t="shared" si="48"/>
        <v>-1</v>
      </c>
      <c r="D412" s="43">
        <f t="shared" si="49"/>
        <v>-9.0909090909090912E-2</v>
      </c>
      <c r="E412" s="43" t="e">
        <f t="shared" si="52"/>
        <v>#N/A</v>
      </c>
      <c r="F412" s="38">
        <f>'Leave Record'!D414</f>
        <v>0</v>
      </c>
      <c r="G412" s="38">
        <f>'Leave Record'!E414</f>
        <v>0</v>
      </c>
      <c r="H412" s="23">
        <f t="shared" si="50"/>
        <v>1</v>
      </c>
      <c r="I412" s="23">
        <f t="shared" si="53"/>
        <v>0</v>
      </c>
      <c r="J412" s="43" t="e">
        <f t="shared" si="54"/>
        <v>#N/A</v>
      </c>
      <c r="K412" s="23">
        <f>'Leave Record'!F414</f>
        <v>0</v>
      </c>
    </row>
    <row r="413" spans="1:11" x14ac:dyDescent="0.25">
      <c r="A413" s="38">
        <f t="shared" si="51"/>
        <v>1</v>
      </c>
      <c r="B413" s="38">
        <f>IF(K413=$P$15,$M$4,IF(K413=$P$13,'Leave Entry'!$B$4,F413-1))</f>
        <v>-1</v>
      </c>
      <c r="C413" s="23">
        <f t="shared" si="48"/>
        <v>-1</v>
      </c>
      <c r="D413" s="43">
        <f t="shared" si="49"/>
        <v>-9.0909090909090912E-2</v>
      </c>
      <c r="E413" s="43" t="e">
        <f t="shared" si="52"/>
        <v>#N/A</v>
      </c>
      <c r="F413" s="38">
        <f>'Leave Record'!D415</f>
        <v>0</v>
      </c>
      <c r="G413" s="38">
        <f>'Leave Record'!E415</f>
        <v>0</v>
      </c>
      <c r="H413" s="23">
        <f t="shared" si="50"/>
        <v>1</v>
      </c>
      <c r="I413" s="23">
        <f t="shared" si="53"/>
        <v>0</v>
      </c>
      <c r="J413" s="43" t="e">
        <f t="shared" si="54"/>
        <v>#N/A</v>
      </c>
      <c r="K413" s="23">
        <f>'Leave Record'!F415</f>
        <v>0</v>
      </c>
    </row>
    <row r="414" spans="1:11" x14ac:dyDescent="0.25">
      <c r="A414" s="38">
        <f t="shared" si="51"/>
        <v>1</v>
      </c>
      <c r="B414" s="38">
        <f>IF(K414=$P$15,$M$4,IF(K414=$P$13,'Leave Entry'!$B$4,F414-1))</f>
        <v>-1</v>
      </c>
      <c r="C414" s="23">
        <f t="shared" si="48"/>
        <v>-1</v>
      </c>
      <c r="D414" s="43">
        <f t="shared" si="49"/>
        <v>-9.0909090909090912E-2</v>
      </c>
      <c r="E414" s="43" t="e">
        <f t="shared" si="52"/>
        <v>#N/A</v>
      </c>
      <c r="F414" s="38">
        <f>'Leave Record'!D416</f>
        <v>0</v>
      </c>
      <c r="G414" s="38">
        <f>'Leave Record'!E416</f>
        <v>0</v>
      </c>
      <c r="H414" s="23">
        <f t="shared" si="50"/>
        <v>1</v>
      </c>
      <c r="I414" s="23">
        <f t="shared" si="53"/>
        <v>0</v>
      </c>
      <c r="J414" s="43" t="e">
        <f t="shared" si="54"/>
        <v>#N/A</v>
      </c>
      <c r="K414" s="23">
        <f>'Leave Record'!F416</f>
        <v>0</v>
      </c>
    </row>
    <row r="415" spans="1:11" x14ac:dyDescent="0.25">
      <c r="A415" s="38">
        <f t="shared" si="51"/>
        <v>1</v>
      </c>
      <c r="B415" s="38">
        <f>IF(K415=$P$15,$M$4,IF(K415=$P$13,'Leave Entry'!$B$4,F415-1))</f>
        <v>-1</v>
      </c>
      <c r="C415" s="23">
        <f t="shared" si="48"/>
        <v>-1</v>
      </c>
      <c r="D415" s="43">
        <f t="shared" si="49"/>
        <v>-9.0909090909090912E-2</v>
      </c>
      <c r="E415" s="43" t="e">
        <f t="shared" si="52"/>
        <v>#N/A</v>
      </c>
      <c r="F415" s="38">
        <f>'Leave Record'!D417</f>
        <v>0</v>
      </c>
      <c r="G415" s="38">
        <f>'Leave Record'!E417</f>
        <v>0</v>
      </c>
      <c r="H415" s="23">
        <f t="shared" si="50"/>
        <v>1</v>
      </c>
      <c r="I415" s="23">
        <f t="shared" si="53"/>
        <v>0</v>
      </c>
      <c r="J415" s="43" t="e">
        <f t="shared" si="54"/>
        <v>#N/A</v>
      </c>
      <c r="K415" s="23">
        <f>'Leave Record'!F417</f>
        <v>0</v>
      </c>
    </row>
    <row r="416" spans="1:11" x14ac:dyDescent="0.25">
      <c r="A416" s="38">
        <f t="shared" si="51"/>
        <v>1</v>
      </c>
      <c r="B416" s="38">
        <f>IF(K416=$P$15,$M$4,IF(K416=$P$13,'Leave Entry'!$B$4,F416-1))</f>
        <v>-1</v>
      </c>
      <c r="C416" s="23">
        <f t="shared" si="48"/>
        <v>-1</v>
      </c>
      <c r="D416" s="43">
        <f t="shared" si="49"/>
        <v>-9.0909090909090912E-2</v>
      </c>
      <c r="E416" s="43" t="e">
        <f t="shared" si="52"/>
        <v>#N/A</v>
      </c>
      <c r="F416" s="38">
        <f>'Leave Record'!D418</f>
        <v>0</v>
      </c>
      <c r="G416" s="38">
        <f>'Leave Record'!E418</f>
        <v>0</v>
      </c>
      <c r="H416" s="23">
        <f t="shared" si="50"/>
        <v>1</v>
      </c>
      <c r="I416" s="23">
        <f t="shared" si="53"/>
        <v>0</v>
      </c>
      <c r="J416" s="43" t="e">
        <f t="shared" si="54"/>
        <v>#N/A</v>
      </c>
      <c r="K416" s="23">
        <f>'Leave Record'!F418</f>
        <v>0</v>
      </c>
    </row>
    <row r="417" spans="1:11" x14ac:dyDescent="0.25">
      <c r="A417" s="38">
        <f t="shared" si="51"/>
        <v>1</v>
      </c>
      <c r="B417" s="38">
        <f>IF(K417=$P$15,$M$4,IF(K417=$P$13,'Leave Entry'!$B$4,F417-1))</f>
        <v>-1</v>
      </c>
      <c r="C417" s="23">
        <f t="shared" si="48"/>
        <v>-1</v>
      </c>
      <c r="D417" s="43">
        <f t="shared" si="49"/>
        <v>-9.0909090909090912E-2</v>
      </c>
      <c r="E417" s="43" t="e">
        <f t="shared" si="52"/>
        <v>#N/A</v>
      </c>
      <c r="F417" s="38">
        <f>'Leave Record'!D419</f>
        <v>0</v>
      </c>
      <c r="G417" s="38">
        <f>'Leave Record'!E419</f>
        <v>0</v>
      </c>
      <c r="H417" s="23">
        <f t="shared" si="50"/>
        <v>1</v>
      </c>
      <c r="I417" s="23">
        <f t="shared" si="53"/>
        <v>0</v>
      </c>
      <c r="J417" s="43" t="e">
        <f t="shared" si="54"/>
        <v>#N/A</v>
      </c>
      <c r="K417" s="23">
        <f>'Leave Record'!F419</f>
        <v>0</v>
      </c>
    </row>
    <row r="418" spans="1:11" x14ac:dyDescent="0.25">
      <c r="A418" s="38">
        <f t="shared" si="51"/>
        <v>1</v>
      </c>
      <c r="B418" s="38">
        <f>IF(K418=$P$15,$M$4,IF(K418=$P$13,'Leave Entry'!$B$4,F418-1))</f>
        <v>-1</v>
      </c>
      <c r="C418" s="23">
        <f t="shared" si="48"/>
        <v>-1</v>
      </c>
      <c r="D418" s="43">
        <f t="shared" si="49"/>
        <v>-9.0909090909090912E-2</v>
      </c>
      <c r="E418" s="43" t="e">
        <f t="shared" si="52"/>
        <v>#N/A</v>
      </c>
      <c r="F418" s="38">
        <f>'Leave Record'!D420</f>
        <v>0</v>
      </c>
      <c r="G418" s="38">
        <f>'Leave Record'!E420</f>
        <v>0</v>
      </c>
      <c r="H418" s="23">
        <f t="shared" si="50"/>
        <v>1</v>
      </c>
      <c r="I418" s="23">
        <f t="shared" si="53"/>
        <v>0</v>
      </c>
      <c r="J418" s="43" t="e">
        <f t="shared" si="54"/>
        <v>#N/A</v>
      </c>
      <c r="K418" s="23">
        <f>'Leave Record'!F420</f>
        <v>0</v>
      </c>
    </row>
    <row r="419" spans="1:11" x14ac:dyDescent="0.25">
      <c r="A419" s="38">
        <f t="shared" si="51"/>
        <v>1</v>
      </c>
      <c r="B419" s="38">
        <f>IF(K419=$P$15,$M$4,IF(K419=$P$13,'Leave Entry'!$B$4,F419-1))</f>
        <v>-1</v>
      </c>
      <c r="C419" s="23">
        <f t="shared" si="48"/>
        <v>-1</v>
      </c>
      <c r="D419" s="43">
        <f t="shared" si="49"/>
        <v>-9.0909090909090912E-2</v>
      </c>
      <c r="E419" s="43" t="e">
        <f t="shared" si="52"/>
        <v>#N/A</v>
      </c>
      <c r="F419" s="38">
        <f>'Leave Record'!D421</f>
        <v>0</v>
      </c>
      <c r="G419" s="38">
        <f>'Leave Record'!E421</f>
        <v>0</v>
      </c>
      <c r="H419" s="23">
        <f t="shared" si="50"/>
        <v>1</v>
      </c>
      <c r="I419" s="23">
        <f t="shared" si="53"/>
        <v>0</v>
      </c>
      <c r="J419" s="43" t="e">
        <f t="shared" si="54"/>
        <v>#N/A</v>
      </c>
      <c r="K419" s="23">
        <f>'Leave Record'!F421</f>
        <v>0</v>
      </c>
    </row>
    <row r="420" spans="1:11" x14ac:dyDescent="0.25">
      <c r="A420" s="38">
        <f t="shared" si="51"/>
        <v>1</v>
      </c>
      <c r="B420" s="38">
        <f>IF(K420=$P$15,$M$4,IF(K420=$P$13,'Leave Entry'!$B$4,F420-1))</f>
        <v>-1</v>
      </c>
      <c r="C420" s="23">
        <f t="shared" si="48"/>
        <v>-1</v>
      </c>
      <c r="D420" s="43">
        <f t="shared" si="49"/>
        <v>-9.0909090909090912E-2</v>
      </c>
      <c r="E420" s="43" t="e">
        <f t="shared" si="52"/>
        <v>#N/A</v>
      </c>
      <c r="F420" s="38">
        <f>'Leave Record'!D422</f>
        <v>0</v>
      </c>
      <c r="G420" s="38">
        <f>'Leave Record'!E422</f>
        <v>0</v>
      </c>
      <c r="H420" s="23">
        <f t="shared" si="50"/>
        <v>1</v>
      </c>
      <c r="I420" s="23">
        <f t="shared" si="53"/>
        <v>0</v>
      </c>
      <c r="J420" s="43" t="e">
        <f t="shared" si="54"/>
        <v>#N/A</v>
      </c>
      <c r="K420" s="23">
        <f>'Leave Record'!F422</f>
        <v>0</v>
      </c>
    </row>
    <row r="421" spans="1:11" x14ac:dyDescent="0.25">
      <c r="A421" s="38">
        <f t="shared" si="51"/>
        <v>1</v>
      </c>
      <c r="B421" s="38">
        <f>IF(K421=$P$15,$M$4,IF(K421=$P$13,'Leave Entry'!$B$4,F421-1))</f>
        <v>-1</v>
      </c>
      <c r="C421" s="23">
        <f t="shared" si="48"/>
        <v>-1</v>
      </c>
      <c r="D421" s="43">
        <f t="shared" si="49"/>
        <v>-9.0909090909090912E-2</v>
      </c>
      <c r="E421" s="43" t="e">
        <f t="shared" si="52"/>
        <v>#N/A</v>
      </c>
      <c r="F421" s="38">
        <f>'Leave Record'!D423</f>
        <v>0</v>
      </c>
      <c r="G421" s="38">
        <f>'Leave Record'!E423</f>
        <v>0</v>
      </c>
      <c r="H421" s="23">
        <f t="shared" si="50"/>
        <v>1</v>
      </c>
      <c r="I421" s="23">
        <f t="shared" si="53"/>
        <v>0</v>
      </c>
      <c r="J421" s="43" t="e">
        <f t="shared" si="54"/>
        <v>#N/A</v>
      </c>
      <c r="K421" s="23">
        <f>'Leave Record'!F423</f>
        <v>0</v>
      </c>
    </row>
    <row r="422" spans="1:11" x14ac:dyDescent="0.25">
      <c r="A422" s="38">
        <f t="shared" si="51"/>
        <v>1</v>
      </c>
      <c r="B422" s="38">
        <f>IF(K422=$P$15,$M$4,IF(K422=$P$13,'Leave Entry'!$B$4,F422-1))</f>
        <v>-1</v>
      </c>
      <c r="C422" s="23">
        <f t="shared" si="48"/>
        <v>-1</v>
      </c>
      <c r="D422" s="43">
        <f t="shared" si="49"/>
        <v>-9.0909090909090912E-2</v>
      </c>
      <c r="E422" s="43" t="e">
        <f t="shared" si="52"/>
        <v>#N/A</v>
      </c>
      <c r="F422" s="38">
        <f>'Leave Record'!D424</f>
        <v>0</v>
      </c>
      <c r="G422" s="38">
        <f>'Leave Record'!E424</f>
        <v>0</v>
      </c>
      <c r="H422" s="23">
        <f t="shared" si="50"/>
        <v>1</v>
      </c>
      <c r="I422" s="23">
        <f t="shared" si="53"/>
        <v>0</v>
      </c>
      <c r="J422" s="43" t="e">
        <f t="shared" si="54"/>
        <v>#N/A</v>
      </c>
      <c r="K422" s="23">
        <f>'Leave Record'!F424</f>
        <v>0</v>
      </c>
    </row>
    <row r="423" spans="1:11" x14ac:dyDescent="0.25">
      <c r="A423" s="38">
        <f t="shared" si="51"/>
        <v>1</v>
      </c>
      <c r="B423" s="38">
        <f>IF(K423=$P$15,$M$4,IF(K423=$P$13,'Leave Entry'!$B$4,F423-1))</f>
        <v>-1</v>
      </c>
      <c r="C423" s="23">
        <f t="shared" si="48"/>
        <v>-1</v>
      </c>
      <c r="D423" s="43">
        <f t="shared" si="49"/>
        <v>-9.0909090909090912E-2</v>
      </c>
      <c r="E423" s="43" t="e">
        <f t="shared" si="52"/>
        <v>#N/A</v>
      </c>
      <c r="F423" s="38">
        <f>'Leave Record'!D425</f>
        <v>0</v>
      </c>
      <c r="G423" s="38">
        <f>'Leave Record'!E425</f>
        <v>0</v>
      </c>
      <c r="H423" s="23">
        <f t="shared" si="50"/>
        <v>1</v>
      </c>
      <c r="I423" s="23">
        <f t="shared" si="53"/>
        <v>0</v>
      </c>
      <c r="J423" s="43" t="e">
        <f t="shared" si="54"/>
        <v>#N/A</v>
      </c>
      <c r="K423" s="23">
        <f>'Leave Record'!F425</f>
        <v>0</v>
      </c>
    </row>
    <row r="424" spans="1:11" x14ac:dyDescent="0.25">
      <c r="A424" s="38">
        <f t="shared" si="51"/>
        <v>1</v>
      </c>
      <c r="B424" s="38">
        <f>IF(K424=$P$15,$M$4,IF(K424=$P$13,'Leave Entry'!$B$4,F424-1))</f>
        <v>-1</v>
      </c>
      <c r="C424" s="23">
        <f t="shared" si="48"/>
        <v>-1</v>
      </c>
      <c r="D424" s="43">
        <f t="shared" si="49"/>
        <v>-9.0909090909090912E-2</v>
      </c>
      <c r="E424" s="43" t="e">
        <f t="shared" si="52"/>
        <v>#N/A</v>
      </c>
      <c r="F424" s="38">
        <f>'Leave Record'!D426</f>
        <v>0</v>
      </c>
      <c r="G424" s="38">
        <f>'Leave Record'!E426</f>
        <v>0</v>
      </c>
      <c r="H424" s="23">
        <f t="shared" si="50"/>
        <v>1</v>
      </c>
      <c r="I424" s="23">
        <f t="shared" si="53"/>
        <v>0</v>
      </c>
      <c r="J424" s="43" t="e">
        <f t="shared" si="54"/>
        <v>#N/A</v>
      </c>
      <c r="K424" s="23">
        <f>'Leave Record'!F426</f>
        <v>0</v>
      </c>
    </row>
    <row r="425" spans="1:11" x14ac:dyDescent="0.25">
      <c r="A425" s="38">
        <f t="shared" si="51"/>
        <v>1</v>
      </c>
      <c r="B425" s="38">
        <f>IF(K425=$P$15,$M$4,IF(K425=$P$13,'Leave Entry'!$B$4,F425-1))</f>
        <v>-1</v>
      </c>
      <c r="C425" s="23">
        <f t="shared" si="48"/>
        <v>-1</v>
      </c>
      <c r="D425" s="43">
        <f t="shared" si="49"/>
        <v>-9.0909090909090912E-2</v>
      </c>
      <c r="E425" s="43" t="e">
        <f t="shared" si="52"/>
        <v>#N/A</v>
      </c>
      <c r="F425" s="38">
        <f>'Leave Record'!D427</f>
        <v>0</v>
      </c>
      <c r="G425" s="38">
        <f>'Leave Record'!E427</f>
        <v>0</v>
      </c>
      <c r="H425" s="23">
        <f t="shared" si="50"/>
        <v>1</v>
      </c>
      <c r="I425" s="23">
        <f t="shared" si="53"/>
        <v>0</v>
      </c>
      <c r="J425" s="43" t="e">
        <f t="shared" si="54"/>
        <v>#N/A</v>
      </c>
      <c r="K425" s="23">
        <f>'Leave Record'!F427</f>
        <v>0</v>
      </c>
    </row>
    <row r="426" spans="1:11" x14ac:dyDescent="0.25">
      <c r="A426" s="38">
        <f t="shared" si="51"/>
        <v>1</v>
      </c>
      <c r="B426" s="38">
        <f>IF(K426=$P$15,$M$4,IF(K426=$P$13,'Leave Entry'!$B$4,F426-1))</f>
        <v>-1</v>
      </c>
      <c r="C426" s="23">
        <f t="shared" si="48"/>
        <v>-1</v>
      </c>
      <c r="D426" s="43">
        <f t="shared" si="49"/>
        <v>-9.0909090909090912E-2</v>
      </c>
      <c r="E426" s="43" t="e">
        <f t="shared" si="52"/>
        <v>#N/A</v>
      </c>
      <c r="F426" s="38">
        <f>'Leave Record'!D428</f>
        <v>0</v>
      </c>
      <c r="G426" s="38">
        <f>'Leave Record'!E428</f>
        <v>0</v>
      </c>
      <c r="H426" s="23">
        <f t="shared" si="50"/>
        <v>1</v>
      </c>
      <c r="I426" s="23">
        <f t="shared" si="53"/>
        <v>0</v>
      </c>
      <c r="J426" s="43" t="e">
        <f t="shared" si="54"/>
        <v>#N/A</v>
      </c>
      <c r="K426" s="23">
        <f>'Leave Record'!F428</f>
        <v>0</v>
      </c>
    </row>
    <row r="427" spans="1:11" x14ac:dyDescent="0.25">
      <c r="A427" s="38">
        <f t="shared" si="51"/>
        <v>1</v>
      </c>
      <c r="B427" s="38">
        <f>IF(K427=$P$15,$M$4,IF(K427=$P$13,'Leave Entry'!$B$4,F427-1))</f>
        <v>-1</v>
      </c>
      <c r="C427" s="23">
        <f t="shared" si="48"/>
        <v>-1</v>
      </c>
      <c r="D427" s="43">
        <f t="shared" si="49"/>
        <v>-9.0909090909090912E-2</v>
      </c>
      <c r="E427" s="43" t="e">
        <f t="shared" si="52"/>
        <v>#N/A</v>
      </c>
      <c r="F427" s="38">
        <f>'Leave Record'!D429</f>
        <v>0</v>
      </c>
      <c r="G427" s="38">
        <f>'Leave Record'!E429</f>
        <v>0</v>
      </c>
      <c r="H427" s="23">
        <f t="shared" si="50"/>
        <v>1</v>
      </c>
      <c r="I427" s="23">
        <f t="shared" si="53"/>
        <v>0</v>
      </c>
      <c r="J427" s="43" t="e">
        <f t="shared" si="54"/>
        <v>#N/A</v>
      </c>
      <c r="K427" s="23">
        <f>'Leave Record'!F429</f>
        <v>0</v>
      </c>
    </row>
    <row r="428" spans="1:11" x14ac:dyDescent="0.25">
      <c r="A428" s="38">
        <f t="shared" si="51"/>
        <v>1</v>
      </c>
      <c r="B428" s="38">
        <f>IF(K428=$P$15,$M$4,IF(K428=$P$13,'Leave Entry'!$B$4,F428-1))</f>
        <v>-1</v>
      </c>
      <c r="C428" s="23">
        <f t="shared" si="48"/>
        <v>-1</v>
      </c>
      <c r="D428" s="43">
        <f t="shared" si="49"/>
        <v>-9.0909090909090912E-2</v>
      </c>
      <c r="E428" s="43" t="e">
        <f t="shared" si="52"/>
        <v>#N/A</v>
      </c>
      <c r="F428" s="38">
        <f>'Leave Record'!D430</f>
        <v>0</v>
      </c>
      <c r="G428" s="38">
        <f>'Leave Record'!E430</f>
        <v>0</v>
      </c>
      <c r="H428" s="23">
        <f t="shared" si="50"/>
        <v>1</v>
      </c>
      <c r="I428" s="23">
        <f t="shared" si="53"/>
        <v>0</v>
      </c>
      <c r="J428" s="43" t="e">
        <f t="shared" si="54"/>
        <v>#N/A</v>
      </c>
      <c r="K428" s="23">
        <f>'Leave Record'!F430</f>
        <v>0</v>
      </c>
    </row>
    <row r="429" spans="1:11" x14ac:dyDescent="0.25">
      <c r="A429" s="38">
        <f t="shared" si="51"/>
        <v>1</v>
      </c>
      <c r="B429" s="38">
        <f>IF(K429=$P$15,$M$4,IF(K429=$P$13,'Leave Entry'!$B$4,F429-1))</f>
        <v>-1</v>
      </c>
      <c r="C429" s="23">
        <f t="shared" si="48"/>
        <v>-1</v>
      </c>
      <c r="D429" s="43">
        <f t="shared" si="49"/>
        <v>-9.0909090909090912E-2</v>
      </c>
      <c r="E429" s="43" t="e">
        <f t="shared" si="52"/>
        <v>#N/A</v>
      </c>
      <c r="F429" s="38">
        <f>'Leave Record'!D431</f>
        <v>0</v>
      </c>
      <c r="G429" s="38">
        <f>'Leave Record'!E431</f>
        <v>0</v>
      </c>
      <c r="H429" s="23">
        <f t="shared" si="50"/>
        <v>1</v>
      </c>
      <c r="I429" s="23">
        <f t="shared" si="53"/>
        <v>0</v>
      </c>
      <c r="J429" s="43" t="e">
        <f t="shared" si="54"/>
        <v>#N/A</v>
      </c>
      <c r="K429" s="23">
        <f>'Leave Record'!F431</f>
        <v>0</v>
      </c>
    </row>
    <row r="430" spans="1:11" x14ac:dyDescent="0.25">
      <c r="A430" s="38">
        <f t="shared" si="51"/>
        <v>1</v>
      </c>
      <c r="B430" s="38">
        <f>IF(K430=$P$15,$M$4,IF(K430=$P$13,'Leave Entry'!$B$4,F430-1))</f>
        <v>-1</v>
      </c>
      <c r="C430" s="23">
        <f t="shared" si="48"/>
        <v>-1</v>
      </c>
      <c r="D430" s="43">
        <f t="shared" si="49"/>
        <v>-9.0909090909090912E-2</v>
      </c>
      <c r="E430" s="43" t="e">
        <f t="shared" si="52"/>
        <v>#N/A</v>
      </c>
      <c r="F430" s="38">
        <f>'Leave Record'!D432</f>
        <v>0</v>
      </c>
      <c r="G430" s="38">
        <f>'Leave Record'!E432</f>
        <v>0</v>
      </c>
      <c r="H430" s="23">
        <f t="shared" si="50"/>
        <v>1</v>
      </c>
      <c r="I430" s="23">
        <f t="shared" si="53"/>
        <v>0</v>
      </c>
      <c r="J430" s="43" t="e">
        <f t="shared" si="54"/>
        <v>#N/A</v>
      </c>
      <c r="K430" s="23">
        <f>'Leave Record'!F432</f>
        <v>0</v>
      </c>
    </row>
    <row r="431" spans="1:11" x14ac:dyDescent="0.25">
      <c r="A431" s="38">
        <f t="shared" si="51"/>
        <v>1</v>
      </c>
      <c r="B431" s="38">
        <f>IF(K431=$P$15,$M$4,IF(K431=$P$13,'Leave Entry'!$B$4,F431-1))</f>
        <v>-1</v>
      </c>
      <c r="C431" s="23">
        <f t="shared" si="48"/>
        <v>-1</v>
      </c>
      <c r="D431" s="43">
        <f t="shared" si="49"/>
        <v>-9.0909090909090912E-2</v>
      </c>
      <c r="E431" s="43" t="e">
        <f t="shared" si="52"/>
        <v>#N/A</v>
      </c>
      <c r="F431" s="38">
        <f>'Leave Record'!D433</f>
        <v>0</v>
      </c>
      <c r="G431" s="38">
        <f>'Leave Record'!E433</f>
        <v>0</v>
      </c>
      <c r="H431" s="23">
        <f t="shared" si="50"/>
        <v>1</v>
      </c>
      <c r="I431" s="23">
        <f t="shared" si="53"/>
        <v>0</v>
      </c>
      <c r="J431" s="43" t="e">
        <f t="shared" si="54"/>
        <v>#N/A</v>
      </c>
      <c r="K431" s="23">
        <f>'Leave Record'!F433</f>
        <v>0</v>
      </c>
    </row>
    <row r="432" spans="1:11" x14ac:dyDescent="0.25">
      <c r="A432" s="38">
        <f t="shared" si="51"/>
        <v>1</v>
      </c>
      <c r="B432" s="38">
        <f>IF(K432=$P$15,$M$4,IF(K432=$P$13,'Leave Entry'!$B$4,F432-1))</f>
        <v>-1</v>
      </c>
      <c r="C432" s="23">
        <f t="shared" si="48"/>
        <v>-1</v>
      </c>
      <c r="D432" s="43">
        <f t="shared" si="49"/>
        <v>-9.0909090909090912E-2</v>
      </c>
      <c r="E432" s="43" t="e">
        <f t="shared" si="52"/>
        <v>#N/A</v>
      </c>
      <c r="F432" s="38">
        <f>'Leave Record'!D434</f>
        <v>0</v>
      </c>
      <c r="G432" s="38">
        <f>'Leave Record'!E434</f>
        <v>0</v>
      </c>
      <c r="H432" s="23">
        <f t="shared" si="50"/>
        <v>1</v>
      </c>
      <c r="I432" s="23">
        <f t="shared" si="53"/>
        <v>0</v>
      </c>
      <c r="J432" s="43" t="e">
        <f t="shared" si="54"/>
        <v>#N/A</v>
      </c>
      <c r="K432" s="23">
        <f>'Leave Record'!F434</f>
        <v>0</v>
      </c>
    </row>
    <row r="433" spans="1:11" x14ac:dyDescent="0.25">
      <c r="A433" s="38">
        <f t="shared" si="51"/>
        <v>1</v>
      </c>
      <c r="B433" s="38">
        <f>IF(K433=$P$15,$M$4,IF(K433=$P$13,'Leave Entry'!$B$4,F433-1))</f>
        <v>-1</v>
      </c>
      <c r="C433" s="23">
        <f t="shared" si="48"/>
        <v>-1</v>
      </c>
      <c r="D433" s="43">
        <f t="shared" si="49"/>
        <v>-9.0909090909090912E-2</v>
      </c>
      <c r="E433" s="43" t="e">
        <f t="shared" si="52"/>
        <v>#N/A</v>
      </c>
      <c r="F433" s="38">
        <f>'Leave Record'!D435</f>
        <v>0</v>
      </c>
      <c r="G433" s="38">
        <f>'Leave Record'!E435</f>
        <v>0</v>
      </c>
      <c r="H433" s="23">
        <f t="shared" si="50"/>
        <v>1</v>
      </c>
      <c r="I433" s="23">
        <f t="shared" si="53"/>
        <v>0</v>
      </c>
      <c r="J433" s="43" t="e">
        <f t="shared" si="54"/>
        <v>#N/A</v>
      </c>
      <c r="K433" s="23">
        <f>'Leave Record'!F435</f>
        <v>0</v>
      </c>
    </row>
    <row r="434" spans="1:11" x14ac:dyDescent="0.25">
      <c r="A434" s="38">
        <f t="shared" si="51"/>
        <v>1</v>
      </c>
      <c r="B434" s="38">
        <f>IF(K434=$P$15,$M$4,IF(K434=$P$13,'Leave Entry'!$B$4,F434-1))</f>
        <v>-1</v>
      </c>
      <c r="C434" s="23">
        <f t="shared" si="48"/>
        <v>-1</v>
      </c>
      <c r="D434" s="43">
        <f t="shared" si="49"/>
        <v>-9.0909090909090912E-2</v>
      </c>
      <c r="E434" s="43" t="e">
        <f t="shared" si="52"/>
        <v>#N/A</v>
      </c>
      <c r="F434" s="38">
        <f>'Leave Record'!D436</f>
        <v>0</v>
      </c>
      <c r="G434" s="38">
        <f>'Leave Record'!E436</f>
        <v>0</v>
      </c>
      <c r="H434" s="23">
        <f t="shared" si="50"/>
        <v>1</v>
      </c>
      <c r="I434" s="23">
        <f t="shared" si="53"/>
        <v>0</v>
      </c>
      <c r="J434" s="43" t="e">
        <f t="shared" si="54"/>
        <v>#N/A</v>
      </c>
      <c r="K434" s="23">
        <f>'Leave Record'!F436</f>
        <v>0</v>
      </c>
    </row>
    <row r="435" spans="1:11" x14ac:dyDescent="0.25">
      <c r="A435" s="38">
        <f t="shared" si="51"/>
        <v>1</v>
      </c>
      <c r="B435" s="38">
        <f>IF(K435=$P$15,$M$4,IF(K435=$P$13,'Leave Entry'!$B$4,F435-1))</f>
        <v>-1</v>
      </c>
      <c r="C435" s="23">
        <f t="shared" si="48"/>
        <v>-1</v>
      </c>
      <c r="D435" s="43">
        <f t="shared" si="49"/>
        <v>-9.0909090909090912E-2</v>
      </c>
      <c r="E435" s="43" t="e">
        <f t="shared" si="52"/>
        <v>#N/A</v>
      </c>
      <c r="F435" s="38">
        <f>'Leave Record'!D437</f>
        <v>0</v>
      </c>
      <c r="G435" s="38">
        <f>'Leave Record'!E437</f>
        <v>0</v>
      </c>
      <c r="H435" s="23">
        <f t="shared" si="50"/>
        <v>1</v>
      </c>
      <c r="I435" s="23">
        <f t="shared" si="53"/>
        <v>0</v>
      </c>
      <c r="J435" s="43" t="e">
        <f t="shared" si="54"/>
        <v>#N/A</v>
      </c>
      <c r="K435" s="23">
        <f>'Leave Record'!F437</f>
        <v>0</v>
      </c>
    </row>
    <row r="436" spans="1:11" x14ac:dyDescent="0.25">
      <c r="A436" s="38">
        <f t="shared" si="51"/>
        <v>1</v>
      </c>
      <c r="B436" s="38">
        <f>IF(K436=$P$15,$M$4,IF(K436=$P$13,'Leave Entry'!$B$4,F436-1))</f>
        <v>-1</v>
      </c>
      <c r="C436" s="23">
        <f t="shared" si="48"/>
        <v>-1</v>
      </c>
      <c r="D436" s="43">
        <f t="shared" si="49"/>
        <v>-9.0909090909090912E-2</v>
      </c>
      <c r="E436" s="43" t="e">
        <f t="shared" si="52"/>
        <v>#N/A</v>
      </c>
      <c r="F436" s="38">
        <f>'Leave Record'!D438</f>
        <v>0</v>
      </c>
      <c r="G436" s="38">
        <f>'Leave Record'!E438</f>
        <v>0</v>
      </c>
      <c r="H436" s="23">
        <f t="shared" si="50"/>
        <v>1</v>
      </c>
      <c r="I436" s="23">
        <f t="shared" si="53"/>
        <v>0</v>
      </c>
      <c r="J436" s="43" t="e">
        <f t="shared" si="54"/>
        <v>#N/A</v>
      </c>
      <c r="K436" s="23">
        <f>'Leave Record'!F438</f>
        <v>0</v>
      </c>
    </row>
    <row r="437" spans="1:11" x14ac:dyDescent="0.25">
      <c r="A437" s="38">
        <f t="shared" si="51"/>
        <v>1</v>
      </c>
      <c r="B437" s="38">
        <f>IF(K437=$P$15,$M$4,IF(K437=$P$13,'Leave Entry'!$B$4,F437-1))</f>
        <v>-1</v>
      </c>
      <c r="C437" s="23">
        <f t="shared" si="48"/>
        <v>-1</v>
      </c>
      <c r="D437" s="43">
        <f t="shared" si="49"/>
        <v>-9.0909090909090912E-2</v>
      </c>
      <c r="E437" s="43" t="e">
        <f t="shared" si="52"/>
        <v>#N/A</v>
      </c>
      <c r="F437" s="38">
        <f>'Leave Record'!D439</f>
        <v>0</v>
      </c>
      <c r="G437" s="38">
        <f>'Leave Record'!E439</f>
        <v>0</v>
      </c>
      <c r="H437" s="23">
        <f t="shared" si="50"/>
        <v>1</v>
      </c>
      <c r="I437" s="23">
        <f t="shared" si="53"/>
        <v>0</v>
      </c>
      <c r="J437" s="43" t="e">
        <f t="shared" si="54"/>
        <v>#N/A</v>
      </c>
      <c r="K437" s="23">
        <f>'Leave Record'!F439</f>
        <v>0</v>
      </c>
    </row>
    <row r="438" spans="1:11" x14ac:dyDescent="0.25">
      <c r="A438" s="38">
        <f t="shared" si="51"/>
        <v>1</v>
      </c>
      <c r="B438" s="38">
        <f>IF(K438=$P$15,$M$4,IF(K438=$P$13,'Leave Entry'!$B$4,F438-1))</f>
        <v>-1</v>
      </c>
      <c r="C438" s="23">
        <f t="shared" si="48"/>
        <v>-1</v>
      </c>
      <c r="D438" s="43">
        <f t="shared" si="49"/>
        <v>-9.0909090909090912E-2</v>
      </c>
      <c r="E438" s="43" t="e">
        <f t="shared" si="52"/>
        <v>#N/A</v>
      </c>
      <c r="F438" s="38">
        <f>'Leave Record'!D440</f>
        <v>0</v>
      </c>
      <c r="G438" s="38">
        <f>'Leave Record'!E440</f>
        <v>0</v>
      </c>
      <c r="H438" s="23">
        <f t="shared" si="50"/>
        <v>1</v>
      </c>
      <c r="I438" s="23">
        <f t="shared" si="53"/>
        <v>0</v>
      </c>
      <c r="J438" s="43" t="e">
        <f t="shared" si="54"/>
        <v>#N/A</v>
      </c>
      <c r="K438" s="23">
        <f>'Leave Record'!F440</f>
        <v>0</v>
      </c>
    </row>
    <row r="439" spans="1:11" x14ac:dyDescent="0.25">
      <c r="A439" s="38">
        <f t="shared" si="51"/>
        <v>1</v>
      </c>
      <c r="B439" s="38">
        <f>IF(K439=$P$15,$M$4,IF(K439=$P$13,'Leave Entry'!$B$4,F439-1))</f>
        <v>-1</v>
      </c>
      <c r="C439" s="23">
        <f t="shared" si="48"/>
        <v>-1</v>
      </c>
      <c r="D439" s="43">
        <f t="shared" si="49"/>
        <v>-9.0909090909090912E-2</v>
      </c>
      <c r="E439" s="43" t="e">
        <f t="shared" si="52"/>
        <v>#N/A</v>
      </c>
      <c r="F439" s="38">
        <f>'Leave Record'!D441</f>
        <v>0</v>
      </c>
      <c r="G439" s="38">
        <f>'Leave Record'!E441</f>
        <v>0</v>
      </c>
      <c r="H439" s="23">
        <f t="shared" si="50"/>
        <v>1</v>
      </c>
      <c r="I439" s="23">
        <f t="shared" si="53"/>
        <v>0</v>
      </c>
      <c r="J439" s="43" t="e">
        <f t="shared" si="54"/>
        <v>#N/A</v>
      </c>
      <c r="K439" s="23">
        <f>'Leave Record'!F441</f>
        <v>0</v>
      </c>
    </row>
    <row r="440" spans="1:11" x14ac:dyDescent="0.25">
      <c r="A440" s="38">
        <f t="shared" si="51"/>
        <v>1</v>
      </c>
      <c r="B440" s="38">
        <f>IF(K440=$P$15,$M$4,IF(K440=$P$13,'Leave Entry'!$B$4,F440-1))</f>
        <v>-1</v>
      </c>
      <c r="C440" s="23">
        <f t="shared" si="48"/>
        <v>-1</v>
      </c>
      <c r="D440" s="43">
        <f t="shared" si="49"/>
        <v>-9.0909090909090912E-2</v>
      </c>
      <c r="E440" s="43" t="e">
        <f t="shared" si="52"/>
        <v>#N/A</v>
      </c>
      <c r="F440" s="38">
        <f>'Leave Record'!D442</f>
        <v>0</v>
      </c>
      <c r="G440" s="38">
        <f>'Leave Record'!E442</f>
        <v>0</v>
      </c>
      <c r="H440" s="23">
        <f t="shared" si="50"/>
        <v>1</v>
      </c>
      <c r="I440" s="23">
        <f t="shared" si="53"/>
        <v>0</v>
      </c>
      <c r="J440" s="43" t="e">
        <f t="shared" si="54"/>
        <v>#N/A</v>
      </c>
      <c r="K440" s="23">
        <f>'Leave Record'!F442</f>
        <v>0</v>
      </c>
    </row>
    <row r="441" spans="1:11" x14ac:dyDescent="0.25">
      <c r="A441" s="38">
        <f t="shared" si="51"/>
        <v>1</v>
      </c>
      <c r="B441" s="38">
        <f>IF(K441=$P$15,$M$4,IF(K441=$P$13,'Leave Entry'!$B$4,F441-1))</f>
        <v>-1</v>
      </c>
      <c r="C441" s="23">
        <f t="shared" si="48"/>
        <v>-1</v>
      </c>
      <c r="D441" s="43">
        <f t="shared" si="49"/>
        <v>-9.0909090909090912E-2</v>
      </c>
      <c r="E441" s="43" t="e">
        <f t="shared" si="52"/>
        <v>#N/A</v>
      </c>
      <c r="F441" s="38">
        <f>'Leave Record'!D443</f>
        <v>0</v>
      </c>
      <c r="G441" s="38">
        <f>'Leave Record'!E443</f>
        <v>0</v>
      </c>
      <c r="H441" s="23">
        <f t="shared" si="50"/>
        <v>1</v>
      </c>
      <c r="I441" s="23">
        <f t="shared" si="53"/>
        <v>0</v>
      </c>
      <c r="J441" s="43" t="e">
        <f t="shared" si="54"/>
        <v>#N/A</v>
      </c>
      <c r="K441" s="23">
        <f>'Leave Record'!F443</f>
        <v>0</v>
      </c>
    </row>
    <row r="442" spans="1:11" x14ac:dyDescent="0.25">
      <c r="A442" s="38">
        <f t="shared" si="51"/>
        <v>1</v>
      </c>
      <c r="B442" s="38">
        <f>IF(K442=$P$15,$M$4,IF(K442=$P$13,'Leave Entry'!$B$4,F442-1))</f>
        <v>-1</v>
      </c>
      <c r="C442" s="23">
        <f t="shared" si="48"/>
        <v>-1</v>
      </c>
      <c r="D442" s="43">
        <f t="shared" si="49"/>
        <v>-9.0909090909090912E-2</v>
      </c>
      <c r="E442" s="43" t="e">
        <f t="shared" si="52"/>
        <v>#N/A</v>
      </c>
      <c r="F442" s="38">
        <f>'Leave Record'!D444</f>
        <v>0</v>
      </c>
      <c r="G442" s="38">
        <f>'Leave Record'!E444</f>
        <v>0</v>
      </c>
      <c r="H442" s="23">
        <f t="shared" si="50"/>
        <v>1</v>
      </c>
      <c r="I442" s="23">
        <f t="shared" si="53"/>
        <v>0</v>
      </c>
      <c r="J442" s="43" t="e">
        <f t="shared" si="54"/>
        <v>#N/A</v>
      </c>
      <c r="K442" s="23">
        <f>'Leave Record'!F444</f>
        <v>0</v>
      </c>
    </row>
    <row r="443" spans="1:11" x14ac:dyDescent="0.25">
      <c r="A443" s="38">
        <f t="shared" si="51"/>
        <v>1</v>
      </c>
      <c r="B443" s="38">
        <f>IF(K443=$P$15,$M$4,IF(K443=$P$13,'Leave Entry'!$B$4,F443-1))</f>
        <v>-1</v>
      </c>
      <c r="C443" s="23">
        <f t="shared" si="48"/>
        <v>-1</v>
      </c>
      <c r="D443" s="43">
        <f t="shared" si="49"/>
        <v>-9.0909090909090912E-2</v>
      </c>
      <c r="E443" s="43" t="e">
        <f t="shared" si="52"/>
        <v>#N/A</v>
      </c>
      <c r="F443" s="38">
        <f>'Leave Record'!D445</f>
        <v>0</v>
      </c>
      <c r="G443" s="38">
        <f>'Leave Record'!E445</f>
        <v>0</v>
      </c>
      <c r="H443" s="23">
        <f t="shared" si="50"/>
        <v>1</v>
      </c>
      <c r="I443" s="23">
        <f t="shared" si="53"/>
        <v>0</v>
      </c>
      <c r="J443" s="43" t="e">
        <f t="shared" si="54"/>
        <v>#N/A</v>
      </c>
      <c r="K443" s="23">
        <f>'Leave Record'!F445</f>
        <v>0</v>
      </c>
    </row>
    <row r="444" spans="1:11" x14ac:dyDescent="0.25">
      <c r="A444" s="38">
        <f t="shared" si="51"/>
        <v>1</v>
      </c>
      <c r="B444" s="38">
        <f>IF(K444=$P$15,$M$4,IF(K444=$P$13,'Leave Entry'!$B$4,F444-1))</f>
        <v>-1</v>
      </c>
      <c r="C444" s="23">
        <f t="shared" si="48"/>
        <v>-1</v>
      </c>
      <c r="D444" s="43">
        <f t="shared" si="49"/>
        <v>-9.0909090909090912E-2</v>
      </c>
      <c r="E444" s="43" t="e">
        <f t="shared" si="52"/>
        <v>#N/A</v>
      </c>
      <c r="F444" s="38">
        <f>'Leave Record'!D446</f>
        <v>0</v>
      </c>
      <c r="G444" s="38">
        <f>'Leave Record'!E446</f>
        <v>0</v>
      </c>
      <c r="H444" s="23">
        <f t="shared" si="50"/>
        <v>1</v>
      </c>
      <c r="I444" s="23">
        <f t="shared" si="53"/>
        <v>0</v>
      </c>
      <c r="J444" s="43" t="e">
        <f t="shared" si="54"/>
        <v>#N/A</v>
      </c>
      <c r="K444" s="23">
        <f>'Leave Record'!F446</f>
        <v>0</v>
      </c>
    </row>
    <row r="445" spans="1:11" x14ac:dyDescent="0.25">
      <c r="A445" s="38">
        <f t="shared" si="51"/>
        <v>1</v>
      </c>
      <c r="B445" s="38">
        <f>IF(K445=$P$15,$M$4,IF(K445=$P$13,'Leave Entry'!$B$4,F445-1))</f>
        <v>-1</v>
      </c>
      <c r="C445" s="23">
        <f t="shared" si="48"/>
        <v>-1</v>
      </c>
      <c r="D445" s="43">
        <f t="shared" si="49"/>
        <v>-9.0909090909090912E-2</v>
      </c>
      <c r="E445" s="43" t="e">
        <f t="shared" si="52"/>
        <v>#N/A</v>
      </c>
      <c r="F445" s="38">
        <f>'Leave Record'!D447</f>
        <v>0</v>
      </c>
      <c r="G445" s="38">
        <f>'Leave Record'!E447</f>
        <v>0</v>
      </c>
      <c r="H445" s="23">
        <f t="shared" si="50"/>
        <v>1</v>
      </c>
      <c r="I445" s="23">
        <f t="shared" si="53"/>
        <v>0</v>
      </c>
      <c r="J445" s="43" t="e">
        <f t="shared" si="54"/>
        <v>#N/A</v>
      </c>
      <c r="K445" s="23">
        <f>'Leave Record'!F447</f>
        <v>0</v>
      </c>
    </row>
    <row r="446" spans="1:11" x14ac:dyDescent="0.25">
      <c r="A446" s="38">
        <f t="shared" si="51"/>
        <v>1</v>
      </c>
      <c r="B446" s="38">
        <f>IF(K446=$P$15,$M$4,IF(K446=$P$13,'Leave Entry'!$B$4,F446-1))</f>
        <v>-1</v>
      </c>
      <c r="C446" s="23">
        <f t="shared" si="48"/>
        <v>-1</v>
      </c>
      <c r="D446" s="43">
        <f t="shared" si="49"/>
        <v>-9.0909090909090912E-2</v>
      </c>
      <c r="E446" s="43" t="e">
        <f t="shared" si="52"/>
        <v>#N/A</v>
      </c>
      <c r="F446" s="38">
        <f>'Leave Record'!D448</f>
        <v>0</v>
      </c>
      <c r="G446" s="38">
        <f>'Leave Record'!E448</f>
        <v>0</v>
      </c>
      <c r="H446" s="23">
        <f t="shared" si="50"/>
        <v>1</v>
      </c>
      <c r="I446" s="23">
        <f t="shared" si="53"/>
        <v>0</v>
      </c>
      <c r="J446" s="43" t="e">
        <f t="shared" si="54"/>
        <v>#N/A</v>
      </c>
      <c r="K446" s="23">
        <f>'Leave Record'!F448</f>
        <v>0</v>
      </c>
    </row>
    <row r="447" spans="1:11" x14ac:dyDescent="0.25">
      <c r="A447" s="38">
        <f t="shared" si="51"/>
        <v>1</v>
      </c>
      <c r="B447" s="38">
        <f>IF(K447=$P$15,$M$4,IF(K447=$P$13,'Leave Entry'!$B$4,F447-1))</f>
        <v>-1</v>
      </c>
      <c r="C447" s="23">
        <f t="shared" si="48"/>
        <v>-1</v>
      </c>
      <c r="D447" s="43">
        <f t="shared" si="49"/>
        <v>-9.0909090909090912E-2</v>
      </c>
      <c r="E447" s="43" t="e">
        <f t="shared" si="52"/>
        <v>#N/A</v>
      </c>
      <c r="F447" s="38">
        <f>'Leave Record'!D449</f>
        <v>0</v>
      </c>
      <c r="G447" s="38">
        <f>'Leave Record'!E449</f>
        <v>0</v>
      </c>
      <c r="H447" s="23">
        <f t="shared" si="50"/>
        <v>1</v>
      </c>
      <c r="I447" s="23">
        <f t="shared" si="53"/>
        <v>0</v>
      </c>
      <c r="J447" s="43" t="e">
        <f t="shared" si="54"/>
        <v>#N/A</v>
      </c>
      <c r="K447" s="23">
        <f>'Leave Record'!F449</f>
        <v>0</v>
      </c>
    </row>
    <row r="448" spans="1:11" x14ac:dyDescent="0.25">
      <c r="A448" s="38">
        <f t="shared" si="51"/>
        <v>1</v>
      </c>
      <c r="B448" s="38">
        <f>IF(K448=$P$15,$M$4,IF(K448=$P$13,'Leave Entry'!$B$4,F448-1))</f>
        <v>-1</v>
      </c>
      <c r="C448" s="23">
        <f t="shared" si="48"/>
        <v>-1</v>
      </c>
      <c r="D448" s="43">
        <f t="shared" si="49"/>
        <v>-9.0909090909090912E-2</v>
      </c>
      <c r="E448" s="43" t="e">
        <f t="shared" si="52"/>
        <v>#N/A</v>
      </c>
      <c r="F448" s="38">
        <f>'Leave Record'!D450</f>
        <v>0</v>
      </c>
      <c r="G448" s="38">
        <f>'Leave Record'!E450</f>
        <v>0</v>
      </c>
      <c r="H448" s="23">
        <f t="shared" si="50"/>
        <v>1</v>
      </c>
      <c r="I448" s="23">
        <f t="shared" si="53"/>
        <v>0</v>
      </c>
      <c r="J448" s="43" t="e">
        <f t="shared" si="54"/>
        <v>#N/A</v>
      </c>
      <c r="K448" s="23">
        <f>'Leave Record'!F450</f>
        <v>0</v>
      </c>
    </row>
    <row r="449" spans="1:11" x14ac:dyDescent="0.25">
      <c r="A449" s="38">
        <f t="shared" si="51"/>
        <v>1</v>
      </c>
      <c r="B449" s="38">
        <f>IF(K449=$P$15,$M$4,IF(K449=$P$13,'Leave Entry'!$B$4,F449-1))</f>
        <v>-1</v>
      </c>
      <c r="C449" s="23">
        <f t="shared" si="48"/>
        <v>-1</v>
      </c>
      <c r="D449" s="43">
        <f t="shared" si="49"/>
        <v>-9.0909090909090912E-2</v>
      </c>
      <c r="E449" s="43" t="e">
        <f t="shared" si="52"/>
        <v>#N/A</v>
      </c>
      <c r="F449" s="38">
        <f>'Leave Record'!D451</f>
        <v>0</v>
      </c>
      <c r="G449" s="38">
        <f>'Leave Record'!E451</f>
        <v>0</v>
      </c>
      <c r="H449" s="23">
        <f t="shared" si="50"/>
        <v>1</v>
      </c>
      <c r="I449" s="23">
        <f t="shared" si="53"/>
        <v>0</v>
      </c>
      <c r="J449" s="43" t="e">
        <f t="shared" si="54"/>
        <v>#N/A</v>
      </c>
      <c r="K449" s="23">
        <f>'Leave Record'!F451</f>
        <v>0</v>
      </c>
    </row>
    <row r="450" spans="1:11" x14ac:dyDescent="0.25">
      <c r="A450" s="38">
        <f t="shared" si="51"/>
        <v>1</v>
      </c>
      <c r="B450" s="38">
        <f>IF(K450=$P$15,$M$4,IF(K450=$P$13,'Leave Entry'!$B$4,F450-1))</f>
        <v>-1</v>
      </c>
      <c r="C450" s="23">
        <f t="shared" si="48"/>
        <v>-1</v>
      </c>
      <c r="D450" s="43">
        <f t="shared" si="49"/>
        <v>-9.0909090909090912E-2</v>
      </c>
      <c r="E450" s="43" t="e">
        <f t="shared" si="52"/>
        <v>#N/A</v>
      </c>
      <c r="F450" s="38">
        <f>'Leave Record'!D452</f>
        <v>0</v>
      </c>
      <c r="G450" s="38">
        <f>'Leave Record'!E452</f>
        <v>0</v>
      </c>
      <c r="H450" s="23">
        <f t="shared" si="50"/>
        <v>1</v>
      </c>
      <c r="I450" s="23">
        <f t="shared" si="53"/>
        <v>0</v>
      </c>
      <c r="J450" s="43" t="e">
        <f t="shared" si="54"/>
        <v>#N/A</v>
      </c>
      <c r="K450" s="23">
        <f>'Leave Record'!F452</f>
        <v>0</v>
      </c>
    </row>
    <row r="451" spans="1:11" x14ac:dyDescent="0.25">
      <c r="A451" s="38">
        <f t="shared" si="51"/>
        <v>1</v>
      </c>
      <c r="B451" s="38">
        <f>IF(K451=$P$15,$M$4,IF(K451=$P$13,'Leave Entry'!$B$4,F451-1))</f>
        <v>-1</v>
      </c>
      <c r="C451" s="23">
        <f t="shared" si="48"/>
        <v>-1</v>
      </c>
      <c r="D451" s="43">
        <f t="shared" si="49"/>
        <v>-9.0909090909090912E-2</v>
      </c>
      <c r="E451" s="43" t="e">
        <f t="shared" si="52"/>
        <v>#N/A</v>
      </c>
      <c r="F451" s="38">
        <f>'Leave Record'!D453</f>
        <v>0</v>
      </c>
      <c r="G451" s="38">
        <f>'Leave Record'!E453</f>
        <v>0</v>
      </c>
      <c r="H451" s="23">
        <f t="shared" si="50"/>
        <v>1</v>
      </c>
      <c r="I451" s="23">
        <f t="shared" si="53"/>
        <v>0</v>
      </c>
      <c r="J451" s="43" t="e">
        <f t="shared" si="54"/>
        <v>#N/A</v>
      </c>
      <c r="K451" s="23">
        <f>'Leave Record'!F453</f>
        <v>0</v>
      </c>
    </row>
    <row r="452" spans="1:11" x14ac:dyDescent="0.25">
      <c r="A452" s="38">
        <f t="shared" si="51"/>
        <v>1</v>
      </c>
      <c r="B452" s="38">
        <f>IF(K452=$P$15,$M$4,IF(K452=$P$13,'Leave Entry'!$B$4,F452-1))</f>
        <v>-1</v>
      </c>
      <c r="C452" s="23">
        <f t="shared" si="48"/>
        <v>-1</v>
      </c>
      <c r="D452" s="43">
        <f t="shared" si="49"/>
        <v>-9.0909090909090912E-2</v>
      </c>
      <c r="E452" s="43" t="e">
        <f t="shared" si="52"/>
        <v>#N/A</v>
      </c>
      <c r="F452" s="38">
        <f>'Leave Record'!D454</f>
        <v>0</v>
      </c>
      <c r="G452" s="38">
        <f>'Leave Record'!E454</f>
        <v>0</v>
      </c>
      <c r="H452" s="23">
        <f t="shared" si="50"/>
        <v>1</v>
      </c>
      <c r="I452" s="23">
        <f t="shared" si="53"/>
        <v>0</v>
      </c>
      <c r="J452" s="43" t="e">
        <f t="shared" si="54"/>
        <v>#N/A</v>
      </c>
      <c r="K452" s="23">
        <f>'Leave Record'!F454</f>
        <v>0</v>
      </c>
    </row>
    <row r="453" spans="1:11" x14ac:dyDescent="0.25">
      <c r="A453" s="38">
        <f t="shared" si="51"/>
        <v>1</v>
      </c>
      <c r="B453" s="38">
        <f>IF(K453=$P$15,$M$4,IF(K453=$P$13,'Leave Entry'!$B$4,F453-1))</f>
        <v>-1</v>
      </c>
      <c r="C453" s="23">
        <f t="shared" si="48"/>
        <v>-1</v>
      </c>
      <c r="D453" s="43">
        <f t="shared" si="49"/>
        <v>-9.0909090909090912E-2</v>
      </c>
      <c r="E453" s="43" t="e">
        <f t="shared" si="52"/>
        <v>#N/A</v>
      </c>
      <c r="F453" s="38">
        <f>'Leave Record'!D455</f>
        <v>0</v>
      </c>
      <c r="G453" s="38">
        <f>'Leave Record'!E455</f>
        <v>0</v>
      </c>
      <c r="H453" s="23">
        <f t="shared" si="50"/>
        <v>1</v>
      </c>
      <c r="I453" s="23">
        <f t="shared" si="53"/>
        <v>0</v>
      </c>
      <c r="J453" s="43" t="e">
        <f t="shared" si="54"/>
        <v>#N/A</v>
      </c>
      <c r="K453" s="23">
        <f>'Leave Record'!F455</f>
        <v>0</v>
      </c>
    </row>
    <row r="454" spans="1:11" x14ac:dyDescent="0.25">
      <c r="A454" s="38">
        <f t="shared" si="51"/>
        <v>1</v>
      </c>
      <c r="B454" s="38">
        <f>IF(K454=$P$15,$M$4,IF(K454=$P$13,'Leave Entry'!$B$4,F454-1))</f>
        <v>-1</v>
      </c>
      <c r="C454" s="23">
        <f t="shared" ref="C454:C500" si="55">B454-A454+1</f>
        <v>-1</v>
      </c>
      <c r="D454" s="43">
        <f t="shared" ref="D454:D500" si="56">C454/11</f>
        <v>-9.0909090909090912E-2</v>
      </c>
      <c r="E454" s="43" t="e">
        <f t="shared" si="52"/>
        <v>#N/A</v>
      </c>
      <c r="F454" s="38">
        <f>'Leave Record'!D456</f>
        <v>0</v>
      </c>
      <c r="G454" s="38">
        <f>'Leave Record'!E456</f>
        <v>0</v>
      </c>
      <c r="H454" s="23">
        <f t="shared" ref="H454:H500" si="57">G454-F454+1</f>
        <v>1</v>
      </c>
      <c r="I454" s="23">
        <f t="shared" si="53"/>
        <v>0</v>
      </c>
      <c r="J454" s="43" t="e">
        <f t="shared" si="54"/>
        <v>#N/A</v>
      </c>
      <c r="K454" s="23">
        <f>'Leave Record'!F456</f>
        <v>0</v>
      </c>
    </row>
    <row r="455" spans="1:11" x14ac:dyDescent="0.25">
      <c r="A455" s="38">
        <f t="shared" si="51"/>
        <v>1</v>
      </c>
      <c r="B455" s="38">
        <f>IF(K455=$P$15,$M$4,IF(K455=$P$13,'Leave Entry'!$B$4,F455-1))</f>
        <v>-1</v>
      </c>
      <c r="C455" s="23">
        <f t="shared" si="55"/>
        <v>-1</v>
      </c>
      <c r="D455" s="43">
        <f t="shared" si="56"/>
        <v>-9.0909090909090912E-2</v>
      </c>
      <c r="E455" s="43" t="e">
        <f t="shared" si="52"/>
        <v>#N/A</v>
      </c>
      <c r="F455" s="38">
        <f>'Leave Record'!D457</f>
        <v>0</v>
      </c>
      <c r="G455" s="38">
        <f>'Leave Record'!E457</f>
        <v>0</v>
      </c>
      <c r="H455" s="23">
        <f t="shared" si="57"/>
        <v>1</v>
      </c>
      <c r="I455" s="23">
        <f t="shared" si="53"/>
        <v>0</v>
      </c>
      <c r="J455" s="43" t="e">
        <f t="shared" si="54"/>
        <v>#N/A</v>
      </c>
      <c r="K455" s="23">
        <f>'Leave Record'!F457</f>
        <v>0</v>
      </c>
    </row>
    <row r="456" spans="1:11" x14ac:dyDescent="0.25">
      <c r="A456" s="38">
        <f t="shared" si="51"/>
        <v>1</v>
      </c>
      <c r="B456" s="38">
        <f>IF(K456=$P$15,$M$4,IF(K456=$P$13,'Leave Entry'!$B$4,F456-1))</f>
        <v>-1</v>
      </c>
      <c r="C456" s="23">
        <f t="shared" si="55"/>
        <v>-1</v>
      </c>
      <c r="D456" s="43">
        <f t="shared" si="56"/>
        <v>-9.0909090909090912E-2</v>
      </c>
      <c r="E456" s="43" t="e">
        <f t="shared" si="52"/>
        <v>#N/A</v>
      </c>
      <c r="F456" s="38">
        <f>'Leave Record'!D458</f>
        <v>0</v>
      </c>
      <c r="G456" s="38">
        <f>'Leave Record'!E458</f>
        <v>0</v>
      </c>
      <c r="H456" s="23">
        <f t="shared" si="57"/>
        <v>1</v>
      </c>
      <c r="I456" s="23">
        <f t="shared" si="53"/>
        <v>0</v>
      </c>
      <c r="J456" s="43" t="e">
        <f t="shared" si="54"/>
        <v>#N/A</v>
      </c>
      <c r="K456" s="23">
        <f>'Leave Record'!F458</f>
        <v>0</v>
      </c>
    </row>
    <row r="457" spans="1:11" x14ac:dyDescent="0.25">
      <c r="A457" s="38">
        <f t="shared" ref="A457:A500" si="58">G456+1</f>
        <v>1</v>
      </c>
      <c r="B457" s="38">
        <f>IF(K457=$P$15,$M$4,IF(K457=$P$13,'Leave Entry'!$B$4,F457-1))</f>
        <v>-1</v>
      </c>
      <c r="C457" s="23">
        <f t="shared" si="55"/>
        <v>-1</v>
      </c>
      <c r="D457" s="43">
        <f t="shared" si="56"/>
        <v>-9.0909090909090912E-2</v>
      </c>
      <c r="E457" s="43" t="e">
        <f t="shared" ref="E457:E500" si="59">J456+D457</f>
        <v>#N/A</v>
      </c>
      <c r="F457" s="38">
        <f>'Leave Record'!D459</f>
        <v>0</v>
      </c>
      <c r="G457" s="38">
        <f>'Leave Record'!E459</f>
        <v>0</v>
      </c>
      <c r="H457" s="23">
        <f t="shared" si="57"/>
        <v>1</v>
      </c>
      <c r="I457" s="23">
        <f t="shared" ref="I457:I500" si="60">IF(K457=$P$14,H457,0)</f>
        <v>0</v>
      </c>
      <c r="J457" s="43" t="e">
        <f t="shared" ref="J457:J500" si="61">E457-I457</f>
        <v>#N/A</v>
      </c>
      <c r="K457" s="23">
        <f>'Leave Record'!F459</f>
        <v>0</v>
      </c>
    </row>
    <row r="458" spans="1:11" x14ac:dyDescent="0.25">
      <c r="A458" s="38">
        <f t="shared" si="58"/>
        <v>1</v>
      </c>
      <c r="B458" s="38">
        <f>IF(K458=$P$15,$M$4,IF(K458=$P$13,'Leave Entry'!$B$4,F458-1))</f>
        <v>-1</v>
      </c>
      <c r="C458" s="23">
        <f t="shared" si="55"/>
        <v>-1</v>
      </c>
      <c r="D458" s="43">
        <f t="shared" si="56"/>
        <v>-9.0909090909090912E-2</v>
      </c>
      <c r="E458" s="43" t="e">
        <f t="shared" si="59"/>
        <v>#N/A</v>
      </c>
      <c r="F458" s="38">
        <f>'Leave Record'!D460</f>
        <v>0</v>
      </c>
      <c r="G458" s="38">
        <f>'Leave Record'!E460</f>
        <v>0</v>
      </c>
      <c r="H458" s="23">
        <f t="shared" si="57"/>
        <v>1</v>
      </c>
      <c r="I458" s="23">
        <f t="shared" si="60"/>
        <v>0</v>
      </c>
      <c r="J458" s="43" t="e">
        <f t="shared" si="61"/>
        <v>#N/A</v>
      </c>
      <c r="K458" s="23">
        <f>'Leave Record'!F460</f>
        <v>0</v>
      </c>
    </row>
    <row r="459" spans="1:11" x14ac:dyDescent="0.25">
      <c r="A459" s="38">
        <f t="shared" si="58"/>
        <v>1</v>
      </c>
      <c r="B459" s="38">
        <f>IF(K459=$P$15,$M$4,IF(K459=$P$13,'Leave Entry'!$B$4,F459-1))</f>
        <v>-1</v>
      </c>
      <c r="C459" s="23">
        <f t="shared" si="55"/>
        <v>-1</v>
      </c>
      <c r="D459" s="43">
        <f t="shared" si="56"/>
        <v>-9.0909090909090912E-2</v>
      </c>
      <c r="E459" s="43" t="e">
        <f t="shared" si="59"/>
        <v>#N/A</v>
      </c>
      <c r="F459" s="38">
        <f>'Leave Record'!D461</f>
        <v>0</v>
      </c>
      <c r="G459" s="38">
        <f>'Leave Record'!E461</f>
        <v>0</v>
      </c>
      <c r="H459" s="23">
        <f t="shared" si="57"/>
        <v>1</v>
      </c>
      <c r="I459" s="23">
        <f t="shared" si="60"/>
        <v>0</v>
      </c>
      <c r="J459" s="43" t="e">
        <f t="shared" si="61"/>
        <v>#N/A</v>
      </c>
      <c r="K459" s="23">
        <f>'Leave Record'!F461</f>
        <v>0</v>
      </c>
    </row>
    <row r="460" spans="1:11" x14ac:dyDescent="0.25">
      <c r="A460" s="38">
        <f t="shared" si="58"/>
        <v>1</v>
      </c>
      <c r="B460" s="38">
        <f>IF(K460=$P$15,$M$4,IF(K460=$P$13,'Leave Entry'!$B$4,F460-1))</f>
        <v>-1</v>
      </c>
      <c r="C460" s="23">
        <f t="shared" si="55"/>
        <v>-1</v>
      </c>
      <c r="D460" s="43">
        <f t="shared" si="56"/>
        <v>-9.0909090909090912E-2</v>
      </c>
      <c r="E460" s="43" t="e">
        <f t="shared" si="59"/>
        <v>#N/A</v>
      </c>
      <c r="F460" s="38">
        <f>'Leave Record'!D462</f>
        <v>0</v>
      </c>
      <c r="G460" s="38">
        <f>'Leave Record'!E462</f>
        <v>0</v>
      </c>
      <c r="H460" s="23">
        <f t="shared" si="57"/>
        <v>1</v>
      </c>
      <c r="I460" s="23">
        <f t="shared" si="60"/>
        <v>0</v>
      </c>
      <c r="J460" s="43" t="e">
        <f t="shared" si="61"/>
        <v>#N/A</v>
      </c>
      <c r="K460" s="23">
        <f>'Leave Record'!F462</f>
        <v>0</v>
      </c>
    </row>
    <row r="461" spans="1:11" x14ac:dyDescent="0.25">
      <c r="A461" s="38">
        <f t="shared" si="58"/>
        <v>1</v>
      </c>
      <c r="B461" s="38">
        <f>IF(K461=$P$15,$M$4,IF(K461=$P$13,'Leave Entry'!$B$4,F461-1))</f>
        <v>-1</v>
      </c>
      <c r="C461" s="23">
        <f t="shared" si="55"/>
        <v>-1</v>
      </c>
      <c r="D461" s="43">
        <f t="shared" si="56"/>
        <v>-9.0909090909090912E-2</v>
      </c>
      <c r="E461" s="43" t="e">
        <f t="shared" si="59"/>
        <v>#N/A</v>
      </c>
      <c r="F461" s="38">
        <f>'Leave Record'!D463</f>
        <v>0</v>
      </c>
      <c r="G461" s="38">
        <f>'Leave Record'!E463</f>
        <v>0</v>
      </c>
      <c r="H461" s="23">
        <f t="shared" si="57"/>
        <v>1</v>
      </c>
      <c r="I461" s="23">
        <f t="shared" si="60"/>
        <v>0</v>
      </c>
      <c r="J461" s="43" t="e">
        <f t="shared" si="61"/>
        <v>#N/A</v>
      </c>
      <c r="K461" s="23">
        <f>'Leave Record'!F463</f>
        <v>0</v>
      </c>
    </row>
    <row r="462" spans="1:11" x14ac:dyDescent="0.25">
      <c r="A462" s="38">
        <f t="shared" si="58"/>
        <v>1</v>
      </c>
      <c r="B462" s="38">
        <f>IF(K462=$P$15,$M$4,IF(K462=$P$13,'Leave Entry'!$B$4,F462-1))</f>
        <v>-1</v>
      </c>
      <c r="C462" s="23">
        <f t="shared" si="55"/>
        <v>-1</v>
      </c>
      <c r="D462" s="43">
        <f t="shared" si="56"/>
        <v>-9.0909090909090912E-2</v>
      </c>
      <c r="E462" s="43" t="e">
        <f t="shared" si="59"/>
        <v>#N/A</v>
      </c>
      <c r="F462" s="38">
        <f>'Leave Record'!D464</f>
        <v>0</v>
      </c>
      <c r="G462" s="38">
        <f>'Leave Record'!E464</f>
        <v>0</v>
      </c>
      <c r="H462" s="23">
        <f t="shared" si="57"/>
        <v>1</v>
      </c>
      <c r="I462" s="23">
        <f t="shared" si="60"/>
        <v>0</v>
      </c>
      <c r="J462" s="43" t="e">
        <f t="shared" si="61"/>
        <v>#N/A</v>
      </c>
      <c r="K462" s="23">
        <f>'Leave Record'!F464</f>
        <v>0</v>
      </c>
    </row>
    <row r="463" spans="1:11" x14ac:dyDescent="0.25">
      <c r="A463" s="38">
        <f t="shared" si="58"/>
        <v>1</v>
      </c>
      <c r="B463" s="38">
        <f>IF(K463=$P$15,$M$4,IF(K463=$P$13,'Leave Entry'!$B$4,F463-1))</f>
        <v>-1</v>
      </c>
      <c r="C463" s="23">
        <f t="shared" si="55"/>
        <v>-1</v>
      </c>
      <c r="D463" s="43">
        <f t="shared" si="56"/>
        <v>-9.0909090909090912E-2</v>
      </c>
      <c r="E463" s="43" t="e">
        <f t="shared" si="59"/>
        <v>#N/A</v>
      </c>
      <c r="F463" s="38">
        <f>'Leave Record'!D465</f>
        <v>0</v>
      </c>
      <c r="G463" s="38">
        <f>'Leave Record'!E465</f>
        <v>0</v>
      </c>
      <c r="H463" s="23">
        <f t="shared" si="57"/>
        <v>1</v>
      </c>
      <c r="I463" s="23">
        <f t="shared" si="60"/>
        <v>0</v>
      </c>
      <c r="J463" s="43" t="e">
        <f t="shared" si="61"/>
        <v>#N/A</v>
      </c>
      <c r="K463" s="23">
        <f>'Leave Record'!F465</f>
        <v>0</v>
      </c>
    </row>
    <row r="464" spans="1:11" x14ac:dyDescent="0.25">
      <c r="A464" s="38">
        <f t="shared" si="58"/>
        <v>1</v>
      </c>
      <c r="B464" s="38">
        <f>IF(K464=$P$15,$M$4,IF(K464=$P$13,'Leave Entry'!$B$4,F464-1))</f>
        <v>-1</v>
      </c>
      <c r="C464" s="23">
        <f t="shared" si="55"/>
        <v>-1</v>
      </c>
      <c r="D464" s="43">
        <f t="shared" si="56"/>
        <v>-9.0909090909090912E-2</v>
      </c>
      <c r="E464" s="43" t="e">
        <f t="shared" si="59"/>
        <v>#N/A</v>
      </c>
      <c r="F464" s="38">
        <f>'Leave Record'!D466</f>
        <v>0</v>
      </c>
      <c r="G464" s="38">
        <f>'Leave Record'!E466</f>
        <v>0</v>
      </c>
      <c r="H464" s="23">
        <f t="shared" si="57"/>
        <v>1</v>
      </c>
      <c r="I464" s="23">
        <f t="shared" si="60"/>
        <v>0</v>
      </c>
      <c r="J464" s="43" t="e">
        <f t="shared" si="61"/>
        <v>#N/A</v>
      </c>
      <c r="K464" s="23">
        <f>'Leave Record'!F466</f>
        <v>0</v>
      </c>
    </row>
    <row r="465" spans="1:11" x14ac:dyDescent="0.25">
      <c r="A465" s="38">
        <f t="shared" si="58"/>
        <v>1</v>
      </c>
      <c r="B465" s="38">
        <f>IF(K465=$P$15,$M$4,IF(K465=$P$13,'Leave Entry'!$B$4,F465-1))</f>
        <v>-1</v>
      </c>
      <c r="C465" s="23">
        <f t="shared" si="55"/>
        <v>-1</v>
      </c>
      <c r="D465" s="43">
        <f t="shared" si="56"/>
        <v>-9.0909090909090912E-2</v>
      </c>
      <c r="E465" s="43" t="e">
        <f t="shared" si="59"/>
        <v>#N/A</v>
      </c>
      <c r="F465" s="38">
        <f>'Leave Record'!D467</f>
        <v>0</v>
      </c>
      <c r="G465" s="38">
        <f>'Leave Record'!E467</f>
        <v>0</v>
      </c>
      <c r="H465" s="23">
        <f t="shared" si="57"/>
        <v>1</v>
      </c>
      <c r="I465" s="23">
        <f t="shared" si="60"/>
        <v>0</v>
      </c>
      <c r="J465" s="43" t="e">
        <f t="shared" si="61"/>
        <v>#N/A</v>
      </c>
      <c r="K465" s="23">
        <f>'Leave Record'!F467</f>
        <v>0</v>
      </c>
    </row>
    <row r="466" spans="1:11" x14ac:dyDescent="0.25">
      <c r="A466" s="38">
        <f t="shared" si="58"/>
        <v>1</v>
      </c>
      <c r="B466" s="38">
        <f>IF(K466=$P$15,$M$4,IF(K466=$P$13,'Leave Entry'!$B$4,F466-1))</f>
        <v>-1</v>
      </c>
      <c r="C466" s="23">
        <f t="shared" si="55"/>
        <v>-1</v>
      </c>
      <c r="D466" s="43">
        <f t="shared" si="56"/>
        <v>-9.0909090909090912E-2</v>
      </c>
      <c r="E466" s="43" t="e">
        <f t="shared" si="59"/>
        <v>#N/A</v>
      </c>
      <c r="F466" s="38">
        <f>'Leave Record'!D468</f>
        <v>0</v>
      </c>
      <c r="G466" s="38">
        <f>'Leave Record'!E468</f>
        <v>0</v>
      </c>
      <c r="H466" s="23">
        <f t="shared" si="57"/>
        <v>1</v>
      </c>
      <c r="I466" s="23">
        <f t="shared" si="60"/>
        <v>0</v>
      </c>
      <c r="J466" s="43" t="e">
        <f t="shared" si="61"/>
        <v>#N/A</v>
      </c>
      <c r="K466" s="23">
        <f>'Leave Record'!F468</f>
        <v>0</v>
      </c>
    </row>
    <row r="467" spans="1:11" x14ac:dyDescent="0.25">
      <c r="A467" s="38">
        <f t="shared" si="58"/>
        <v>1</v>
      </c>
      <c r="B467" s="38">
        <f>IF(K467=$P$15,$M$4,IF(K467=$P$13,'Leave Entry'!$B$4,F467-1))</f>
        <v>-1</v>
      </c>
      <c r="C467" s="23">
        <f t="shared" si="55"/>
        <v>-1</v>
      </c>
      <c r="D467" s="43">
        <f t="shared" si="56"/>
        <v>-9.0909090909090912E-2</v>
      </c>
      <c r="E467" s="43" t="e">
        <f t="shared" si="59"/>
        <v>#N/A</v>
      </c>
      <c r="F467" s="38">
        <f>'Leave Record'!D469</f>
        <v>0</v>
      </c>
      <c r="G467" s="38">
        <f>'Leave Record'!E469</f>
        <v>0</v>
      </c>
      <c r="H467" s="23">
        <f t="shared" si="57"/>
        <v>1</v>
      </c>
      <c r="I467" s="23">
        <f t="shared" si="60"/>
        <v>0</v>
      </c>
      <c r="J467" s="43" t="e">
        <f t="shared" si="61"/>
        <v>#N/A</v>
      </c>
      <c r="K467" s="23">
        <f>'Leave Record'!F469</f>
        <v>0</v>
      </c>
    </row>
    <row r="468" spans="1:11" x14ac:dyDescent="0.25">
      <c r="A468" s="38">
        <f t="shared" si="58"/>
        <v>1</v>
      </c>
      <c r="B468" s="38">
        <f>IF(K468=$P$15,$M$4,IF(K468=$P$13,'Leave Entry'!$B$4,F468-1))</f>
        <v>-1</v>
      </c>
      <c r="C468" s="23">
        <f t="shared" si="55"/>
        <v>-1</v>
      </c>
      <c r="D468" s="43">
        <f t="shared" si="56"/>
        <v>-9.0909090909090912E-2</v>
      </c>
      <c r="E468" s="43" t="e">
        <f t="shared" si="59"/>
        <v>#N/A</v>
      </c>
      <c r="F468" s="38">
        <f>'Leave Record'!D470</f>
        <v>0</v>
      </c>
      <c r="G468" s="38">
        <f>'Leave Record'!E470</f>
        <v>0</v>
      </c>
      <c r="H468" s="23">
        <f t="shared" si="57"/>
        <v>1</v>
      </c>
      <c r="I468" s="23">
        <f t="shared" si="60"/>
        <v>0</v>
      </c>
      <c r="J468" s="43" t="e">
        <f t="shared" si="61"/>
        <v>#N/A</v>
      </c>
      <c r="K468" s="23">
        <f>'Leave Record'!F470</f>
        <v>0</v>
      </c>
    </row>
    <row r="469" spans="1:11" x14ac:dyDescent="0.25">
      <c r="A469" s="38">
        <f t="shared" si="58"/>
        <v>1</v>
      </c>
      <c r="B469" s="38">
        <f>IF(K469=$P$15,$M$4,IF(K469=$P$13,'Leave Entry'!$B$4,F469-1))</f>
        <v>-1</v>
      </c>
      <c r="C469" s="23">
        <f t="shared" si="55"/>
        <v>-1</v>
      </c>
      <c r="D469" s="43">
        <f t="shared" si="56"/>
        <v>-9.0909090909090912E-2</v>
      </c>
      <c r="E469" s="43" t="e">
        <f t="shared" si="59"/>
        <v>#N/A</v>
      </c>
      <c r="F469" s="38">
        <f>'Leave Record'!D471</f>
        <v>0</v>
      </c>
      <c r="G469" s="38">
        <f>'Leave Record'!E471</f>
        <v>0</v>
      </c>
      <c r="H469" s="23">
        <f t="shared" si="57"/>
        <v>1</v>
      </c>
      <c r="I469" s="23">
        <f t="shared" si="60"/>
        <v>0</v>
      </c>
      <c r="J469" s="43" t="e">
        <f t="shared" si="61"/>
        <v>#N/A</v>
      </c>
      <c r="K469" s="23">
        <f>'Leave Record'!F471</f>
        <v>0</v>
      </c>
    </row>
    <row r="470" spans="1:11" x14ac:dyDescent="0.25">
      <c r="A470" s="38">
        <f t="shared" si="58"/>
        <v>1</v>
      </c>
      <c r="B470" s="38">
        <f>IF(K470=$P$15,$M$4,IF(K470=$P$13,'Leave Entry'!$B$4,F470-1))</f>
        <v>-1</v>
      </c>
      <c r="C470" s="23">
        <f t="shared" si="55"/>
        <v>-1</v>
      </c>
      <c r="D470" s="43">
        <f t="shared" si="56"/>
        <v>-9.0909090909090912E-2</v>
      </c>
      <c r="E470" s="43" t="e">
        <f t="shared" si="59"/>
        <v>#N/A</v>
      </c>
      <c r="F470" s="38">
        <f>'Leave Record'!D472</f>
        <v>0</v>
      </c>
      <c r="G470" s="38">
        <f>'Leave Record'!E472</f>
        <v>0</v>
      </c>
      <c r="H470" s="23">
        <f t="shared" si="57"/>
        <v>1</v>
      </c>
      <c r="I470" s="23">
        <f t="shared" si="60"/>
        <v>0</v>
      </c>
      <c r="J470" s="43" t="e">
        <f t="shared" si="61"/>
        <v>#N/A</v>
      </c>
      <c r="K470" s="23">
        <f>'Leave Record'!F472</f>
        <v>0</v>
      </c>
    </row>
    <row r="471" spans="1:11" x14ac:dyDescent="0.25">
      <c r="A471" s="38">
        <f t="shared" si="58"/>
        <v>1</v>
      </c>
      <c r="B471" s="38">
        <f>IF(K471=$P$15,$M$4,IF(K471=$P$13,'Leave Entry'!$B$4,F471-1))</f>
        <v>-1</v>
      </c>
      <c r="C471" s="23">
        <f t="shared" si="55"/>
        <v>-1</v>
      </c>
      <c r="D471" s="43">
        <f t="shared" si="56"/>
        <v>-9.0909090909090912E-2</v>
      </c>
      <c r="E471" s="43" t="e">
        <f t="shared" si="59"/>
        <v>#N/A</v>
      </c>
      <c r="F471" s="38">
        <f>'Leave Record'!D473</f>
        <v>0</v>
      </c>
      <c r="G471" s="38">
        <f>'Leave Record'!E473</f>
        <v>0</v>
      </c>
      <c r="H471" s="23">
        <f t="shared" si="57"/>
        <v>1</v>
      </c>
      <c r="I471" s="23">
        <f t="shared" si="60"/>
        <v>0</v>
      </c>
      <c r="J471" s="43" t="e">
        <f t="shared" si="61"/>
        <v>#N/A</v>
      </c>
      <c r="K471" s="23">
        <f>'Leave Record'!F473</f>
        <v>0</v>
      </c>
    </row>
    <row r="472" spans="1:11" x14ac:dyDescent="0.25">
      <c r="A472" s="38">
        <f t="shared" si="58"/>
        <v>1</v>
      </c>
      <c r="B472" s="38">
        <f>IF(K472=$P$15,$M$4,IF(K472=$P$13,'Leave Entry'!$B$4,F472-1))</f>
        <v>-1</v>
      </c>
      <c r="C472" s="23">
        <f t="shared" si="55"/>
        <v>-1</v>
      </c>
      <c r="D472" s="43">
        <f t="shared" si="56"/>
        <v>-9.0909090909090912E-2</v>
      </c>
      <c r="E472" s="43" t="e">
        <f t="shared" si="59"/>
        <v>#N/A</v>
      </c>
      <c r="F472" s="38">
        <f>'Leave Record'!D474</f>
        <v>0</v>
      </c>
      <c r="G472" s="38">
        <f>'Leave Record'!E474</f>
        <v>0</v>
      </c>
      <c r="H472" s="23">
        <f t="shared" si="57"/>
        <v>1</v>
      </c>
      <c r="I472" s="23">
        <f t="shared" si="60"/>
        <v>0</v>
      </c>
      <c r="J472" s="43" t="e">
        <f t="shared" si="61"/>
        <v>#N/A</v>
      </c>
      <c r="K472" s="23">
        <f>'Leave Record'!F474</f>
        <v>0</v>
      </c>
    </row>
    <row r="473" spans="1:11" x14ac:dyDescent="0.25">
      <c r="A473" s="38">
        <f t="shared" si="58"/>
        <v>1</v>
      </c>
      <c r="B473" s="38">
        <f>IF(K473=$P$15,$M$4,IF(K473=$P$13,'Leave Entry'!$B$4,F473-1))</f>
        <v>-1</v>
      </c>
      <c r="C473" s="23">
        <f t="shared" si="55"/>
        <v>-1</v>
      </c>
      <c r="D473" s="43">
        <f t="shared" si="56"/>
        <v>-9.0909090909090912E-2</v>
      </c>
      <c r="E473" s="43" t="e">
        <f t="shared" si="59"/>
        <v>#N/A</v>
      </c>
      <c r="F473" s="38">
        <f>'Leave Record'!D475</f>
        <v>0</v>
      </c>
      <c r="G473" s="38">
        <f>'Leave Record'!E475</f>
        <v>0</v>
      </c>
      <c r="H473" s="23">
        <f t="shared" si="57"/>
        <v>1</v>
      </c>
      <c r="I473" s="23">
        <f t="shared" si="60"/>
        <v>0</v>
      </c>
      <c r="J473" s="43" t="e">
        <f t="shared" si="61"/>
        <v>#N/A</v>
      </c>
      <c r="K473" s="23">
        <f>'Leave Record'!F475</f>
        <v>0</v>
      </c>
    </row>
    <row r="474" spans="1:11" x14ac:dyDescent="0.25">
      <c r="A474" s="38">
        <f t="shared" si="58"/>
        <v>1</v>
      </c>
      <c r="B474" s="38">
        <f>IF(K474=$P$15,$M$4,IF(K474=$P$13,'Leave Entry'!$B$4,F474-1))</f>
        <v>-1</v>
      </c>
      <c r="C474" s="23">
        <f t="shared" si="55"/>
        <v>-1</v>
      </c>
      <c r="D474" s="43">
        <f t="shared" si="56"/>
        <v>-9.0909090909090912E-2</v>
      </c>
      <c r="E474" s="43" t="e">
        <f t="shared" si="59"/>
        <v>#N/A</v>
      </c>
      <c r="F474" s="38">
        <f>'Leave Record'!D476</f>
        <v>0</v>
      </c>
      <c r="G474" s="38">
        <f>'Leave Record'!E476</f>
        <v>0</v>
      </c>
      <c r="H474" s="23">
        <f t="shared" si="57"/>
        <v>1</v>
      </c>
      <c r="I474" s="23">
        <f t="shared" si="60"/>
        <v>0</v>
      </c>
      <c r="J474" s="43" t="e">
        <f t="shared" si="61"/>
        <v>#N/A</v>
      </c>
      <c r="K474" s="23">
        <f>'Leave Record'!F476</f>
        <v>0</v>
      </c>
    </row>
    <row r="475" spans="1:11" x14ac:dyDescent="0.25">
      <c r="A475" s="38">
        <f t="shared" si="58"/>
        <v>1</v>
      </c>
      <c r="B475" s="38">
        <f>IF(K475=$P$15,$M$4,IF(K475=$P$13,'Leave Entry'!$B$4,F475-1))</f>
        <v>-1</v>
      </c>
      <c r="C475" s="23">
        <f t="shared" si="55"/>
        <v>-1</v>
      </c>
      <c r="D475" s="43">
        <f t="shared" si="56"/>
        <v>-9.0909090909090912E-2</v>
      </c>
      <c r="E475" s="43" t="e">
        <f t="shared" si="59"/>
        <v>#N/A</v>
      </c>
      <c r="F475" s="38">
        <f>'Leave Record'!D477</f>
        <v>0</v>
      </c>
      <c r="G475" s="38">
        <f>'Leave Record'!E477</f>
        <v>0</v>
      </c>
      <c r="H475" s="23">
        <f t="shared" si="57"/>
        <v>1</v>
      </c>
      <c r="I475" s="23">
        <f t="shared" si="60"/>
        <v>0</v>
      </c>
      <c r="J475" s="43" t="e">
        <f t="shared" si="61"/>
        <v>#N/A</v>
      </c>
      <c r="K475" s="23">
        <f>'Leave Record'!F477</f>
        <v>0</v>
      </c>
    </row>
    <row r="476" spans="1:11" x14ac:dyDescent="0.25">
      <c r="A476" s="38">
        <f t="shared" si="58"/>
        <v>1</v>
      </c>
      <c r="B476" s="38">
        <f>IF(K476=$P$15,$M$4,IF(K476=$P$13,'Leave Entry'!$B$4,F476-1))</f>
        <v>-1</v>
      </c>
      <c r="C476" s="23">
        <f t="shared" si="55"/>
        <v>-1</v>
      </c>
      <c r="D476" s="43">
        <f t="shared" si="56"/>
        <v>-9.0909090909090912E-2</v>
      </c>
      <c r="E476" s="43" t="e">
        <f t="shared" si="59"/>
        <v>#N/A</v>
      </c>
      <c r="F476" s="38">
        <f>'Leave Record'!D478</f>
        <v>0</v>
      </c>
      <c r="G476" s="38">
        <f>'Leave Record'!E478</f>
        <v>0</v>
      </c>
      <c r="H476" s="23">
        <f t="shared" si="57"/>
        <v>1</v>
      </c>
      <c r="I476" s="23">
        <f t="shared" si="60"/>
        <v>0</v>
      </c>
      <c r="J476" s="43" t="e">
        <f t="shared" si="61"/>
        <v>#N/A</v>
      </c>
      <c r="K476" s="23">
        <f>'Leave Record'!F478</f>
        <v>0</v>
      </c>
    </row>
    <row r="477" spans="1:11" x14ac:dyDescent="0.25">
      <c r="A477" s="38">
        <f t="shared" si="58"/>
        <v>1</v>
      </c>
      <c r="B477" s="38">
        <f>IF(K477=$P$15,$M$4,IF(K477=$P$13,'Leave Entry'!$B$4,F477-1))</f>
        <v>-1</v>
      </c>
      <c r="C477" s="23">
        <f t="shared" si="55"/>
        <v>-1</v>
      </c>
      <c r="D477" s="43">
        <f t="shared" si="56"/>
        <v>-9.0909090909090912E-2</v>
      </c>
      <c r="E477" s="43" t="e">
        <f t="shared" si="59"/>
        <v>#N/A</v>
      </c>
      <c r="F477" s="38">
        <f>'Leave Record'!D479</f>
        <v>0</v>
      </c>
      <c r="G477" s="38">
        <f>'Leave Record'!E479</f>
        <v>0</v>
      </c>
      <c r="H477" s="23">
        <f t="shared" si="57"/>
        <v>1</v>
      </c>
      <c r="I477" s="23">
        <f t="shared" si="60"/>
        <v>0</v>
      </c>
      <c r="J477" s="43" t="e">
        <f t="shared" si="61"/>
        <v>#N/A</v>
      </c>
      <c r="K477" s="23">
        <f>'Leave Record'!F479</f>
        <v>0</v>
      </c>
    </row>
    <row r="478" spans="1:11" x14ac:dyDescent="0.25">
      <c r="A478" s="38">
        <f t="shared" si="58"/>
        <v>1</v>
      </c>
      <c r="B478" s="38">
        <f>IF(K478=$P$15,$M$4,IF(K478=$P$13,'Leave Entry'!$B$4,F478-1))</f>
        <v>-1</v>
      </c>
      <c r="C478" s="23">
        <f t="shared" si="55"/>
        <v>-1</v>
      </c>
      <c r="D478" s="43">
        <f t="shared" si="56"/>
        <v>-9.0909090909090912E-2</v>
      </c>
      <c r="E478" s="43" t="e">
        <f t="shared" si="59"/>
        <v>#N/A</v>
      </c>
      <c r="F478" s="38">
        <f>'Leave Record'!D480</f>
        <v>0</v>
      </c>
      <c r="G478" s="38">
        <f>'Leave Record'!E480</f>
        <v>0</v>
      </c>
      <c r="H478" s="23">
        <f t="shared" si="57"/>
        <v>1</v>
      </c>
      <c r="I478" s="23">
        <f t="shared" si="60"/>
        <v>0</v>
      </c>
      <c r="J478" s="43" t="e">
        <f t="shared" si="61"/>
        <v>#N/A</v>
      </c>
      <c r="K478" s="23">
        <f>'Leave Record'!F480</f>
        <v>0</v>
      </c>
    </row>
    <row r="479" spans="1:11" x14ac:dyDescent="0.25">
      <c r="A479" s="38">
        <f t="shared" si="58"/>
        <v>1</v>
      </c>
      <c r="B479" s="38">
        <f>IF(K479=$P$15,$M$4,IF(K479=$P$13,'Leave Entry'!$B$4,F479-1))</f>
        <v>-1</v>
      </c>
      <c r="C479" s="23">
        <f t="shared" si="55"/>
        <v>-1</v>
      </c>
      <c r="D479" s="43">
        <f t="shared" si="56"/>
        <v>-9.0909090909090912E-2</v>
      </c>
      <c r="E479" s="43" t="e">
        <f t="shared" si="59"/>
        <v>#N/A</v>
      </c>
      <c r="F479" s="38">
        <f>'Leave Record'!D481</f>
        <v>0</v>
      </c>
      <c r="G479" s="38">
        <f>'Leave Record'!E481</f>
        <v>0</v>
      </c>
      <c r="H479" s="23">
        <f t="shared" si="57"/>
        <v>1</v>
      </c>
      <c r="I479" s="23">
        <f t="shared" si="60"/>
        <v>0</v>
      </c>
      <c r="J479" s="43" t="e">
        <f t="shared" si="61"/>
        <v>#N/A</v>
      </c>
      <c r="K479" s="23">
        <f>'Leave Record'!F481</f>
        <v>0</v>
      </c>
    </row>
    <row r="480" spans="1:11" x14ac:dyDescent="0.25">
      <c r="A480" s="38">
        <f t="shared" si="58"/>
        <v>1</v>
      </c>
      <c r="B480" s="38">
        <f>IF(K480=$P$15,$M$4,IF(K480=$P$13,'Leave Entry'!$B$4,F480-1))</f>
        <v>-1</v>
      </c>
      <c r="C480" s="23">
        <f t="shared" si="55"/>
        <v>-1</v>
      </c>
      <c r="D480" s="43">
        <f t="shared" si="56"/>
        <v>-9.0909090909090912E-2</v>
      </c>
      <c r="E480" s="43" t="e">
        <f t="shared" si="59"/>
        <v>#N/A</v>
      </c>
      <c r="F480" s="38">
        <f>'Leave Record'!D482</f>
        <v>0</v>
      </c>
      <c r="G480" s="38">
        <f>'Leave Record'!E482</f>
        <v>0</v>
      </c>
      <c r="H480" s="23">
        <f t="shared" si="57"/>
        <v>1</v>
      </c>
      <c r="I480" s="23">
        <f t="shared" si="60"/>
        <v>0</v>
      </c>
      <c r="J480" s="43" t="e">
        <f t="shared" si="61"/>
        <v>#N/A</v>
      </c>
      <c r="K480" s="23">
        <f>'Leave Record'!F482</f>
        <v>0</v>
      </c>
    </row>
    <row r="481" spans="1:11" x14ac:dyDescent="0.25">
      <c r="A481" s="38">
        <f t="shared" si="58"/>
        <v>1</v>
      </c>
      <c r="B481" s="38">
        <f>IF(K481=$P$15,$M$4,IF(K481=$P$13,'Leave Entry'!$B$4,F481-1))</f>
        <v>-1</v>
      </c>
      <c r="C481" s="23">
        <f t="shared" si="55"/>
        <v>-1</v>
      </c>
      <c r="D481" s="43">
        <f t="shared" si="56"/>
        <v>-9.0909090909090912E-2</v>
      </c>
      <c r="E481" s="43" t="e">
        <f t="shared" si="59"/>
        <v>#N/A</v>
      </c>
      <c r="F481" s="38">
        <f>'Leave Record'!D483</f>
        <v>0</v>
      </c>
      <c r="G481" s="38">
        <f>'Leave Record'!E483</f>
        <v>0</v>
      </c>
      <c r="H481" s="23">
        <f t="shared" si="57"/>
        <v>1</v>
      </c>
      <c r="I481" s="23">
        <f t="shared" si="60"/>
        <v>0</v>
      </c>
      <c r="J481" s="43" t="e">
        <f t="shared" si="61"/>
        <v>#N/A</v>
      </c>
      <c r="K481" s="23">
        <f>'Leave Record'!F483</f>
        <v>0</v>
      </c>
    </row>
    <row r="482" spans="1:11" x14ac:dyDescent="0.25">
      <c r="A482" s="38">
        <f t="shared" si="58"/>
        <v>1</v>
      </c>
      <c r="B482" s="38">
        <f>IF(K482=$P$15,$M$4,IF(K482=$P$13,'Leave Entry'!$B$4,F482-1))</f>
        <v>-1</v>
      </c>
      <c r="C482" s="23">
        <f t="shared" si="55"/>
        <v>-1</v>
      </c>
      <c r="D482" s="43">
        <f t="shared" si="56"/>
        <v>-9.0909090909090912E-2</v>
      </c>
      <c r="E482" s="43" t="e">
        <f t="shared" si="59"/>
        <v>#N/A</v>
      </c>
      <c r="F482" s="38">
        <f>'Leave Record'!D484</f>
        <v>0</v>
      </c>
      <c r="G482" s="38">
        <f>'Leave Record'!E484</f>
        <v>0</v>
      </c>
      <c r="H482" s="23">
        <f t="shared" si="57"/>
        <v>1</v>
      </c>
      <c r="I482" s="23">
        <f t="shared" si="60"/>
        <v>0</v>
      </c>
      <c r="J482" s="43" t="e">
        <f t="shared" si="61"/>
        <v>#N/A</v>
      </c>
      <c r="K482" s="23">
        <f>'Leave Record'!F484</f>
        <v>0</v>
      </c>
    </row>
    <row r="483" spans="1:11" x14ac:dyDescent="0.25">
      <c r="A483" s="38">
        <f t="shared" si="58"/>
        <v>1</v>
      </c>
      <c r="B483" s="38">
        <f>IF(K483=$P$15,$M$4,IF(K483=$P$13,'Leave Entry'!$B$4,F483-1))</f>
        <v>-1</v>
      </c>
      <c r="C483" s="23">
        <f t="shared" si="55"/>
        <v>-1</v>
      </c>
      <c r="D483" s="43">
        <f t="shared" si="56"/>
        <v>-9.0909090909090912E-2</v>
      </c>
      <c r="E483" s="43" t="e">
        <f t="shared" si="59"/>
        <v>#N/A</v>
      </c>
      <c r="F483" s="38">
        <f>'Leave Record'!D485</f>
        <v>0</v>
      </c>
      <c r="G483" s="38">
        <f>'Leave Record'!E485</f>
        <v>0</v>
      </c>
      <c r="H483" s="23">
        <f t="shared" si="57"/>
        <v>1</v>
      </c>
      <c r="I483" s="23">
        <f t="shared" si="60"/>
        <v>0</v>
      </c>
      <c r="J483" s="43" t="e">
        <f t="shared" si="61"/>
        <v>#N/A</v>
      </c>
      <c r="K483" s="23">
        <f>'Leave Record'!F485</f>
        <v>0</v>
      </c>
    </row>
    <row r="484" spans="1:11" x14ac:dyDescent="0.25">
      <c r="A484" s="38">
        <f t="shared" si="58"/>
        <v>1</v>
      </c>
      <c r="B484" s="38">
        <f>IF(K484=$P$15,$M$4,IF(K484=$P$13,'Leave Entry'!$B$4,F484-1))</f>
        <v>-1</v>
      </c>
      <c r="C484" s="23">
        <f t="shared" si="55"/>
        <v>-1</v>
      </c>
      <c r="D484" s="43">
        <f t="shared" si="56"/>
        <v>-9.0909090909090912E-2</v>
      </c>
      <c r="E484" s="43" t="e">
        <f t="shared" si="59"/>
        <v>#N/A</v>
      </c>
      <c r="F484" s="38">
        <f>'Leave Record'!D486</f>
        <v>0</v>
      </c>
      <c r="G484" s="38">
        <f>'Leave Record'!E486</f>
        <v>0</v>
      </c>
      <c r="H484" s="23">
        <f t="shared" si="57"/>
        <v>1</v>
      </c>
      <c r="I484" s="23">
        <f t="shared" si="60"/>
        <v>0</v>
      </c>
      <c r="J484" s="43" t="e">
        <f t="shared" si="61"/>
        <v>#N/A</v>
      </c>
      <c r="K484" s="23">
        <f>'Leave Record'!F486</f>
        <v>0</v>
      </c>
    </row>
    <row r="485" spans="1:11" x14ac:dyDescent="0.25">
      <c r="A485" s="38">
        <f t="shared" si="58"/>
        <v>1</v>
      </c>
      <c r="B485" s="38">
        <f>IF(K485=$P$15,$M$4,IF(K485=$P$13,'Leave Entry'!$B$4,F485-1))</f>
        <v>-1</v>
      </c>
      <c r="C485" s="23">
        <f t="shared" si="55"/>
        <v>-1</v>
      </c>
      <c r="D485" s="43">
        <f t="shared" si="56"/>
        <v>-9.0909090909090912E-2</v>
      </c>
      <c r="E485" s="43" t="e">
        <f t="shared" si="59"/>
        <v>#N/A</v>
      </c>
      <c r="F485" s="38">
        <f>'Leave Record'!D487</f>
        <v>0</v>
      </c>
      <c r="G485" s="38">
        <f>'Leave Record'!E487</f>
        <v>0</v>
      </c>
      <c r="H485" s="23">
        <f t="shared" si="57"/>
        <v>1</v>
      </c>
      <c r="I485" s="23">
        <f t="shared" si="60"/>
        <v>0</v>
      </c>
      <c r="J485" s="43" t="e">
        <f t="shared" si="61"/>
        <v>#N/A</v>
      </c>
      <c r="K485" s="23">
        <f>'Leave Record'!F487</f>
        <v>0</v>
      </c>
    </row>
    <row r="486" spans="1:11" x14ac:dyDescent="0.25">
      <c r="A486" s="38">
        <f t="shared" si="58"/>
        <v>1</v>
      </c>
      <c r="B486" s="38">
        <f>IF(K486=$P$15,$M$4,IF(K486=$P$13,'Leave Entry'!$B$4,F486-1))</f>
        <v>-1</v>
      </c>
      <c r="C486" s="23">
        <f t="shared" si="55"/>
        <v>-1</v>
      </c>
      <c r="D486" s="43">
        <f t="shared" si="56"/>
        <v>-9.0909090909090912E-2</v>
      </c>
      <c r="E486" s="43" t="e">
        <f t="shared" si="59"/>
        <v>#N/A</v>
      </c>
      <c r="F486" s="38">
        <f>'Leave Record'!D488</f>
        <v>0</v>
      </c>
      <c r="G486" s="38">
        <f>'Leave Record'!E488</f>
        <v>0</v>
      </c>
      <c r="H486" s="23">
        <f t="shared" si="57"/>
        <v>1</v>
      </c>
      <c r="I486" s="23">
        <f t="shared" si="60"/>
        <v>0</v>
      </c>
      <c r="J486" s="43" t="e">
        <f t="shared" si="61"/>
        <v>#N/A</v>
      </c>
      <c r="K486" s="23">
        <f>'Leave Record'!F488</f>
        <v>0</v>
      </c>
    </row>
    <row r="487" spans="1:11" x14ac:dyDescent="0.25">
      <c r="A487" s="38">
        <f t="shared" si="58"/>
        <v>1</v>
      </c>
      <c r="B487" s="38">
        <f>IF(K487=$P$15,$M$4,IF(K487=$P$13,'Leave Entry'!$B$4,F487-1))</f>
        <v>-1</v>
      </c>
      <c r="C487" s="23">
        <f t="shared" si="55"/>
        <v>-1</v>
      </c>
      <c r="D487" s="43">
        <f t="shared" si="56"/>
        <v>-9.0909090909090912E-2</v>
      </c>
      <c r="E487" s="43" t="e">
        <f t="shared" si="59"/>
        <v>#N/A</v>
      </c>
      <c r="F487" s="38">
        <f>'Leave Record'!D489</f>
        <v>0</v>
      </c>
      <c r="G487" s="38">
        <f>'Leave Record'!E489</f>
        <v>0</v>
      </c>
      <c r="H487" s="23">
        <f t="shared" si="57"/>
        <v>1</v>
      </c>
      <c r="I487" s="23">
        <f t="shared" si="60"/>
        <v>0</v>
      </c>
      <c r="J487" s="43" t="e">
        <f t="shared" si="61"/>
        <v>#N/A</v>
      </c>
      <c r="K487" s="23">
        <f>'Leave Record'!F489</f>
        <v>0</v>
      </c>
    </row>
    <row r="488" spans="1:11" x14ac:dyDescent="0.25">
      <c r="A488" s="38">
        <f t="shared" si="58"/>
        <v>1</v>
      </c>
      <c r="B488" s="38">
        <f>IF(K488=$P$15,$M$4,IF(K488=$P$13,'Leave Entry'!$B$4,F488-1))</f>
        <v>-1</v>
      </c>
      <c r="C488" s="23">
        <f t="shared" si="55"/>
        <v>-1</v>
      </c>
      <c r="D488" s="43">
        <f t="shared" si="56"/>
        <v>-9.0909090909090912E-2</v>
      </c>
      <c r="E488" s="43" t="e">
        <f t="shared" si="59"/>
        <v>#N/A</v>
      </c>
      <c r="F488" s="38">
        <f>'Leave Record'!D490</f>
        <v>0</v>
      </c>
      <c r="G488" s="38">
        <f>'Leave Record'!E490</f>
        <v>0</v>
      </c>
      <c r="H488" s="23">
        <f t="shared" si="57"/>
        <v>1</v>
      </c>
      <c r="I488" s="23">
        <f t="shared" si="60"/>
        <v>0</v>
      </c>
      <c r="J488" s="43" t="e">
        <f t="shared" si="61"/>
        <v>#N/A</v>
      </c>
      <c r="K488" s="23">
        <f>'Leave Record'!F490</f>
        <v>0</v>
      </c>
    </row>
    <row r="489" spans="1:11" x14ac:dyDescent="0.25">
      <c r="A489" s="38">
        <f t="shared" si="58"/>
        <v>1</v>
      </c>
      <c r="B489" s="38">
        <f>IF(K489=$P$15,$M$4,IF(K489=$P$13,'Leave Entry'!$B$4,F489-1))</f>
        <v>-1</v>
      </c>
      <c r="C489" s="23">
        <f t="shared" si="55"/>
        <v>-1</v>
      </c>
      <c r="D489" s="43">
        <f t="shared" si="56"/>
        <v>-9.0909090909090912E-2</v>
      </c>
      <c r="E489" s="43" t="e">
        <f t="shared" si="59"/>
        <v>#N/A</v>
      </c>
      <c r="F489" s="38">
        <f>'Leave Record'!D491</f>
        <v>0</v>
      </c>
      <c r="G489" s="38">
        <f>'Leave Record'!E491</f>
        <v>0</v>
      </c>
      <c r="H489" s="23">
        <f t="shared" si="57"/>
        <v>1</v>
      </c>
      <c r="I489" s="23">
        <f t="shared" si="60"/>
        <v>0</v>
      </c>
      <c r="J489" s="43" t="e">
        <f t="shared" si="61"/>
        <v>#N/A</v>
      </c>
      <c r="K489" s="23">
        <f>'Leave Record'!F491</f>
        <v>0</v>
      </c>
    </row>
    <row r="490" spans="1:11" x14ac:dyDescent="0.25">
      <c r="A490" s="38">
        <f t="shared" si="58"/>
        <v>1</v>
      </c>
      <c r="B490" s="38">
        <f>IF(K490=$P$15,$M$4,IF(K490=$P$13,'Leave Entry'!$B$4,F490-1))</f>
        <v>-1</v>
      </c>
      <c r="C490" s="23">
        <f t="shared" si="55"/>
        <v>-1</v>
      </c>
      <c r="D490" s="43">
        <f t="shared" si="56"/>
        <v>-9.0909090909090912E-2</v>
      </c>
      <c r="E490" s="43" t="e">
        <f t="shared" si="59"/>
        <v>#N/A</v>
      </c>
      <c r="F490" s="38">
        <f>'Leave Record'!D492</f>
        <v>0</v>
      </c>
      <c r="G490" s="38">
        <f>'Leave Record'!E492</f>
        <v>0</v>
      </c>
      <c r="H490" s="23">
        <f t="shared" si="57"/>
        <v>1</v>
      </c>
      <c r="I490" s="23">
        <f t="shared" si="60"/>
        <v>0</v>
      </c>
      <c r="J490" s="43" t="e">
        <f t="shared" si="61"/>
        <v>#N/A</v>
      </c>
      <c r="K490" s="23">
        <f>'Leave Record'!F492</f>
        <v>0</v>
      </c>
    </row>
    <row r="491" spans="1:11" x14ac:dyDescent="0.25">
      <c r="A491" s="38">
        <f t="shared" si="58"/>
        <v>1</v>
      </c>
      <c r="B491" s="38">
        <f>IF(K491=$P$15,$M$4,IF(K491=$P$13,'Leave Entry'!$B$4,F491-1))</f>
        <v>-1</v>
      </c>
      <c r="C491" s="23">
        <f t="shared" si="55"/>
        <v>-1</v>
      </c>
      <c r="D491" s="43">
        <f t="shared" si="56"/>
        <v>-9.0909090909090912E-2</v>
      </c>
      <c r="E491" s="43" t="e">
        <f t="shared" si="59"/>
        <v>#N/A</v>
      </c>
      <c r="F491" s="38">
        <f>'Leave Record'!D493</f>
        <v>0</v>
      </c>
      <c r="G491" s="38">
        <f>'Leave Record'!E493</f>
        <v>0</v>
      </c>
      <c r="H491" s="23">
        <f t="shared" si="57"/>
        <v>1</v>
      </c>
      <c r="I491" s="23">
        <f t="shared" si="60"/>
        <v>0</v>
      </c>
      <c r="J491" s="43" t="e">
        <f t="shared" si="61"/>
        <v>#N/A</v>
      </c>
      <c r="K491" s="23">
        <f>'Leave Record'!F493</f>
        <v>0</v>
      </c>
    </row>
    <row r="492" spans="1:11" x14ac:dyDescent="0.25">
      <c r="A492" s="38">
        <f t="shared" si="58"/>
        <v>1</v>
      </c>
      <c r="B492" s="38">
        <f>IF(K492=$P$15,$M$4,IF(K492=$P$13,'Leave Entry'!$B$4,F492-1))</f>
        <v>-1</v>
      </c>
      <c r="C492" s="23">
        <f t="shared" si="55"/>
        <v>-1</v>
      </c>
      <c r="D492" s="43">
        <f t="shared" si="56"/>
        <v>-9.0909090909090912E-2</v>
      </c>
      <c r="E492" s="43" t="e">
        <f t="shared" si="59"/>
        <v>#N/A</v>
      </c>
      <c r="F492" s="38">
        <f>'Leave Record'!D494</f>
        <v>0</v>
      </c>
      <c r="G492" s="38">
        <f>'Leave Record'!E494</f>
        <v>0</v>
      </c>
      <c r="H492" s="23">
        <f t="shared" si="57"/>
        <v>1</v>
      </c>
      <c r="I492" s="23">
        <f t="shared" si="60"/>
        <v>0</v>
      </c>
      <c r="J492" s="43" t="e">
        <f t="shared" si="61"/>
        <v>#N/A</v>
      </c>
      <c r="K492" s="23">
        <f>'Leave Record'!F494</f>
        <v>0</v>
      </c>
    </row>
    <row r="493" spans="1:11" x14ac:dyDescent="0.25">
      <c r="A493" s="38">
        <f t="shared" si="58"/>
        <v>1</v>
      </c>
      <c r="B493" s="38">
        <f>IF(K493=$P$15,$M$4,IF(K493=$P$13,'Leave Entry'!$B$4,F493-1))</f>
        <v>-1</v>
      </c>
      <c r="C493" s="23">
        <f t="shared" si="55"/>
        <v>-1</v>
      </c>
      <c r="D493" s="43">
        <f t="shared" si="56"/>
        <v>-9.0909090909090912E-2</v>
      </c>
      <c r="E493" s="43" t="e">
        <f t="shared" si="59"/>
        <v>#N/A</v>
      </c>
      <c r="F493" s="38">
        <f>'Leave Record'!D495</f>
        <v>0</v>
      </c>
      <c r="G493" s="38">
        <f>'Leave Record'!E495</f>
        <v>0</v>
      </c>
      <c r="H493" s="23">
        <f t="shared" si="57"/>
        <v>1</v>
      </c>
      <c r="I493" s="23">
        <f t="shared" si="60"/>
        <v>0</v>
      </c>
      <c r="J493" s="43" t="e">
        <f t="shared" si="61"/>
        <v>#N/A</v>
      </c>
      <c r="K493" s="23">
        <f>'Leave Record'!F495</f>
        <v>0</v>
      </c>
    </row>
    <row r="494" spans="1:11" x14ac:dyDescent="0.25">
      <c r="A494" s="38">
        <f t="shared" si="58"/>
        <v>1</v>
      </c>
      <c r="B494" s="38">
        <f>IF(K494=$P$15,$M$4,IF(K494=$P$13,'Leave Entry'!$B$4,F494-1))</f>
        <v>-1</v>
      </c>
      <c r="C494" s="23">
        <f t="shared" si="55"/>
        <v>-1</v>
      </c>
      <c r="D494" s="43">
        <f t="shared" si="56"/>
        <v>-9.0909090909090912E-2</v>
      </c>
      <c r="E494" s="43" t="e">
        <f t="shared" si="59"/>
        <v>#N/A</v>
      </c>
      <c r="F494" s="38">
        <f>'Leave Record'!D496</f>
        <v>0</v>
      </c>
      <c r="G494" s="38">
        <f>'Leave Record'!E496</f>
        <v>0</v>
      </c>
      <c r="H494" s="23">
        <f t="shared" si="57"/>
        <v>1</v>
      </c>
      <c r="I494" s="23">
        <f t="shared" si="60"/>
        <v>0</v>
      </c>
      <c r="J494" s="43" t="e">
        <f t="shared" si="61"/>
        <v>#N/A</v>
      </c>
      <c r="K494" s="23">
        <f>'Leave Record'!F496</f>
        <v>0</v>
      </c>
    </row>
    <row r="495" spans="1:11" x14ac:dyDescent="0.25">
      <c r="A495" s="38">
        <f t="shared" si="58"/>
        <v>1</v>
      </c>
      <c r="B495" s="38">
        <f>IF(K495=$P$15,$M$4,IF(K495=$P$13,'Leave Entry'!$B$4,F495-1))</f>
        <v>-1</v>
      </c>
      <c r="C495" s="23">
        <f t="shared" si="55"/>
        <v>-1</v>
      </c>
      <c r="D495" s="43">
        <f t="shared" si="56"/>
        <v>-9.0909090909090912E-2</v>
      </c>
      <c r="E495" s="43" t="e">
        <f t="shared" si="59"/>
        <v>#N/A</v>
      </c>
      <c r="F495" s="38">
        <f>'Leave Record'!D497</f>
        <v>0</v>
      </c>
      <c r="G495" s="38">
        <f>'Leave Record'!E497</f>
        <v>0</v>
      </c>
      <c r="H495" s="23">
        <f t="shared" si="57"/>
        <v>1</v>
      </c>
      <c r="I495" s="23">
        <f t="shared" si="60"/>
        <v>0</v>
      </c>
      <c r="J495" s="43" t="e">
        <f t="shared" si="61"/>
        <v>#N/A</v>
      </c>
      <c r="K495" s="23">
        <f>'Leave Record'!F497</f>
        <v>0</v>
      </c>
    </row>
    <row r="496" spans="1:11" x14ac:dyDescent="0.25">
      <c r="A496" s="38">
        <f t="shared" si="58"/>
        <v>1</v>
      </c>
      <c r="B496" s="38">
        <f>IF(K496=$P$15,$M$4,IF(K496=$P$13,'Leave Entry'!$B$4,F496-1))</f>
        <v>-1</v>
      </c>
      <c r="C496" s="23">
        <f t="shared" si="55"/>
        <v>-1</v>
      </c>
      <c r="D496" s="43">
        <f t="shared" si="56"/>
        <v>-9.0909090909090912E-2</v>
      </c>
      <c r="E496" s="43" t="e">
        <f t="shared" si="59"/>
        <v>#N/A</v>
      </c>
      <c r="F496" s="38">
        <f>'Leave Record'!D498</f>
        <v>0</v>
      </c>
      <c r="G496" s="38">
        <f>'Leave Record'!E498</f>
        <v>0</v>
      </c>
      <c r="H496" s="23">
        <f t="shared" si="57"/>
        <v>1</v>
      </c>
      <c r="I496" s="23">
        <f t="shared" si="60"/>
        <v>0</v>
      </c>
      <c r="J496" s="43" t="e">
        <f t="shared" si="61"/>
        <v>#N/A</v>
      </c>
      <c r="K496" s="23">
        <f>'Leave Record'!F498</f>
        <v>0</v>
      </c>
    </row>
    <row r="497" spans="1:11" x14ac:dyDescent="0.25">
      <c r="A497" s="38">
        <f t="shared" si="58"/>
        <v>1</v>
      </c>
      <c r="B497" s="38">
        <f>IF(K497=$P$15,$M$4,IF(K497=$P$13,'Leave Entry'!$B$4,F497-1))</f>
        <v>-1</v>
      </c>
      <c r="C497" s="23">
        <f t="shared" si="55"/>
        <v>-1</v>
      </c>
      <c r="D497" s="43">
        <f t="shared" si="56"/>
        <v>-9.0909090909090912E-2</v>
      </c>
      <c r="E497" s="43" t="e">
        <f t="shared" si="59"/>
        <v>#N/A</v>
      </c>
      <c r="F497" s="38">
        <f>'Leave Record'!D499</f>
        <v>0</v>
      </c>
      <c r="G497" s="38">
        <f>'Leave Record'!E499</f>
        <v>0</v>
      </c>
      <c r="H497" s="23">
        <f t="shared" si="57"/>
        <v>1</v>
      </c>
      <c r="I497" s="23">
        <f t="shared" si="60"/>
        <v>0</v>
      </c>
      <c r="J497" s="43" t="e">
        <f t="shared" si="61"/>
        <v>#N/A</v>
      </c>
      <c r="K497" s="23">
        <f>'Leave Record'!F499</f>
        <v>0</v>
      </c>
    </row>
    <row r="498" spans="1:11" x14ac:dyDescent="0.25">
      <c r="A498" s="38">
        <f t="shared" si="58"/>
        <v>1</v>
      </c>
      <c r="B498" s="38">
        <f>IF(K498=$P$15,$M$4,IF(K498=$P$13,'Leave Entry'!$B$4,F498-1))</f>
        <v>-1</v>
      </c>
      <c r="C498" s="23">
        <f t="shared" si="55"/>
        <v>-1</v>
      </c>
      <c r="D498" s="43">
        <f t="shared" si="56"/>
        <v>-9.0909090909090912E-2</v>
      </c>
      <c r="E498" s="43" t="e">
        <f t="shared" si="59"/>
        <v>#N/A</v>
      </c>
      <c r="F498" s="38">
        <f>'Leave Record'!D500</f>
        <v>0</v>
      </c>
      <c r="G498" s="38">
        <f>'Leave Record'!E500</f>
        <v>0</v>
      </c>
      <c r="H498" s="23">
        <f t="shared" si="57"/>
        <v>1</v>
      </c>
      <c r="I498" s="23">
        <f t="shared" si="60"/>
        <v>0</v>
      </c>
      <c r="J498" s="43" t="e">
        <f t="shared" si="61"/>
        <v>#N/A</v>
      </c>
      <c r="K498" s="23">
        <f>'Leave Record'!F500</f>
        <v>0</v>
      </c>
    </row>
    <row r="499" spans="1:11" x14ac:dyDescent="0.25">
      <c r="A499" s="38">
        <f t="shared" si="58"/>
        <v>1</v>
      </c>
      <c r="B499" s="38">
        <f>IF(K499=$P$15,$M$4,IF(K499=$P$13,'Leave Entry'!$B$4,F499-1))</f>
        <v>-1</v>
      </c>
      <c r="C499" s="23">
        <f t="shared" si="55"/>
        <v>-1</v>
      </c>
      <c r="D499" s="43">
        <f t="shared" si="56"/>
        <v>-9.0909090909090912E-2</v>
      </c>
      <c r="E499" s="43" t="e">
        <f t="shared" si="59"/>
        <v>#N/A</v>
      </c>
      <c r="F499" s="38">
        <f>'Leave Record'!D501</f>
        <v>0</v>
      </c>
      <c r="G499" s="38">
        <f>'Leave Record'!E501</f>
        <v>0</v>
      </c>
      <c r="H499" s="23">
        <f t="shared" si="57"/>
        <v>1</v>
      </c>
      <c r="I499" s="23">
        <f t="shared" si="60"/>
        <v>0</v>
      </c>
      <c r="J499" s="43" t="e">
        <f t="shared" si="61"/>
        <v>#N/A</v>
      </c>
      <c r="K499" s="23">
        <f>'Leave Record'!F501</f>
        <v>0</v>
      </c>
    </row>
    <row r="500" spans="1:11" x14ac:dyDescent="0.25">
      <c r="A500" s="38">
        <f t="shared" si="58"/>
        <v>1</v>
      </c>
      <c r="B500" s="38">
        <f>IF(K500=$P$15,$M$4,IF(K500=$P$13,'Leave Entry'!$B$4,F500-1))</f>
        <v>-1</v>
      </c>
      <c r="C500" s="23">
        <f t="shared" si="55"/>
        <v>-1</v>
      </c>
      <c r="D500" s="43">
        <f t="shared" si="56"/>
        <v>-9.0909090909090912E-2</v>
      </c>
      <c r="E500" s="43" t="e">
        <f t="shared" si="59"/>
        <v>#N/A</v>
      </c>
      <c r="F500" s="38">
        <f>'Leave Record'!D502</f>
        <v>0</v>
      </c>
      <c r="G500" s="38">
        <f>'Leave Record'!E502</f>
        <v>0</v>
      </c>
      <c r="H500" s="23">
        <f t="shared" si="57"/>
        <v>1</v>
      </c>
      <c r="I500" s="23">
        <f t="shared" si="60"/>
        <v>0</v>
      </c>
      <c r="J500" s="43" t="e">
        <f t="shared" si="61"/>
        <v>#N/A</v>
      </c>
      <c r="K500" s="23">
        <f>'Leave Record'!F502</f>
        <v>0</v>
      </c>
    </row>
  </sheetData>
  <mergeCells count="16">
    <mergeCell ref="H3:H4"/>
    <mergeCell ref="B1:C1"/>
    <mergeCell ref="D1:H1"/>
    <mergeCell ref="J1:K1"/>
    <mergeCell ref="A2:C2"/>
    <mergeCell ref="D2:D4"/>
    <mergeCell ref="E2:E4"/>
    <mergeCell ref="F2:H2"/>
    <mergeCell ref="I2:I4"/>
    <mergeCell ref="J2:J4"/>
    <mergeCell ref="K2:K4"/>
    <mergeCell ref="A3:A4"/>
    <mergeCell ref="B3:B4"/>
    <mergeCell ref="C3:C4"/>
    <mergeCell ref="F3:F4"/>
    <mergeCell ref="G3:G4"/>
  </mergeCells>
  <conditionalFormatting sqref="C1">
    <cfRule type="cellIs" dxfId="13" priority="9" operator="between">
      <formula>-20000</formula>
      <formula>-1.1</formula>
    </cfRule>
  </conditionalFormatting>
  <conditionalFormatting sqref="H1">
    <cfRule type="cellIs" dxfId="12" priority="8" operator="between">
      <formula>-20000</formula>
      <formula>-0.5</formula>
    </cfRule>
  </conditionalFormatting>
  <conditionalFormatting sqref="C2:C4">
    <cfRule type="cellIs" dxfId="11" priority="7" operator="between">
      <formula>-20000</formula>
      <formula>-1.1</formula>
    </cfRule>
  </conditionalFormatting>
  <conditionalFormatting sqref="H2:H4">
    <cfRule type="cellIs" dxfId="10" priority="6" operator="between">
      <formula>-20000</formula>
      <formula>-0.5</formula>
    </cfRule>
  </conditionalFormatting>
  <conditionalFormatting sqref="K2:K4">
    <cfRule type="cellIs" dxfId="9" priority="5" operator="equal">
      <formula>"1 YEAR COMPLETED"</formula>
    </cfRule>
  </conditionalFormatting>
  <conditionalFormatting sqref="A5:K500">
    <cfRule type="expression" dxfId="8" priority="10" stopIfTrue="1">
      <formula>MOD(ROW()-5,2*1)+1&lt;=1</formula>
    </cfRule>
  </conditionalFormatting>
  <dataValidations disablePrompts="1" count="1">
    <dataValidation type="list" allowBlank="1" showInputMessage="1" showErrorMessage="1" sqref="K5:K500" xr:uid="{D4FE4B20-034A-4F5D-BF40-986731B6AA55}">
      <formula1>$P$8:$P$16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1FD3-1296-4FE0-9F76-61D75FB17AFD}">
  <sheetPr codeName="Sheet5">
    <tabColor theme="7" tint="-0.249977111117893"/>
  </sheetPr>
  <dimension ref="A1:R500"/>
  <sheetViews>
    <sheetView workbookViewId="0">
      <pane ySplit="4" topLeftCell="A5" activePane="bottomLeft" state="frozen"/>
      <selection pane="bottomLeft" activeCell="B5" sqref="B5"/>
    </sheetView>
  </sheetViews>
  <sheetFormatPr defaultColWidth="0" defaultRowHeight="15" x14ac:dyDescent="0.25"/>
  <cols>
    <col min="1" max="2" width="10.7109375" style="2" customWidth="1"/>
    <col min="3" max="3" width="8.7109375" style="1" customWidth="1"/>
    <col min="4" max="5" width="12.7109375" style="4" customWidth="1"/>
    <col min="6" max="7" width="10.7109375" style="2" customWidth="1"/>
    <col min="8" max="8" width="8.7109375" style="1" customWidth="1"/>
    <col min="9" max="9" width="9.140625" style="1" customWidth="1"/>
    <col min="10" max="10" width="12.7109375" style="4" customWidth="1"/>
    <col min="11" max="11" width="20.7109375" style="1" customWidth="1"/>
    <col min="12" max="12" width="9.7109375" style="6" hidden="1" customWidth="1"/>
    <col min="13" max="13" width="13.7109375" style="7" hidden="1" customWidth="1"/>
    <col min="14" max="15" width="9.140625" hidden="1" customWidth="1"/>
    <col min="16" max="16" width="20.42578125" hidden="1" customWidth="1"/>
    <col min="17" max="17" width="15" hidden="1" customWidth="1"/>
    <col min="18" max="18" width="11.85546875" hidden="1" customWidth="1"/>
    <col min="19" max="16384" width="9.140625" hidden="1"/>
  </cols>
  <sheetData>
    <row r="1" spans="1:18" ht="15.75" x14ac:dyDescent="0.25">
      <c r="A1" s="16" t="s">
        <v>0</v>
      </c>
      <c r="B1" s="49">
        <f>'Leave Entry'!B3</f>
        <v>0</v>
      </c>
      <c r="C1" s="49"/>
      <c r="D1" s="47">
        <f>'Leave Record'!A1:H1</f>
        <v>0</v>
      </c>
      <c r="E1" s="47"/>
      <c r="F1" s="47"/>
      <c r="G1" s="47"/>
      <c r="H1" s="47"/>
      <c r="I1" s="17" t="s">
        <v>1</v>
      </c>
      <c r="J1" s="49">
        <f>'Leave Entry'!B4</f>
        <v>0</v>
      </c>
      <c r="K1" s="47"/>
    </row>
    <row r="2" spans="1:18" ht="15.75" x14ac:dyDescent="0.25">
      <c r="A2" s="47" t="s">
        <v>2</v>
      </c>
      <c r="B2" s="47"/>
      <c r="C2" s="47"/>
      <c r="D2" s="51" t="s">
        <v>3</v>
      </c>
      <c r="E2" s="51" t="s">
        <v>4</v>
      </c>
      <c r="F2" s="47" t="s">
        <v>5</v>
      </c>
      <c r="G2" s="47"/>
      <c r="H2" s="47"/>
      <c r="I2" s="45" t="s">
        <v>6</v>
      </c>
      <c r="J2" s="51" t="s">
        <v>7</v>
      </c>
      <c r="K2" s="47" t="s">
        <v>8</v>
      </c>
    </row>
    <row r="3" spans="1:18" x14ac:dyDescent="0.25">
      <c r="A3" s="49" t="s">
        <v>9</v>
      </c>
      <c r="B3" s="49" t="s">
        <v>10</v>
      </c>
      <c r="C3" s="45" t="s">
        <v>11</v>
      </c>
      <c r="D3" s="51"/>
      <c r="E3" s="51"/>
      <c r="F3" s="49" t="s">
        <v>9</v>
      </c>
      <c r="G3" s="49" t="s">
        <v>10</v>
      </c>
      <c r="H3" s="45" t="s">
        <v>11</v>
      </c>
      <c r="I3" s="45"/>
      <c r="J3" s="51"/>
      <c r="K3" s="47"/>
    </row>
    <row r="4" spans="1:18" x14ac:dyDescent="0.25">
      <c r="A4" s="49"/>
      <c r="B4" s="49"/>
      <c r="C4" s="45"/>
      <c r="D4" s="51"/>
      <c r="E4" s="51"/>
      <c r="F4" s="49"/>
      <c r="G4" s="49"/>
      <c r="H4" s="45"/>
      <c r="I4" s="45"/>
      <c r="J4" s="51"/>
      <c r="K4" s="47"/>
      <c r="M4" s="10">
        <f>M9</f>
        <v>365</v>
      </c>
    </row>
    <row r="5" spans="1:18" x14ac:dyDescent="0.25">
      <c r="A5" s="8">
        <f>B1</f>
        <v>0</v>
      </c>
      <c r="B5" s="8">
        <f>IF(K5=$P$15,$M$4,IF(K5=$P$13,'Leave Entry'!$B$4,F5-1))</f>
        <v>-1</v>
      </c>
      <c r="C5" s="23">
        <f>B5-A5+1</f>
        <v>0</v>
      </c>
      <c r="D5" s="42">
        <f>C5/22</f>
        <v>0</v>
      </c>
      <c r="E5" s="42">
        <f>D5+'Leave Entry'!F1</f>
        <v>0</v>
      </c>
      <c r="F5" s="8">
        <f>'Leave Record'!A7</f>
        <v>0</v>
      </c>
      <c r="G5" s="8">
        <f>'Leave Record'!B7</f>
        <v>0</v>
      </c>
      <c r="H5" s="23">
        <f>G5-F5+1</f>
        <v>1</v>
      </c>
      <c r="I5" s="23">
        <f>IF(K5=$P$14,H5,0)</f>
        <v>0</v>
      </c>
      <c r="J5" s="42">
        <f>E5-I5</f>
        <v>0</v>
      </c>
      <c r="K5" s="23">
        <f>'Leave Record'!C7</f>
        <v>0</v>
      </c>
      <c r="Q5">
        <f>K5</f>
        <v>0</v>
      </c>
      <c r="R5" s="15">
        <f>J5</f>
        <v>0</v>
      </c>
    </row>
    <row r="6" spans="1:18" x14ac:dyDescent="0.25">
      <c r="A6" s="8">
        <f>G5+1</f>
        <v>1</v>
      </c>
      <c r="B6" s="35">
        <f>IF(K6=$P$15,$M$4,IF(K6=$P$13,'Leave Entry'!$B$4,F6-1))</f>
        <v>-1</v>
      </c>
      <c r="C6" s="23">
        <f t="shared" ref="C6:C69" si="0">B6-A6+1</f>
        <v>-1</v>
      </c>
      <c r="D6" s="42">
        <f>C6/22</f>
        <v>-4.5454545454545456E-2</v>
      </c>
      <c r="E6" s="42">
        <f>J5+D6</f>
        <v>-4.5454545454545456E-2</v>
      </c>
      <c r="F6" s="8">
        <f>'Leave Record'!A8</f>
        <v>0</v>
      </c>
      <c r="G6" s="8">
        <f>'Leave Record'!B8</f>
        <v>0</v>
      </c>
      <c r="H6" s="23">
        <f t="shared" ref="H6:H69" si="1">G6-F6+1</f>
        <v>1</v>
      </c>
      <c r="I6" s="23">
        <f t="shared" ref="I6:I69" si="2">IF(K6=$P$14,H6,0)</f>
        <v>0</v>
      </c>
      <c r="J6" s="42">
        <f>E6-I6</f>
        <v>-4.5454545454545456E-2</v>
      </c>
      <c r="K6" s="23">
        <f>'Leave Record'!C8</f>
        <v>0</v>
      </c>
      <c r="Q6">
        <f t="shared" ref="Q6:Q69" si="3">K6</f>
        <v>0</v>
      </c>
      <c r="R6" s="15">
        <f t="shared" ref="R6:R69" si="4">J6</f>
        <v>-4.5454545454545456E-2</v>
      </c>
    </row>
    <row r="7" spans="1:18" x14ac:dyDescent="0.25">
      <c r="A7" s="8">
        <f t="shared" ref="A7:A70" si="5">G6+1</f>
        <v>1</v>
      </c>
      <c r="B7" s="35">
        <f>IF(K7=$P$15,$M$4,IF(K7=$P$13,'Leave Entry'!$B$4,F7-1))</f>
        <v>-1</v>
      </c>
      <c r="C7" s="23">
        <f t="shared" si="0"/>
        <v>-1</v>
      </c>
      <c r="D7" s="42">
        <f t="shared" ref="D7:D70" si="6">C7/22</f>
        <v>-4.5454545454545456E-2</v>
      </c>
      <c r="E7" s="42">
        <f t="shared" ref="E7:E70" si="7">J6+D7</f>
        <v>-9.0909090909090912E-2</v>
      </c>
      <c r="F7" s="8">
        <f>'Leave Record'!A9</f>
        <v>0</v>
      </c>
      <c r="G7" s="8">
        <f>'Leave Record'!B9</f>
        <v>0</v>
      </c>
      <c r="H7" s="23">
        <f t="shared" si="1"/>
        <v>1</v>
      </c>
      <c r="I7" s="23">
        <f t="shared" si="2"/>
        <v>0</v>
      </c>
      <c r="J7" s="42">
        <f t="shared" ref="J7:J70" si="8">E7-I7</f>
        <v>-9.0909090909090912E-2</v>
      </c>
      <c r="K7" s="23">
        <f>'Leave Record'!C9</f>
        <v>0</v>
      </c>
      <c r="Q7">
        <f t="shared" si="3"/>
        <v>0</v>
      </c>
      <c r="R7" s="15">
        <f t="shared" si="4"/>
        <v>-9.0909090909090912E-2</v>
      </c>
    </row>
    <row r="8" spans="1:18" x14ac:dyDescent="0.25">
      <c r="A8" s="8">
        <f t="shared" si="5"/>
        <v>1</v>
      </c>
      <c r="B8" s="35">
        <f>IF(K8=$P$15,$M$4,IF(K8=$P$13,'Leave Entry'!$B$4,F8-1))</f>
        <v>-1</v>
      </c>
      <c r="C8" s="23">
        <f t="shared" si="0"/>
        <v>-1</v>
      </c>
      <c r="D8" s="42">
        <f t="shared" si="6"/>
        <v>-4.5454545454545456E-2</v>
      </c>
      <c r="E8" s="42">
        <f t="shared" si="7"/>
        <v>-0.13636363636363635</v>
      </c>
      <c r="F8" s="8">
        <f>'Leave Record'!A10</f>
        <v>0</v>
      </c>
      <c r="G8" s="8">
        <f>'Leave Record'!B10</f>
        <v>0</v>
      </c>
      <c r="H8" s="23">
        <f t="shared" si="1"/>
        <v>1</v>
      </c>
      <c r="I8" s="23">
        <f t="shared" si="2"/>
        <v>0</v>
      </c>
      <c r="J8" s="42">
        <f t="shared" si="8"/>
        <v>-0.13636363636363635</v>
      </c>
      <c r="K8" s="23">
        <f>'Leave Record'!C10</f>
        <v>0</v>
      </c>
      <c r="P8" t="s">
        <v>14</v>
      </c>
      <c r="Q8">
        <f t="shared" si="3"/>
        <v>0</v>
      </c>
      <c r="R8" s="15">
        <f t="shared" si="4"/>
        <v>-0.13636363636363635</v>
      </c>
    </row>
    <row r="9" spans="1:18" x14ac:dyDescent="0.25">
      <c r="A9" s="8">
        <f t="shared" si="5"/>
        <v>1</v>
      </c>
      <c r="B9" s="35">
        <f>IF(K9=$P$15,$M$4,IF(K9=$P$13,'Leave Entry'!$B$4,F9-1))</f>
        <v>-1</v>
      </c>
      <c r="C9" s="23">
        <f t="shared" si="0"/>
        <v>-1</v>
      </c>
      <c r="D9" s="42">
        <f t="shared" si="6"/>
        <v>-4.5454545454545456E-2</v>
      </c>
      <c r="E9" s="42">
        <f t="shared" si="7"/>
        <v>-0.18181818181818182</v>
      </c>
      <c r="F9" s="8">
        <f>'Leave Record'!A11</f>
        <v>0</v>
      </c>
      <c r="G9" s="8">
        <f>'Leave Record'!B11</f>
        <v>0</v>
      </c>
      <c r="H9" s="23">
        <f t="shared" si="1"/>
        <v>1</v>
      </c>
      <c r="I9" s="23">
        <f t="shared" si="2"/>
        <v>0</v>
      </c>
      <c r="J9" s="42">
        <f t="shared" si="8"/>
        <v>-0.18181818181818182</v>
      </c>
      <c r="K9" s="23">
        <f>'Leave Record'!C11</f>
        <v>0</v>
      </c>
      <c r="M9" s="14">
        <f>'Leave Record'!B4</f>
        <v>365</v>
      </c>
      <c r="P9" t="s">
        <v>15</v>
      </c>
      <c r="Q9">
        <f t="shared" si="3"/>
        <v>0</v>
      </c>
      <c r="R9" s="15">
        <f t="shared" si="4"/>
        <v>-0.18181818181818182</v>
      </c>
    </row>
    <row r="10" spans="1:18" x14ac:dyDescent="0.25">
      <c r="A10" s="8">
        <f t="shared" si="5"/>
        <v>1</v>
      </c>
      <c r="B10" s="35">
        <f>IF(K10=$P$15,$M$4,IF(K10=$P$13,'Leave Entry'!$B$4,F10-1))</f>
        <v>-1</v>
      </c>
      <c r="C10" s="23">
        <f t="shared" si="0"/>
        <v>-1</v>
      </c>
      <c r="D10" s="42">
        <f t="shared" si="6"/>
        <v>-4.5454545454545456E-2</v>
      </c>
      <c r="E10" s="42">
        <f t="shared" si="7"/>
        <v>-0.22727272727272729</v>
      </c>
      <c r="F10" s="8">
        <f>'Leave Record'!A12</f>
        <v>0</v>
      </c>
      <c r="G10" s="8">
        <f>'Leave Record'!B12</f>
        <v>0</v>
      </c>
      <c r="H10" s="23">
        <f t="shared" si="1"/>
        <v>1</v>
      </c>
      <c r="I10" s="23">
        <f t="shared" si="2"/>
        <v>0</v>
      </c>
      <c r="J10" s="42">
        <f t="shared" si="8"/>
        <v>-0.22727272727272729</v>
      </c>
      <c r="K10" s="23">
        <f>'Leave Record'!C12</f>
        <v>0</v>
      </c>
      <c r="P10" t="s">
        <v>16</v>
      </c>
      <c r="Q10">
        <f t="shared" si="3"/>
        <v>0</v>
      </c>
      <c r="R10" s="15">
        <f t="shared" si="4"/>
        <v>-0.22727272727272729</v>
      </c>
    </row>
    <row r="11" spans="1:18" x14ac:dyDescent="0.25">
      <c r="A11" s="8">
        <f t="shared" si="5"/>
        <v>1</v>
      </c>
      <c r="B11" s="35">
        <f>IF(K11=$P$15,$M$4,IF(K11=$P$13,'Leave Entry'!$B$4,F11-1))</f>
        <v>-1</v>
      </c>
      <c r="C11" s="23">
        <f t="shared" si="0"/>
        <v>-1</v>
      </c>
      <c r="D11" s="42">
        <f t="shared" si="6"/>
        <v>-4.5454545454545456E-2</v>
      </c>
      <c r="E11" s="42">
        <f t="shared" si="7"/>
        <v>-0.27272727272727276</v>
      </c>
      <c r="F11" s="8">
        <f>'Leave Record'!A13</f>
        <v>0</v>
      </c>
      <c r="G11" s="8">
        <f>'Leave Record'!B13</f>
        <v>0</v>
      </c>
      <c r="H11" s="23">
        <f t="shared" si="1"/>
        <v>1</v>
      </c>
      <c r="I11" s="23">
        <f t="shared" si="2"/>
        <v>0</v>
      </c>
      <c r="J11" s="42">
        <f t="shared" si="8"/>
        <v>-0.27272727272727276</v>
      </c>
      <c r="K11" s="23">
        <f>'Leave Record'!C13</f>
        <v>0</v>
      </c>
      <c r="P11" t="s">
        <v>17</v>
      </c>
      <c r="Q11">
        <f t="shared" si="3"/>
        <v>0</v>
      </c>
      <c r="R11" s="15">
        <f t="shared" si="4"/>
        <v>-0.27272727272727276</v>
      </c>
    </row>
    <row r="12" spans="1:18" x14ac:dyDescent="0.25">
      <c r="A12" s="8">
        <f t="shared" si="5"/>
        <v>1</v>
      </c>
      <c r="B12" s="35">
        <f>IF(K12=$P$15,$M$4,IF(K12=$P$13,'Leave Entry'!$B$4,F12-1))</f>
        <v>-1</v>
      </c>
      <c r="C12" s="23">
        <f t="shared" si="0"/>
        <v>-1</v>
      </c>
      <c r="D12" s="42">
        <f t="shared" si="6"/>
        <v>-4.5454545454545456E-2</v>
      </c>
      <c r="E12" s="42">
        <f t="shared" si="7"/>
        <v>-0.31818181818181823</v>
      </c>
      <c r="F12" s="8">
        <f>'Leave Record'!A14</f>
        <v>0</v>
      </c>
      <c r="G12" s="8">
        <f>'Leave Record'!B14</f>
        <v>0</v>
      </c>
      <c r="H12" s="23">
        <f t="shared" si="1"/>
        <v>1</v>
      </c>
      <c r="I12" s="23">
        <f t="shared" si="2"/>
        <v>0</v>
      </c>
      <c r="J12" s="42">
        <f t="shared" si="8"/>
        <v>-0.31818181818181823</v>
      </c>
      <c r="K12" s="23">
        <f>'Leave Record'!C14</f>
        <v>0</v>
      </c>
      <c r="P12" t="s">
        <v>18</v>
      </c>
      <c r="Q12">
        <f t="shared" si="3"/>
        <v>0</v>
      </c>
      <c r="R12" s="15">
        <f t="shared" si="4"/>
        <v>-0.31818181818181823</v>
      </c>
    </row>
    <row r="13" spans="1:18" x14ac:dyDescent="0.25">
      <c r="A13" s="8">
        <f t="shared" si="5"/>
        <v>1</v>
      </c>
      <c r="B13" s="35">
        <f>IF(K13=$P$15,$M$4,IF(K13=$P$13,'Leave Entry'!$B$4,F13-1))</f>
        <v>-1</v>
      </c>
      <c r="C13" s="23">
        <f t="shared" si="0"/>
        <v>-1</v>
      </c>
      <c r="D13" s="42">
        <f t="shared" si="6"/>
        <v>-4.5454545454545456E-2</v>
      </c>
      <c r="E13" s="42">
        <f t="shared" si="7"/>
        <v>-0.3636363636363637</v>
      </c>
      <c r="F13" s="8">
        <f>'Leave Record'!A15</f>
        <v>0</v>
      </c>
      <c r="G13" s="8">
        <f>'Leave Record'!B15</f>
        <v>0</v>
      </c>
      <c r="H13" s="23">
        <f t="shared" si="1"/>
        <v>1</v>
      </c>
      <c r="I13" s="23">
        <f t="shared" si="2"/>
        <v>0</v>
      </c>
      <c r="J13" s="42">
        <f t="shared" si="8"/>
        <v>-0.3636363636363637</v>
      </c>
      <c r="K13" s="23">
        <f>'Leave Record'!C15</f>
        <v>0</v>
      </c>
      <c r="P13" t="s">
        <v>19</v>
      </c>
      <c r="Q13">
        <f t="shared" si="3"/>
        <v>0</v>
      </c>
      <c r="R13" s="15">
        <f t="shared" si="4"/>
        <v>-0.3636363636363637</v>
      </c>
    </row>
    <row r="14" spans="1:18" x14ac:dyDescent="0.25">
      <c r="A14" s="8">
        <f t="shared" si="5"/>
        <v>1</v>
      </c>
      <c r="B14" s="35">
        <f>IF(K14=$P$15,$M$4,IF(K14=$P$13,'Leave Entry'!$B$4,F14-1))</f>
        <v>-1</v>
      </c>
      <c r="C14" s="23">
        <f t="shared" si="0"/>
        <v>-1</v>
      </c>
      <c r="D14" s="42">
        <f t="shared" si="6"/>
        <v>-4.5454545454545456E-2</v>
      </c>
      <c r="E14" s="42">
        <f t="shared" si="7"/>
        <v>-0.40909090909090917</v>
      </c>
      <c r="F14" s="8">
        <f>'Leave Record'!A16</f>
        <v>0</v>
      </c>
      <c r="G14" s="8">
        <f>'Leave Record'!B16</f>
        <v>0</v>
      </c>
      <c r="H14" s="23">
        <f t="shared" si="1"/>
        <v>1</v>
      </c>
      <c r="I14" s="23">
        <f t="shared" si="2"/>
        <v>0</v>
      </c>
      <c r="J14" s="42">
        <f t="shared" si="8"/>
        <v>-0.40909090909090917</v>
      </c>
      <c r="K14" s="23">
        <f>'Leave Record'!C16</f>
        <v>0</v>
      </c>
      <c r="P14" t="s">
        <v>13</v>
      </c>
      <c r="Q14">
        <f t="shared" si="3"/>
        <v>0</v>
      </c>
      <c r="R14" s="15">
        <f t="shared" si="4"/>
        <v>-0.40909090909090917</v>
      </c>
    </row>
    <row r="15" spans="1:18" x14ac:dyDescent="0.25">
      <c r="A15" s="8">
        <f t="shared" si="5"/>
        <v>1</v>
      </c>
      <c r="B15" s="35">
        <f>IF(K15=$P$15,$M$4,IF(K15=$P$13,'Leave Entry'!$B$4,F15-1))</f>
        <v>-1</v>
      </c>
      <c r="C15" s="23">
        <f t="shared" si="0"/>
        <v>-1</v>
      </c>
      <c r="D15" s="42">
        <f t="shared" si="6"/>
        <v>-4.5454545454545456E-2</v>
      </c>
      <c r="E15" s="42">
        <f t="shared" si="7"/>
        <v>-0.45454545454545464</v>
      </c>
      <c r="F15" s="8">
        <f>'Leave Record'!A17</f>
        <v>0</v>
      </c>
      <c r="G15" s="8">
        <f>'Leave Record'!B17</f>
        <v>0</v>
      </c>
      <c r="H15" s="23">
        <f t="shared" si="1"/>
        <v>1</v>
      </c>
      <c r="I15" s="23">
        <f t="shared" si="2"/>
        <v>0</v>
      </c>
      <c r="J15" s="42">
        <f t="shared" si="8"/>
        <v>-0.45454545454545464</v>
      </c>
      <c r="K15" s="23">
        <f>'Leave Record'!C17</f>
        <v>0</v>
      </c>
      <c r="P15" t="s">
        <v>27</v>
      </c>
      <c r="Q15">
        <f t="shared" si="3"/>
        <v>0</v>
      </c>
      <c r="R15" s="15">
        <f t="shared" si="4"/>
        <v>-0.45454545454545464</v>
      </c>
    </row>
    <row r="16" spans="1:18" x14ac:dyDescent="0.25">
      <c r="A16" s="8">
        <f t="shared" si="5"/>
        <v>1</v>
      </c>
      <c r="B16" s="35">
        <f>IF(K16=$P$15,$M$4,IF(K16=$P$13,'Leave Entry'!$B$4,F16-1))</f>
        <v>-1</v>
      </c>
      <c r="C16" s="23">
        <f t="shared" si="0"/>
        <v>-1</v>
      </c>
      <c r="D16" s="42">
        <f t="shared" si="6"/>
        <v>-4.5454545454545456E-2</v>
      </c>
      <c r="E16" s="42">
        <f t="shared" si="7"/>
        <v>-0.50000000000000011</v>
      </c>
      <c r="F16" s="8">
        <f>'Leave Record'!A18</f>
        <v>0</v>
      </c>
      <c r="G16" s="8">
        <f>'Leave Record'!B18</f>
        <v>0</v>
      </c>
      <c r="H16" s="23">
        <f t="shared" si="1"/>
        <v>1</v>
      </c>
      <c r="I16" s="23">
        <f t="shared" si="2"/>
        <v>0</v>
      </c>
      <c r="J16" s="42">
        <f t="shared" si="8"/>
        <v>-0.50000000000000011</v>
      </c>
      <c r="K16" s="23">
        <f>'Leave Record'!C18</f>
        <v>0</v>
      </c>
      <c r="P16" t="s">
        <v>28</v>
      </c>
      <c r="Q16">
        <f t="shared" si="3"/>
        <v>0</v>
      </c>
      <c r="R16" s="15">
        <f t="shared" si="4"/>
        <v>-0.50000000000000011</v>
      </c>
    </row>
    <row r="17" spans="1:18" x14ac:dyDescent="0.25">
      <c r="A17" s="8">
        <f t="shared" si="5"/>
        <v>1</v>
      </c>
      <c r="B17" s="35">
        <f>IF(K17=$P$15,$M$4,IF(K17=$P$13,'Leave Entry'!$B$4,F17-1))</f>
        <v>-1</v>
      </c>
      <c r="C17" s="23">
        <f t="shared" si="0"/>
        <v>-1</v>
      </c>
      <c r="D17" s="42">
        <f t="shared" si="6"/>
        <v>-4.5454545454545456E-2</v>
      </c>
      <c r="E17" s="42">
        <f t="shared" si="7"/>
        <v>-0.54545454545454553</v>
      </c>
      <c r="F17" s="8">
        <f>'Leave Record'!A19</f>
        <v>0</v>
      </c>
      <c r="G17" s="8">
        <f>'Leave Record'!B19</f>
        <v>0</v>
      </c>
      <c r="H17" s="23">
        <f t="shared" si="1"/>
        <v>1</v>
      </c>
      <c r="I17" s="23">
        <f t="shared" si="2"/>
        <v>0</v>
      </c>
      <c r="J17" s="42">
        <f t="shared" si="8"/>
        <v>-0.54545454545454553</v>
      </c>
      <c r="K17" s="23">
        <f>'Leave Record'!C19</f>
        <v>0</v>
      </c>
      <c r="P17" t="e">
        <f>VLOOKUP(P15,Q5:R200,2,FALSE)</f>
        <v>#N/A</v>
      </c>
      <c r="Q17">
        <f t="shared" si="3"/>
        <v>0</v>
      </c>
      <c r="R17" s="15">
        <f t="shared" si="4"/>
        <v>-0.54545454545454553</v>
      </c>
    </row>
    <row r="18" spans="1:18" x14ac:dyDescent="0.25">
      <c r="A18" s="8">
        <f t="shared" si="5"/>
        <v>1</v>
      </c>
      <c r="B18" s="35">
        <f>IF(K18=$P$15,$M$4,IF(K18=$P$13,'Leave Entry'!$B$4,F18-1))</f>
        <v>-1</v>
      </c>
      <c r="C18" s="23">
        <f t="shared" si="0"/>
        <v>-1</v>
      </c>
      <c r="D18" s="42">
        <f t="shared" si="6"/>
        <v>-4.5454545454545456E-2</v>
      </c>
      <c r="E18" s="42">
        <f t="shared" si="7"/>
        <v>-0.59090909090909094</v>
      </c>
      <c r="F18" s="8">
        <f>'Leave Record'!A20</f>
        <v>0</v>
      </c>
      <c r="G18" s="8">
        <f>'Leave Record'!B20</f>
        <v>0</v>
      </c>
      <c r="H18" s="23">
        <f t="shared" si="1"/>
        <v>1</v>
      </c>
      <c r="I18" s="23">
        <f t="shared" si="2"/>
        <v>0</v>
      </c>
      <c r="J18" s="42">
        <f t="shared" si="8"/>
        <v>-0.59090909090909094</v>
      </c>
      <c r="K18" s="23">
        <f>'Leave Record'!C20</f>
        <v>0</v>
      </c>
      <c r="Q18">
        <f t="shared" si="3"/>
        <v>0</v>
      </c>
      <c r="R18" s="15">
        <f t="shared" si="4"/>
        <v>-0.59090909090909094</v>
      </c>
    </row>
    <row r="19" spans="1:18" x14ac:dyDescent="0.25">
      <c r="A19" s="8">
        <f t="shared" si="5"/>
        <v>1</v>
      </c>
      <c r="B19" s="35">
        <f>IF(K19=$P$15,$M$4,IF(K19=$P$13,'Leave Entry'!$B$4,F19-1))</f>
        <v>-1</v>
      </c>
      <c r="C19" s="23">
        <f t="shared" si="0"/>
        <v>-1</v>
      </c>
      <c r="D19" s="42">
        <f t="shared" si="6"/>
        <v>-4.5454545454545456E-2</v>
      </c>
      <c r="E19" s="42">
        <f t="shared" si="7"/>
        <v>-0.63636363636363635</v>
      </c>
      <c r="F19" s="8">
        <f>'Leave Record'!A21</f>
        <v>0</v>
      </c>
      <c r="G19" s="8">
        <f>'Leave Record'!B21</f>
        <v>0</v>
      </c>
      <c r="H19" s="23">
        <f t="shared" si="1"/>
        <v>1</v>
      </c>
      <c r="I19" s="23">
        <f t="shared" si="2"/>
        <v>0</v>
      </c>
      <c r="J19" s="42">
        <f t="shared" si="8"/>
        <v>-0.63636363636363635</v>
      </c>
      <c r="K19" s="23">
        <f>'Leave Record'!C21</f>
        <v>0</v>
      </c>
      <c r="Q19">
        <f t="shared" si="3"/>
        <v>0</v>
      </c>
      <c r="R19" s="15">
        <f t="shared" si="4"/>
        <v>-0.63636363636363635</v>
      </c>
    </row>
    <row r="20" spans="1:18" x14ac:dyDescent="0.25">
      <c r="A20" s="8">
        <f t="shared" si="5"/>
        <v>1</v>
      </c>
      <c r="B20" s="35">
        <f>IF(K20=$P$15,$M$4,IF(K20=$P$13,'Leave Entry'!$B$4,F20-1))</f>
        <v>-1</v>
      </c>
      <c r="C20" s="23">
        <f t="shared" si="0"/>
        <v>-1</v>
      </c>
      <c r="D20" s="42">
        <f t="shared" si="6"/>
        <v>-4.5454545454545456E-2</v>
      </c>
      <c r="E20" s="42">
        <f t="shared" si="7"/>
        <v>-0.68181818181818177</v>
      </c>
      <c r="F20" s="8">
        <f>'Leave Record'!A22</f>
        <v>0</v>
      </c>
      <c r="G20" s="8">
        <f>'Leave Record'!B22</f>
        <v>0</v>
      </c>
      <c r="H20" s="23">
        <f t="shared" si="1"/>
        <v>1</v>
      </c>
      <c r="I20" s="23">
        <f t="shared" si="2"/>
        <v>0</v>
      </c>
      <c r="J20" s="42">
        <f t="shared" si="8"/>
        <v>-0.68181818181818177</v>
      </c>
      <c r="K20" s="23">
        <f>'Leave Record'!C22</f>
        <v>0</v>
      </c>
      <c r="Q20">
        <f t="shared" si="3"/>
        <v>0</v>
      </c>
      <c r="R20" s="15">
        <f t="shared" si="4"/>
        <v>-0.68181818181818177</v>
      </c>
    </row>
    <row r="21" spans="1:18" x14ac:dyDescent="0.25">
      <c r="A21" s="8">
        <f t="shared" si="5"/>
        <v>1</v>
      </c>
      <c r="B21" s="35">
        <f>IF(K21=$P$15,$M$4,IF(K21=$P$13,'Leave Entry'!$B$4,F21-1))</f>
        <v>-1</v>
      </c>
      <c r="C21" s="23">
        <f t="shared" si="0"/>
        <v>-1</v>
      </c>
      <c r="D21" s="42">
        <f t="shared" si="6"/>
        <v>-4.5454545454545456E-2</v>
      </c>
      <c r="E21" s="42">
        <f t="shared" si="7"/>
        <v>-0.72727272727272718</v>
      </c>
      <c r="F21" s="8">
        <f>'Leave Record'!A23</f>
        <v>0</v>
      </c>
      <c r="G21" s="8">
        <f>'Leave Record'!B23</f>
        <v>0</v>
      </c>
      <c r="H21" s="23">
        <f t="shared" si="1"/>
        <v>1</v>
      </c>
      <c r="I21" s="23">
        <f t="shared" si="2"/>
        <v>0</v>
      </c>
      <c r="J21" s="42">
        <f t="shared" si="8"/>
        <v>-0.72727272727272718</v>
      </c>
      <c r="K21" s="23">
        <f>'Leave Record'!C23</f>
        <v>0</v>
      </c>
      <c r="Q21">
        <f t="shared" si="3"/>
        <v>0</v>
      </c>
      <c r="R21" s="15">
        <f t="shared" si="4"/>
        <v>-0.72727272727272718</v>
      </c>
    </row>
    <row r="22" spans="1:18" x14ac:dyDescent="0.25">
      <c r="A22" s="8">
        <f t="shared" si="5"/>
        <v>1</v>
      </c>
      <c r="B22" s="35">
        <f>IF(K22=$P$15,$M$4,IF(K22=$P$13,'Leave Entry'!$B$4,F22-1))</f>
        <v>-1</v>
      </c>
      <c r="C22" s="23">
        <f t="shared" si="0"/>
        <v>-1</v>
      </c>
      <c r="D22" s="42">
        <f t="shared" si="6"/>
        <v>-4.5454545454545456E-2</v>
      </c>
      <c r="E22" s="42">
        <f t="shared" si="7"/>
        <v>-0.7727272727272726</v>
      </c>
      <c r="F22" s="8">
        <f>'Leave Record'!A24</f>
        <v>0</v>
      </c>
      <c r="G22" s="8">
        <f>'Leave Record'!B24</f>
        <v>0</v>
      </c>
      <c r="H22" s="23">
        <f t="shared" si="1"/>
        <v>1</v>
      </c>
      <c r="I22" s="23">
        <f t="shared" si="2"/>
        <v>0</v>
      </c>
      <c r="J22" s="42">
        <f t="shared" si="8"/>
        <v>-0.7727272727272726</v>
      </c>
      <c r="K22" s="23">
        <f>'Leave Record'!C24</f>
        <v>0</v>
      </c>
      <c r="Q22">
        <f t="shared" si="3"/>
        <v>0</v>
      </c>
      <c r="R22" s="15">
        <f t="shared" si="4"/>
        <v>-0.7727272727272726</v>
      </c>
    </row>
    <row r="23" spans="1:18" x14ac:dyDescent="0.25">
      <c r="A23" s="8">
        <f t="shared" si="5"/>
        <v>1</v>
      </c>
      <c r="B23" s="35">
        <f>IF(K23=$P$15,$M$4,IF(K23=$P$13,'Leave Entry'!$B$4,F23-1))</f>
        <v>-1</v>
      </c>
      <c r="C23" s="23">
        <f t="shared" si="0"/>
        <v>-1</v>
      </c>
      <c r="D23" s="42">
        <f t="shared" si="6"/>
        <v>-4.5454545454545456E-2</v>
      </c>
      <c r="E23" s="42">
        <f t="shared" si="7"/>
        <v>-0.81818181818181801</v>
      </c>
      <c r="F23" s="8">
        <f>'Leave Record'!A25</f>
        <v>0</v>
      </c>
      <c r="G23" s="8">
        <f>'Leave Record'!B25</f>
        <v>0</v>
      </c>
      <c r="H23" s="23">
        <f t="shared" si="1"/>
        <v>1</v>
      </c>
      <c r="I23" s="23">
        <f t="shared" si="2"/>
        <v>0</v>
      </c>
      <c r="J23" s="42">
        <f t="shared" si="8"/>
        <v>-0.81818181818181801</v>
      </c>
      <c r="K23" s="23">
        <f>'Leave Record'!C25</f>
        <v>0</v>
      </c>
      <c r="Q23">
        <f t="shared" si="3"/>
        <v>0</v>
      </c>
      <c r="R23" s="15">
        <f t="shared" si="4"/>
        <v>-0.81818181818181801</v>
      </c>
    </row>
    <row r="24" spans="1:18" x14ac:dyDescent="0.25">
      <c r="A24" s="8">
        <f t="shared" si="5"/>
        <v>1</v>
      </c>
      <c r="B24" s="35">
        <f>IF(K24=$P$15,$M$4,IF(K24=$P$13,'Leave Entry'!$B$4,F24-1))</f>
        <v>-1</v>
      </c>
      <c r="C24" s="23">
        <f t="shared" si="0"/>
        <v>-1</v>
      </c>
      <c r="D24" s="42">
        <f t="shared" si="6"/>
        <v>-4.5454545454545456E-2</v>
      </c>
      <c r="E24" s="42">
        <f t="shared" si="7"/>
        <v>-0.86363636363636342</v>
      </c>
      <c r="F24" s="8">
        <f>'Leave Record'!A26</f>
        <v>0</v>
      </c>
      <c r="G24" s="8">
        <f>'Leave Record'!B26</f>
        <v>0</v>
      </c>
      <c r="H24" s="23">
        <f t="shared" si="1"/>
        <v>1</v>
      </c>
      <c r="I24" s="23">
        <f t="shared" si="2"/>
        <v>0</v>
      </c>
      <c r="J24" s="42">
        <f t="shared" si="8"/>
        <v>-0.86363636363636342</v>
      </c>
      <c r="K24" s="23">
        <f>'Leave Record'!C26</f>
        <v>0</v>
      </c>
      <c r="Q24">
        <f t="shared" si="3"/>
        <v>0</v>
      </c>
      <c r="R24" s="15">
        <f t="shared" si="4"/>
        <v>-0.86363636363636342</v>
      </c>
    </row>
    <row r="25" spans="1:18" x14ac:dyDescent="0.25">
      <c r="A25" s="8">
        <f t="shared" si="5"/>
        <v>1</v>
      </c>
      <c r="B25" s="35">
        <f>IF(K25=$P$15,$M$4,IF(K25=$P$13,'Leave Entry'!$B$4,F25-1))</f>
        <v>-1</v>
      </c>
      <c r="C25" s="23">
        <f t="shared" si="0"/>
        <v>-1</v>
      </c>
      <c r="D25" s="42">
        <f t="shared" si="6"/>
        <v>-4.5454545454545456E-2</v>
      </c>
      <c r="E25" s="42">
        <f t="shared" si="7"/>
        <v>-0.90909090909090884</v>
      </c>
      <c r="F25" s="8">
        <f>'Leave Record'!A27</f>
        <v>0</v>
      </c>
      <c r="G25" s="8">
        <f>'Leave Record'!B27</f>
        <v>0</v>
      </c>
      <c r="H25" s="23">
        <f t="shared" si="1"/>
        <v>1</v>
      </c>
      <c r="I25" s="23">
        <f t="shared" si="2"/>
        <v>0</v>
      </c>
      <c r="J25" s="42">
        <f t="shared" si="8"/>
        <v>-0.90909090909090884</v>
      </c>
      <c r="K25" s="23">
        <f>'Leave Record'!C27</f>
        <v>0</v>
      </c>
      <c r="Q25">
        <f t="shared" si="3"/>
        <v>0</v>
      </c>
      <c r="R25" s="15">
        <f t="shared" si="4"/>
        <v>-0.90909090909090884</v>
      </c>
    </row>
    <row r="26" spans="1:18" x14ac:dyDescent="0.25">
      <c r="A26" s="8">
        <f t="shared" si="5"/>
        <v>1</v>
      </c>
      <c r="B26" s="35">
        <f>IF(K26=$P$15,$M$4,IF(K26=$P$13,'Leave Entry'!$B$4,F26-1))</f>
        <v>-1</v>
      </c>
      <c r="C26" s="23">
        <f t="shared" si="0"/>
        <v>-1</v>
      </c>
      <c r="D26" s="42">
        <f t="shared" si="6"/>
        <v>-4.5454545454545456E-2</v>
      </c>
      <c r="E26" s="42">
        <f t="shared" si="7"/>
        <v>-0.95454545454545425</v>
      </c>
      <c r="F26" s="8">
        <f>'Leave Record'!A28</f>
        <v>0</v>
      </c>
      <c r="G26" s="8">
        <f>'Leave Record'!B28</f>
        <v>0</v>
      </c>
      <c r="H26" s="23">
        <f t="shared" si="1"/>
        <v>1</v>
      </c>
      <c r="I26" s="23">
        <f t="shared" si="2"/>
        <v>0</v>
      </c>
      <c r="J26" s="42">
        <f t="shared" si="8"/>
        <v>-0.95454545454545425</v>
      </c>
      <c r="K26" s="23">
        <f>'Leave Record'!C28</f>
        <v>0</v>
      </c>
      <c r="Q26">
        <f t="shared" si="3"/>
        <v>0</v>
      </c>
      <c r="R26" s="15">
        <f t="shared" si="4"/>
        <v>-0.95454545454545425</v>
      </c>
    </row>
    <row r="27" spans="1:18" x14ac:dyDescent="0.25">
      <c r="A27" s="8">
        <f t="shared" si="5"/>
        <v>1</v>
      </c>
      <c r="B27" s="35">
        <f>IF(K27=$P$15,$M$4,IF(K27=$P$13,'Leave Entry'!$B$4,F27-1))</f>
        <v>-1</v>
      </c>
      <c r="C27" s="23">
        <f t="shared" si="0"/>
        <v>-1</v>
      </c>
      <c r="D27" s="42">
        <f t="shared" si="6"/>
        <v>-4.5454545454545456E-2</v>
      </c>
      <c r="E27" s="42">
        <f t="shared" si="7"/>
        <v>-0.99999999999999967</v>
      </c>
      <c r="F27" s="8">
        <f>'Leave Record'!A29</f>
        <v>0</v>
      </c>
      <c r="G27" s="8">
        <f>'Leave Record'!B29</f>
        <v>0</v>
      </c>
      <c r="H27" s="23">
        <f t="shared" si="1"/>
        <v>1</v>
      </c>
      <c r="I27" s="23">
        <f t="shared" si="2"/>
        <v>0</v>
      </c>
      <c r="J27" s="42">
        <f t="shared" si="8"/>
        <v>-0.99999999999999967</v>
      </c>
      <c r="K27" s="23">
        <f>'Leave Record'!C29</f>
        <v>0</v>
      </c>
      <c r="Q27">
        <f t="shared" si="3"/>
        <v>0</v>
      </c>
      <c r="R27" s="15">
        <f t="shared" si="4"/>
        <v>-0.99999999999999967</v>
      </c>
    </row>
    <row r="28" spans="1:18" x14ac:dyDescent="0.25">
      <c r="A28" s="8">
        <f t="shared" si="5"/>
        <v>1</v>
      </c>
      <c r="B28" s="35">
        <f>IF(K28=$P$15,$M$4,IF(K28=$P$13,'Leave Entry'!$B$4,F28-1))</f>
        <v>-1</v>
      </c>
      <c r="C28" s="23">
        <f t="shared" si="0"/>
        <v>-1</v>
      </c>
      <c r="D28" s="42">
        <f t="shared" si="6"/>
        <v>-4.5454545454545456E-2</v>
      </c>
      <c r="E28" s="42">
        <f t="shared" si="7"/>
        <v>-1.0454545454545452</v>
      </c>
      <c r="F28" s="8">
        <f>'Leave Record'!A30</f>
        <v>0</v>
      </c>
      <c r="G28" s="8">
        <f>'Leave Record'!B30</f>
        <v>0</v>
      </c>
      <c r="H28" s="23">
        <f t="shared" si="1"/>
        <v>1</v>
      </c>
      <c r="I28" s="23">
        <f t="shared" si="2"/>
        <v>0</v>
      </c>
      <c r="J28" s="42">
        <f t="shared" si="8"/>
        <v>-1.0454545454545452</v>
      </c>
      <c r="K28" s="23">
        <f>'Leave Record'!C30</f>
        <v>0</v>
      </c>
      <c r="Q28">
        <f t="shared" si="3"/>
        <v>0</v>
      </c>
      <c r="R28" s="15">
        <f t="shared" si="4"/>
        <v>-1.0454545454545452</v>
      </c>
    </row>
    <row r="29" spans="1:18" x14ac:dyDescent="0.25">
      <c r="A29" s="8">
        <f t="shared" si="5"/>
        <v>1</v>
      </c>
      <c r="B29" s="35">
        <f>IF(K29=$P$15,$M$4,IF(K29=$P$13,'Leave Entry'!$B$4,F29-1))</f>
        <v>-1</v>
      </c>
      <c r="C29" s="23">
        <f t="shared" si="0"/>
        <v>-1</v>
      </c>
      <c r="D29" s="42">
        <f t="shared" si="6"/>
        <v>-4.5454545454545456E-2</v>
      </c>
      <c r="E29" s="42">
        <f t="shared" si="7"/>
        <v>-1.0909090909090906</v>
      </c>
      <c r="F29" s="8">
        <f>'Leave Record'!A31</f>
        <v>0</v>
      </c>
      <c r="G29" s="8">
        <f>'Leave Record'!B31</f>
        <v>0</v>
      </c>
      <c r="H29" s="23">
        <f t="shared" si="1"/>
        <v>1</v>
      </c>
      <c r="I29" s="23">
        <f t="shared" si="2"/>
        <v>0</v>
      </c>
      <c r="J29" s="42">
        <f t="shared" si="8"/>
        <v>-1.0909090909090906</v>
      </c>
      <c r="K29" s="23">
        <f>'Leave Record'!C31</f>
        <v>0</v>
      </c>
      <c r="Q29">
        <f t="shared" si="3"/>
        <v>0</v>
      </c>
      <c r="R29" s="15">
        <f t="shared" si="4"/>
        <v>-1.0909090909090906</v>
      </c>
    </row>
    <row r="30" spans="1:18" x14ac:dyDescent="0.25">
      <c r="A30" s="8">
        <f t="shared" si="5"/>
        <v>1</v>
      </c>
      <c r="B30" s="35">
        <f>IF(K30=$P$15,$M$4,IF(K30=$P$13,'Leave Entry'!$B$4,F30-1))</f>
        <v>-1</v>
      </c>
      <c r="C30" s="23">
        <f t="shared" si="0"/>
        <v>-1</v>
      </c>
      <c r="D30" s="42">
        <f t="shared" si="6"/>
        <v>-4.5454545454545456E-2</v>
      </c>
      <c r="E30" s="42">
        <f t="shared" si="7"/>
        <v>-1.136363636363636</v>
      </c>
      <c r="F30" s="8">
        <f>'Leave Record'!A32</f>
        <v>0</v>
      </c>
      <c r="G30" s="8">
        <f>'Leave Record'!B32</f>
        <v>0</v>
      </c>
      <c r="H30" s="23">
        <f t="shared" si="1"/>
        <v>1</v>
      </c>
      <c r="I30" s="23">
        <f t="shared" si="2"/>
        <v>0</v>
      </c>
      <c r="J30" s="42">
        <f t="shared" si="8"/>
        <v>-1.136363636363636</v>
      </c>
      <c r="K30" s="23">
        <f>'Leave Record'!C32</f>
        <v>0</v>
      </c>
      <c r="Q30">
        <f t="shared" si="3"/>
        <v>0</v>
      </c>
      <c r="R30" s="15">
        <f t="shared" si="4"/>
        <v>-1.136363636363636</v>
      </c>
    </row>
    <row r="31" spans="1:18" x14ac:dyDescent="0.25">
      <c r="A31" s="8">
        <f t="shared" si="5"/>
        <v>1</v>
      </c>
      <c r="B31" s="35">
        <f>IF(K31=$P$15,$M$4,IF(K31=$P$13,'Leave Entry'!$B$4,F31-1))</f>
        <v>-1</v>
      </c>
      <c r="C31" s="23">
        <f t="shared" si="0"/>
        <v>-1</v>
      </c>
      <c r="D31" s="42">
        <f t="shared" si="6"/>
        <v>-4.5454545454545456E-2</v>
      </c>
      <c r="E31" s="42">
        <f t="shared" si="7"/>
        <v>-1.1818181818181814</v>
      </c>
      <c r="F31" s="8">
        <f>'Leave Record'!A33</f>
        <v>0</v>
      </c>
      <c r="G31" s="8">
        <f>'Leave Record'!B33</f>
        <v>0</v>
      </c>
      <c r="H31" s="23">
        <f t="shared" si="1"/>
        <v>1</v>
      </c>
      <c r="I31" s="23">
        <f t="shared" si="2"/>
        <v>0</v>
      </c>
      <c r="J31" s="42">
        <f t="shared" si="8"/>
        <v>-1.1818181818181814</v>
      </c>
      <c r="K31" s="23">
        <f>'Leave Record'!C33</f>
        <v>0</v>
      </c>
      <c r="Q31">
        <f t="shared" si="3"/>
        <v>0</v>
      </c>
      <c r="R31" s="15">
        <f t="shared" si="4"/>
        <v>-1.1818181818181814</v>
      </c>
    </row>
    <row r="32" spans="1:18" x14ac:dyDescent="0.25">
      <c r="A32" s="8">
        <f t="shared" si="5"/>
        <v>1</v>
      </c>
      <c r="B32" s="35">
        <f>IF(K32=$P$15,$M$4,IF(K32=$P$13,'Leave Entry'!$B$4,F32-1))</f>
        <v>-1</v>
      </c>
      <c r="C32" s="23">
        <f t="shared" si="0"/>
        <v>-1</v>
      </c>
      <c r="D32" s="42">
        <f t="shared" si="6"/>
        <v>-4.5454545454545456E-2</v>
      </c>
      <c r="E32" s="42">
        <f t="shared" si="7"/>
        <v>-1.2272727272727268</v>
      </c>
      <c r="F32" s="8">
        <f>'Leave Record'!A34</f>
        <v>0</v>
      </c>
      <c r="G32" s="8">
        <f>'Leave Record'!B34</f>
        <v>0</v>
      </c>
      <c r="H32" s="23">
        <f t="shared" si="1"/>
        <v>1</v>
      </c>
      <c r="I32" s="23">
        <f t="shared" si="2"/>
        <v>0</v>
      </c>
      <c r="J32" s="42">
        <f t="shared" si="8"/>
        <v>-1.2272727272727268</v>
      </c>
      <c r="K32" s="23">
        <f>'Leave Record'!C34</f>
        <v>0</v>
      </c>
      <c r="Q32">
        <f t="shared" si="3"/>
        <v>0</v>
      </c>
      <c r="R32" s="15">
        <f t="shared" si="4"/>
        <v>-1.2272727272727268</v>
      </c>
    </row>
    <row r="33" spans="1:18" x14ac:dyDescent="0.25">
      <c r="A33" s="8">
        <f t="shared" si="5"/>
        <v>1</v>
      </c>
      <c r="B33" s="35">
        <f>IF(K33=$P$15,$M$4,IF(K33=$P$13,'Leave Entry'!$B$4,F33-1))</f>
        <v>-1</v>
      </c>
      <c r="C33" s="23">
        <f t="shared" si="0"/>
        <v>-1</v>
      </c>
      <c r="D33" s="42">
        <f t="shared" si="6"/>
        <v>-4.5454545454545456E-2</v>
      </c>
      <c r="E33" s="42">
        <f t="shared" si="7"/>
        <v>-1.2727272727272723</v>
      </c>
      <c r="F33" s="8">
        <f>'Leave Record'!A35</f>
        <v>0</v>
      </c>
      <c r="G33" s="8">
        <f>'Leave Record'!B35</f>
        <v>0</v>
      </c>
      <c r="H33" s="23">
        <f t="shared" si="1"/>
        <v>1</v>
      </c>
      <c r="I33" s="23">
        <f t="shared" si="2"/>
        <v>0</v>
      </c>
      <c r="J33" s="42">
        <f t="shared" si="8"/>
        <v>-1.2727272727272723</v>
      </c>
      <c r="K33" s="23">
        <f>'Leave Record'!C35</f>
        <v>0</v>
      </c>
      <c r="Q33">
        <f t="shared" si="3"/>
        <v>0</v>
      </c>
      <c r="R33" s="15">
        <f t="shared" si="4"/>
        <v>-1.2727272727272723</v>
      </c>
    </row>
    <row r="34" spans="1:18" x14ac:dyDescent="0.25">
      <c r="A34" s="8">
        <f t="shared" si="5"/>
        <v>1</v>
      </c>
      <c r="B34" s="35">
        <f>IF(K34=$P$15,$M$4,IF(K34=$P$13,'Leave Entry'!$B$4,F34-1))</f>
        <v>-1</v>
      </c>
      <c r="C34" s="23">
        <f t="shared" si="0"/>
        <v>-1</v>
      </c>
      <c r="D34" s="42">
        <f t="shared" si="6"/>
        <v>-4.5454545454545456E-2</v>
      </c>
      <c r="E34" s="42">
        <f t="shared" si="7"/>
        <v>-1.3181818181818177</v>
      </c>
      <c r="F34" s="8">
        <f>'Leave Record'!A36</f>
        <v>0</v>
      </c>
      <c r="G34" s="8">
        <f>'Leave Record'!B36</f>
        <v>0</v>
      </c>
      <c r="H34" s="23">
        <f t="shared" si="1"/>
        <v>1</v>
      </c>
      <c r="I34" s="23">
        <f t="shared" si="2"/>
        <v>0</v>
      </c>
      <c r="J34" s="42">
        <f t="shared" si="8"/>
        <v>-1.3181818181818177</v>
      </c>
      <c r="K34" s="23">
        <f>'Leave Record'!C36</f>
        <v>0</v>
      </c>
      <c r="Q34">
        <f t="shared" si="3"/>
        <v>0</v>
      </c>
      <c r="R34" s="15">
        <f t="shared" si="4"/>
        <v>-1.3181818181818177</v>
      </c>
    </row>
    <row r="35" spans="1:18" x14ac:dyDescent="0.25">
      <c r="A35" s="8">
        <f t="shared" si="5"/>
        <v>1</v>
      </c>
      <c r="B35" s="35">
        <f>IF(K35=$P$15,$M$4,IF(K35=$P$13,'Leave Entry'!$B$4,F35-1))</f>
        <v>-1</v>
      </c>
      <c r="C35" s="23">
        <f t="shared" si="0"/>
        <v>-1</v>
      </c>
      <c r="D35" s="42">
        <f t="shared" si="6"/>
        <v>-4.5454545454545456E-2</v>
      </c>
      <c r="E35" s="42">
        <f t="shared" si="7"/>
        <v>-1.3636363636363631</v>
      </c>
      <c r="F35" s="8">
        <f>'Leave Record'!A37</f>
        <v>0</v>
      </c>
      <c r="G35" s="8">
        <f>'Leave Record'!B37</f>
        <v>0</v>
      </c>
      <c r="H35" s="23">
        <f t="shared" si="1"/>
        <v>1</v>
      </c>
      <c r="I35" s="23">
        <f t="shared" si="2"/>
        <v>0</v>
      </c>
      <c r="J35" s="42">
        <f t="shared" si="8"/>
        <v>-1.3636363636363631</v>
      </c>
      <c r="K35" s="23">
        <f>'Leave Record'!C37</f>
        <v>0</v>
      </c>
      <c r="Q35">
        <f t="shared" si="3"/>
        <v>0</v>
      </c>
      <c r="R35" s="15">
        <f t="shared" si="4"/>
        <v>-1.3636363636363631</v>
      </c>
    </row>
    <row r="36" spans="1:18" x14ac:dyDescent="0.25">
      <c r="A36" s="8">
        <f t="shared" si="5"/>
        <v>1</v>
      </c>
      <c r="B36" s="35">
        <f>IF(K36=$P$15,$M$4,IF(K36=$P$13,'Leave Entry'!$B$4,F36-1))</f>
        <v>-1</v>
      </c>
      <c r="C36" s="23">
        <f t="shared" si="0"/>
        <v>-1</v>
      </c>
      <c r="D36" s="42">
        <f t="shared" si="6"/>
        <v>-4.5454545454545456E-2</v>
      </c>
      <c r="E36" s="42">
        <f t="shared" si="7"/>
        <v>-1.4090909090909085</v>
      </c>
      <c r="F36" s="8">
        <f>'Leave Record'!A38</f>
        <v>0</v>
      </c>
      <c r="G36" s="8">
        <f>'Leave Record'!B38</f>
        <v>0</v>
      </c>
      <c r="H36" s="23">
        <f t="shared" si="1"/>
        <v>1</v>
      </c>
      <c r="I36" s="23">
        <f t="shared" si="2"/>
        <v>0</v>
      </c>
      <c r="J36" s="42">
        <f t="shared" si="8"/>
        <v>-1.4090909090909085</v>
      </c>
      <c r="K36" s="23">
        <f>'Leave Record'!C38</f>
        <v>0</v>
      </c>
      <c r="Q36">
        <f t="shared" si="3"/>
        <v>0</v>
      </c>
      <c r="R36" s="15">
        <f t="shared" si="4"/>
        <v>-1.4090909090909085</v>
      </c>
    </row>
    <row r="37" spans="1:18" x14ac:dyDescent="0.25">
      <c r="A37" s="8">
        <f t="shared" si="5"/>
        <v>1</v>
      </c>
      <c r="B37" s="35">
        <f>IF(K37=$P$15,$M$4,IF(K37=$P$13,'Leave Entry'!$B$4,F37-1))</f>
        <v>-1</v>
      </c>
      <c r="C37" s="23">
        <f t="shared" si="0"/>
        <v>-1</v>
      </c>
      <c r="D37" s="42">
        <f t="shared" si="6"/>
        <v>-4.5454545454545456E-2</v>
      </c>
      <c r="E37" s="42">
        <f t="shared" si="7"/>
        <v>-1.4545454545454539</v>
      </c>
      <c r="F37" s="8">
        <f>'Leave Record'!A39</f>
        <v>0</v>
      </c>
      <c r="G37" s="8">
        <f>'Leave Record'!B39</f>
        <v>0</v>
      </c>
      <c r="H37" s="23">
        <f t="shared" si="1"/>
        <v>1</v>
      </c>
      <c r="I37" s="23">
        <f t="shared" si="2"/>
        <v>0</v>
      </c>
      <c r="J37" s="42">
        <f t="shared" si="8"/>
        <v>-1.4545454545454539</v>
      </c>
      <c r="K37" s="23">
        <f>'Leave Record'!C39</f>
        <v>0</v>
      </c>
      <c r="Q37">
        <f t="shared" si="3"/>
        <v>0</v>
      </c>
      <c r="R37" s="15">
        <f t="shared" si="4"/>
        <v>-1.4545454545454539</v>
      </c>
    </row>
    <row r="38" spans="1:18" x14ac:dyDescent="0.25">
      <c r="A38" s="8">
        <f t="shared" si="5"/>
        <v>1</v>
      </c>
      <c r="B38" s="35">
        <f>IF(K38=$P$15,$M$4,IF(K38=$P$13,'Leave Entry'!$B$4,F38-1))</f>
        <v>-1</v>
      </c>
      <c r="C38" s="23">
        <f t="shared" si="0"/>
        <v>-1</v>
      </c>
      <c r="D38" s="42">
        <f t="shared" si="6"/>
        <v>-4.5454545454545456E-2</v>
      </c>
      <c r="E38" s="42">
        <f t="shared" si="7"/>
        <v>-1.4999999999999993</v>
      </c>
      <c r="F38" s="8">
        <f>'Leave Record'!A40</f>
        <v>0</v>
      </c>
      <c r="G38" s="8">
        <f>'Leave Record'!B40</f>
        <v>0</v>
      </c>
      <c r="H38" s="23">
        <f t="shared" si="1"/>
        <v>1</v>
      </c>
      <c r="I38" s="23">
        <f t="shared" si="2"/>
        <v>0</v>
      </c>
      <c r="J38" s="42">
        <f t="shared" si="8"/>
        <v>-1.4999999999999993</v>
      </c>
      <c r="K38" s="23">
        <f>'Leave Record'!C40</f>
        <v>0</v>
      </c>
      <c r="Q38">
        <f t="shared" si="3"/>
        <v>0</v>
      </c>
      <c r="R38" s="15">
        <f t="shared" si="4"/>
        <v>-1.4999999999999993</v>
      </c>
    </row>
    <row r="39" spans="1:18" x14ac:dyDescent="0.25">
      <c r="A39" s="8">
        <f t="shared" si="5"/>
        <v>1</v>
      </c>
      <c r="B39" s="35">
        <f>IF(K39=$P$15,$M$4,IF(K39=$P$13,'Leave Entry'!$B$4,F39-1))</f>
        <v>-1</v>
      </c>
      <c r="C39" s="23">
        <f t="shared" si="0"/>
        <v>-1</v>
      </c>
      <c r="D39" s="42">
        <f t="shared" si="6"/>
        <v>-4.5454545454545456E-2</v>
      </c>
      <c r="E39" s="42">
        <f t="shared" si="7"/>
        <v>-1.5454545454545447</v>
      </c>
      <c r="F39" s="8">
        <f>'Leave Record'!A41</f>
        <v>0</v>
      </c>
      <c r="G39" s="8">
        <f>'Leave Record'!B41</f>
        <v>0</v>
      </c>
      <c r="H39" s="23">
        <f t="shared" si="1"/>
        <v>1</v>
      </c>
      <c r="I39" s="23">
        <f t="shared" si="2"/>
        <v>0</v>
      </c>
      <c r="J39" s="42">
        <f t="shared" si="8"/>
        <v>-1.5454545454545447</v>
      </c>
      <c r="K39" s="23">
        <f>'Leave Record'!C41</f>
        <v>0</v>
      </c>
      <c r="Q39">
        <f t="shared" si="3"/>
        <v>0</v>
      </c>
      <c r="R39" s="15">
        <f t="shared" si="4"/>
        <v>-1.5454545454545447</v>
      </c>
    </row>
    <row r="40" spans="1:18" x14ac:dyDescent="0.25">
      <c r="A40" s="8">
        <f t="shared" si="5"/>
        <v>1</v>
      </c>
      <c r="B40" s="35">
        <f>IF(K40=$P$15,$M$4,IF(K40=$P$13,'Leave Entry'!$B$4,F40-1))</f>
        <v>-1</v>
      </c>
      <c r="C40" s="23">
        <f t="shared" si="0"/>
        <v>-1</v>
      </c>
      <c r="D40" s="42">
        <f t="shared" si="6"/>
        <v>-4.5454545454545456E-2</v>
      </c>
      <c r="E40" s="42">
        <f t="shared" si="7"/>
        <v>-1.5909090909090902</v>
      </c>
      <c r="F40" s="8">
        <f>'Leave Record'!A42</f>
        <v>0</v>
      </c>
      <c r="G40" s="8">
        <f>'Leave Record'!B42</f>
        <v>0</v>
      </c>
      <c r="H40" s="23">
        <f t="shared" si="1"/>
        <v>1</v>
      </c>
      <c r="I40" s="23">
        <f t="shared" si="2"/>
        <v>0</v>
      </c>
      <c r="J40" s="42">
        <f t="shared" si="8"/>
        <v>-1.5909090909090902</v>
      </c>
      <c r="K40" s="23">
        <f>'Leave Record'!C42</f>
        <v>0</v>
      </c>
      <c r="Q40">
        <f t="shared" si="3"/>
        <v>0</v>
      </c>
      <c r="R40" s="15">
        <f t="shared" si="4"/>
        <v>-1.5909090909090902</v>
      </c>
    </row>
    <row r="41" spans="1:18" x14ac:dyDescent="0.25">
      <c r="A41" s="8">
        <f t="shared" si="5"/>
        <v>1</v>
      </c>
      <c r="B41" s="35">
        <f>IF(K41=$P$15,$M$4,IF(K41=$P$13,'Leave Entry'!$B$4,F41-1))</f>
        <v>-1</v>
      </c>
      <c r="C41" s="23">
        <f t="shared" si="0"/>
        <v>-1</v>
      </c>
      <c r="D41" s="42">
        <f t="shared" si="6"/>
        <v>-4.5454545454545456E-2</v>
      </c>
      <c r="E41" s="42">
        <f t="shared" si="7"/>
        <v>-1.6363636363636356</v>
      </c>
      <c r="F41" s="8">
        <f>'Leave Record'!A43</f>
        <v>0</v>
      </c>
      <c r="G41" s="8">
        <f>'Leave Record'!B43</f>
        <v>0</v>
      </c>
      <c r="H41" s="23">
        <f t="shared" si="1"/>
        <v>1</v>
      </c>
      <c r="I41" s="23">
        <f t="shared" si="2"/>
        <v>0</v>
      </c>
      <c r="J41" s="42">
        <f t="shared" si="8"/>
        <v>-1.6363636363636356</v>
      </c>
      <c r="K41" s="23">
        <f>'Leave Record'!C43</f>
        <v>0</v>
      </c>
      <c r="Q41">
        <f t="shared" si="3"/>
        <v>0</v>
      </c>
      <c r="R41" s="15">
        <f t="shared" si="4"/>
        <v>-1.6363636363636356</v>
      </c>
    </row>
    <row r="42" spans="1:18" x14ac:dyDescent="0.25">
      <c r="A42" s="8">
        <f t="shared" si="5"/>
        <v>1</v>
      </c>
      <c r="B42" s="35">
        <f>IF(K42=$P$15,$M$4,IF(K42=$P$13,'Leave Entry'!$B$4,F42-1))</f>
        <v>-1</v>
      </c>
      <c r="C42" s="23">
        <f t="shared" si="0"/>
        <v>-1</v>
      </c>
      <c r="D42" s="42">
        <f t="shared" si="6"/>
        <v>-4.5454545454545456E-2</v>
      </c>
      <c r="E42" s="42">
        <f t="shared" si="7"/>
        <v>-1.681818181818181</v>
      </c>
      <c r="F42" s="8">
        <f>'Leave Record'!A44</f>
        <v>0</v>
      </c>
      <c r="G42" s="8">
        <f>'Leave Record'!B44</f>
        <v>0</v>
      </c>
      <c r="H42" s="23">
        <f t="shared" si="1"/>
        <v>1</v>
      </c>
      <c r="I42" s="23">
        <f t="shared" si="2"/>
        <v>0</v>
      </c>
      <c r="J42" s="42">
        <f t="shared" si="8"/>
        <v>-1.681818181818181</v>
      </c>
      <c r="K42" s="23">
        <f>'Leave Record'!C44</f>
        <v>0</v>
      </c>
      <c r="Q42">
        <f t="shared" si="3"/>
        <v>0</v>
      </c>
      <c r="R42" s="15">
        <f t="shared" si="4"/>
        <v>-1.681818181818181</v>
      </c>
    </row>
    <row r="43" spans="1:18" x14ac:dyDescent="0.25">
      <c r="A43" s="8">
        <f t="shared" si="5"/>
        <v>1</v>
      </c>
      <c r="B43" s="35">
        <f>IF(K43=$P$15,$M$4,IF(K43=$P$13,'Leave Entry'!$B$4,F43-1))</f>
        <v>-1</v>
      </c>
      <c r="C43" s="23">
        <f t="shared" si="0"/>
        <v>-1</v>
      </c>
      <c r="D43" s="42">
        <f t="shared" si="6"/>
        <v>-4.5454545454545456E-2</v>
      </c>
      <c r="E43" s="42">
        <f t="shared" si="7"/>
        <v>-1.7272727272727264</v>
      </c>
      <c r="F43" s="8">
        <f>'Leave Record'!A45</f>
        <v>0</v>
      </c>
      <c r="G43" s="8">
        <f>'Leave Record'!B45</f>
        <v>0</v>
      </c>
      <c r="H43" s="23">
        <f t="shared" si="1"/>
        <v>1</v>
      </c>
      <c r="I43" s="23">
        <f t="shared" si="2"/>
        <v>0</v>
      </c>
      <c r="J43" s="42">
        <f t="shared" si="8"/>
        <v>-1.7272727272727264</v>
      </c>
      <c r="K43" s="23">
        <f>'Leave Record'!C45</f>
        <v>0</v>
      </c>
      <c r="Q43">
        <f t="shared" si="3"/>
        <v>0</v>
      </c>
      <c r="R43" s="15">
        <f t="shared" si="4"/>
        <v>-1.7272727272727264</v>
      </c>
    </row>
    <row r="44" spans="1:18" x14ac:dyDescent="0.25">
      <c r="A44" s="8">
        <f t="shared" si="5"/>
        <v>1</v>
      </c>
      <c r="B44" s="35">
        <f>IF(K44=$P$15,$M$4,IF(K44=$P$13,'Leave Entry'!$B$4,F44-1))</f>
        <v>-1</v>
      </c>
      <c r="C44" s="23">
        <f t="shared" si="0"/>
        <v>-1</v>
      </c>
      <c r="D44" s="42">
        <f t="shared" si="6"/>
        <v>-4.5454545454545456E-2</v>
      </c>
      <c r="E44" s="42">
        <f t="shared" si="7"/>
        <v>-1.7727272727272718</v>
      </c>
      <c r="F44" s="8">
        <f>'Leave Record'!A46</f>
        <v>0</v>
      </c>
      <c r="G44" s="8">
        <f>'Leave Record'!B46</f>
        <v>0</v>
      </c>
      <c r="H44" s="23">
        <f t="shared" si="1"/>
        <v>1</v>
      </c>
      <c r="I44" s="23">
        <f t="shared" si="2"/>
        <v>0</v>
      </c>
      <c r="J44" s="42">
        <f t="shared" si="8"/>
        <v>-1.7727272727272718</v>
      </c>
      <c r="K44" s="23">
        <f>'Leave Record'!C46</f>
        <v>0</v>
      </c>
      <c r="Q44">
        <f t="shared" si="3"/>
        <v>0</v>
      </c>
      <c r="R44" s="15">
        <f t="shared" si="4"/>
        <v>-1.7727272727272718</v>
      </c>
    </row>
    <row r="45" spans="1:18" x14ac:dyDescent="0.25">
      <c r="A45" s="8">
        <f t="shared" si="5"/>
        <v>1</v>
      </c>
      <c r="B45" s="35">
        <f>IF(K45=$P$15,$M$4,IF(K45=$P$13,'Leave Entry'!$B$4,F45-1))</f>
        <v>-1</v>
      </c>
      <c r="C45" s="23">
        <f t="shared" si="0"/>
        <v>-1</v>
      </c>
      <c r="D45" s="42">
        <f t="shared" si="6"/>
        <v>-4.5454545454545456E-2</v>
      </c>
      <c r="E45" s="42">
        <f t="shared" si="7"/>
        <v>-1.8181818181818172</v>
      </c>
      <c r="F45" s="8">
        <f>'Leave Record'!A47</f>
        <v>0</v>
      </c>
      <c r="G45" s="8">
        <f>'Leave Record'!B47</f>
        <v>0</v>
      </c>
      <c r="H45" s="23">
        <f t="shared" si="1"/>
        <v>1</v>
      </c>
      <c r="I45" s="23">
        <f t="shared" si="2"/>
        <v>0</v>
      </c>
      <c r="J45" s="42">
        <f t="shared" si="8"/>
        <v>-1.8181818181818172</v>
      </c>
      <c r="K45" s="23">
        <f>'Leave Record'!C47</f>
        <v>0</v>
      </c>
      <c r="Q45">
        <f t="shared" si="3"/>
        <v>0</v>
      </c>
      <c r="R45" s="15">
        <f t="shared" si="4"/>
        <v>-1.8181818181818172</v>
      </c>
    </row>
    <row r="46" spans="1:18" x14ac:dyDescent="0.25">
      <c r="A46" s="8">
        <f t="shared" si="5"/>
        <v>1</v>
      </c>
      <c r="B46" s="35">
        <f>IF(K46=$P$15,$M$4,IF(K46=$P$13,'Leave Entry'!$B$4,F46-1))</f>
        <v>-1</v>
      </c>
      <c r="C46" s="23">
        <f t="shared" si="0"/>
        <v>-1</v>
      </c>
      <c r="D46" s="42">
        <f t="shared" si="6"/>
        <v>-4.5454545454545456E-2</v>
      </c>
      <c r="E46" s="42">
        <f t="shared" si="7"/>
        <v>-1.8636363636363626</v>
      </c>
      <c r="F46" s="8">
        <f>'Leave Record'!A48</f>
        <v>0</v>
      </c>
      <c r="G46" s="8">
        <f>'Leave Record'!B48</f>
        <v>0</v>
      </c>
      <c r="H46" s="23">
        <f t="shared" si="1"/>
        <v>1</v>
      </c>
      <c r="I46" s="23">
        <f t="shared" si="2"/>
        <v>0</v>
      </c>
      <c r="J46" s="42">
        <f t="shared" si="8"/>
        <v>-1.8636363636363626</v>
      </c>
      <c r="K46" s="23">
        <f>'Leave Record'!C48</f>
        <v>0</v>
      </c>
      <c r="Q46">
        <f t="shared" si="3"/>
        <v>0</v>
      </c>
      <c r="R46" s="15">
        <f t="shared" si="4"/>
        <v>-1.8636363636363626</v>
      </c>
    </row>
    <row r="47" spans="1:18" x14ac:dyDescent="0.25">
      <c r="A47" s="8">
        <f t="shared" si="5"/>
        <v>1</v>
      </c>
      <c r="B47" s="35">
        <f>IF(K47=$P$15,$M$4,IF(K47=$P$13,'Leave Entry'!$B$4,F47-1))</f>
        <v>-1</v>
      </c>
      <c r="C47" s="23">
        <f t="shared" si="0"/>
        <v>-1</v>
      </c>
      <c r="D47" s="42">
        <f t="shared" si="6"/>
        <v>-4.5454545454545456E-2</v>
      </c>
      <c r="E47" s="42">
        <f t="shared" si="7"/>
        <v>-1.9090909090909081</v>
      </c>
      <c r="F47" s="8">
        <f>'Leave Record'!A49</f>
        <v>0</v>
      </c>
      <c r="G47" s="8">
        <f>'Leave Record'!B49</f>
        <v>0</v>
      </c>
      <c r="H47" s="23">
        <f t="shared" si="1"/>
        <v>1</v>
      </c>
      <c r="I47" s="23">
        <f t="shared" si="2"/>
        <v>0</v>
      </c>
      <c r="J47" s="42">
        <f t="shared" si="8"/>
        <v>-1.9090909090909081</v>
      </c>
      <c r="K47" s="23">
        <f>'Leave Record'!C49</f>
        <v>0</v>
      </c>
      <c r="Q47">
        <f t="shared" si="3"/>
        <v>0</v>
      </c>
      <c r="R47" s="15">
        <f t="shared" si="4"/>
        <v>-1.9090909090909081</v>
      </c>
    </row>
    <row r="48" spans="1:18" x14ac:dyDescent="0.25">
      <c r="A48" s="8">
        <f t="shared" si="5"/>
        <v>1</v>
      </c>
      <c r="B48" s="35">
        <f>IF(K48=$P$15,$M$4,IF(K48=$P$13,'Leave Entry'!$B$4,F48-1))</f>
        <v>-1</v>
      </c>
      <c r="C48" s="23">
        <f t="shared" si="0"/>
        <v>-1</v>
      </c>
      <c r="D48" s="42">
        <f t="shared" si="6"/>
        <v>-4.5454545454545456E-2</v>
      </c>
      <c r="E48" s="42">
        <f t="shared" si="7"/>
        <v>-1.9545454545454535</v>
      </c>
      <c r="F48" s="8">
        <f>'Leave Record'!A50</f>
        <v>0</v>
      </c>
      <c r="G48" s="8">
        <f>'Leave Record'!B50</f>
        <v>0</v>
      </c>
      <c r="H48" s="23">
        <f t="shared" si="1"/>
        <v>1</v>
      </c>
      <c r="I48" s="23">
        <f t="shared" si="2"/>
        <v>0</v>
      </c>
      <c r="J48" s="42">
        <f t="shared" si="8"/>
        <v>-1.9545454545454535</v>
      </c>
      <c r="K48" s="23">
        <f>'Leave Record'!C50</f>
        <v>0</v>
      </c>
      <c r="Q48">
        <f t="shared" si="3"/>
        <v>0</v>
      </c>
      <c r="R48" s="15">
        <f t="shared" si="4"/>
        <v>-1.9545454545454535</v>
      </c>
    </row>
    <row r="49" spans="1:18" x14ac:dyDescent="0.25">
      <c r="A49" s="8">
        <f t="shared" si="5"/>
        <v>1</v>
      </c>
      <c r="B49" s="35">
        <f>IF(K49=$P$15,$M$4,IF(K49=$P$13,'Leave Entry'!$B$4,F49-1))</f>
        <v>-1</v>
      </c>
      <c r="C49" s="23">
        <f t="shared" si="0"/>
        <v>-1</v>
      </c>
      <c r="D49" s="42">
        <f t="shared" si="6"/>
        <v>-4.5454545454545456E-2</v>
      </c>
      <c r="E49" s="42">
        <f t="shared" si="7"/>
        <v>-1.9999999999999989</v>
      </c>
      <c r="F49" s="8">
        <f>'Leave Record'!A51</f>
        <v>0</v>
      </c>
      <c r="G49" s="8">
        <f>'Leave Record'!B51</f>
        <v>0</v>
      </c>
      <c r="H49" s="23">
        <f t="shared" si="1"/>
        <v>1</v>
      </c>
      <c r="I49" s="23">
        <f t="shared" si="2"/>
        <v>0</v>
      </c>
      <c r="J49" s="42">
        <f t="shared" si="8"/>
        <v>-1.9999999999999989</v>
      </c>
      <c r="K49" s="23">
        <f>'Leave Record'!C51</f>
        <v>0</v>
      </c>
      <c r="Q49">
        <f t="shared" si="3"/>
        <v>0</v>
      </c>
      <c r="R49" s="15">
        <f t="shared" si="4"/>
        <v>-1.9999999999999989</v>
      </c>
    </row>
    <row r="50" spans="1:18" x14ac:dyDescent="0.25">
      <c r="A50" s="8">
        <f t="shared" si="5"/>
        <v>1</v>
      </c>
      <c r="B50" s="35">
        <f>IF(K50=$P$15,$M$4,IF(K50=$P$13,'Leave Entry'!$B$4,F50-1))</f>
        <v>-1</v>
      </c>
      <c r="C50" s="23">
        <f t="shared" si="0"/>
        <v>-1</v>
      </c>
      <c r="D50" s="42">
        <f t="shared" si="6"/>
        <v>-4.5454545454545456E-2</v>
      </c>
      <c r="E50" s="42">
        <f t="shared" si="7"/>
        <v>-2.0454545454545445</v>
      </c>
      <c r="F50" s="8">
        <f>'Leave Record'!A52</f>
        <v>0</v>
      </c>
      <c r="G50" s="8">
        <f>'Leave Record'!B52</f>
        <v>0</v>
      </c>
      <c r="H50" s="23">
        <f t="shared" si="1"/>
        <v>1</v>
      </c>
      <c r="I50" s="23">
        <f t="shared" si="2"/>
        <v>0</v>
      </c>
      <c r="J50" s="42">
        <f t="shared" si="8"/>
        <v>-2.0454545454545445</v>
      </c>
      <c r="K50" s="23">
        <f>'Leave Record'!C52</f>
        <v>0</v>
      </c>
      <c r="Q50">
        <f t="shared" si="3"/>
        <v>0</v>
      </c>
      <c r="R50" s="15">
        <f t="shared" si="4"/>
        <v>-2.0454545454545445</v>
      </c>
    </row>
    <row r="51" spans="1:18" x14ac:dyDescent="0.25">
      <c r="A51" s="8">
        <f t="shared" si="5"/>
        <v>1</v>
      </c>
      <c r="B51" s="35">
        <f>IF(K51=$P$15,$M$4,IF(K51=$P$13,'Leave Entry'!$B$4,F51-1))</f>
        <v>-1</v>
      </c>
      <c r="C51" s="23">
        <f t="shared" si="0"/>
        <v>-1</v>
      </c>
      <c r="D51" s="42">
        <f t="shared" si="6"/>
        <v>-4.5454545454545456E-2</v>
      </c>
      <c r="E51" s="42">
        <f t="shared" si="7"/>
        <v>-2.0909090909090899</v>
      </c>
      <c r="F51" s="8">
        <f>'Leave Record'!A53</f>
        <v>0</v>
      </c>
      <c r="G51" s="8">
        <f>'Leave Record'!B53</f>
        <v>0</v>
      </c>
      <c r="H51" s="23">
        <f t="shared" si="1"/>
        <v>1</v>
      </c>
      <c r="I51" s="23">
        <f t="shared" si="2"/>
        <v>0</v>
      </c>
      <c r="J51" s="42">
        <f t="shared" si="8"/>
        <v>-2.0909090909090899</v>
      </c>
      <c r="K51" s="23">
        <f>'Leave Record'!C53</f>
        <v>0</v>
      </c>
      <c r="Q51">
        <f t="shared" si="3"/>
        <v>0</v>
      </c>
      <c r="R51" s="15">
        <f t="shared" si="4"/>
        <v>-2.0909090909090899</v>
      </c>
    </row>
    <row r="52" spans="1:18" x14ac:dyDescent="0.25">
      <c r="A52" s="8">
        <f t="shared" si="5"/>
        <v>1</v>
      </c>
      <c r="B52" s="35">
        <f>IF(K52=$P$15,$M$4,IF(K52=$P$13,'Leave Entry'!$B$4,F52-1))</f>
        <v>-1</v>
      </c>
      <c r="C52" s="23">
        <f t="shared" si="0"/>
        <v>-1</v>
      </c>
      <c r="D52" s="42">
        <f t="shared" si="6"/>
        <v>-4.5454545454545456E-2</v>
      </c>
      <c r="E52" s="42">
        <f t="shared" si="7"/>
        <v>-2.1363636363636354</v>
      </c>
      <c r="F52" s="8">
        <f>'Leave Record'!A54</f>
        <v>0</v>
      </c>
      <c r="G52" s="8">
        <f>'Leave Record'!B54</f>
        <v>0</v>
      </c>
      <c r="H52" s="23">
        <f t="shared" si="1"/>
        <v>1</v>
      </c>
      <c r="I52" s="23">
        <f t="shared" si="2"/>
        <v>0</v>
      </c>
      <c r="J52" s="42">
        <f t="shared" si="8"/>
        <v>-2.1363636363636354</v>
      </c>
      <c r="K52" s="23">
        <f>'Leave Record'!C54</f>
        <v>0</v>
      </c>
      <c r="Q52">
        <f t="shared" si="3"/>
        <v>0</v>
      </c>
      <c r="R52" s="15">
        <f t="shared" si="4"/>
        <v>-2.1363636363636354</v>
      </c>
    </row>
    <row r="53" spans="1:18" x14ac:dyDescent="0.25">
      <c r="A53" s="8">
        <f t="shared" si="5"/>
        <v>1</v>
      </c>
      <c r="B53" s="35">
        <f>IF(K53=$P$15,$M$4,IF(K53=$P$13,'Leave Entry'!$B$4,F53-1))</f>
        <v>-1</v>
      </c>
      <c r="C53" s="23">
        <f t="shared" si="0"/>
        <v>-1</v>
      </c>
      <c r="D53" s="42">
        <f t="shared" si="6"/>
        <v>-4.5454545454545456E-2</v>
      </c>
      <c r="E53" s="42">
        <f t="shared" si="7"/>
        <v>-2.1818181818181808</v>
      </c>
      <c r="F53" s="8">
        <f>'Leave Record'!A55</f>
        <v>0</v>
      </c>
      <c r="G53" s="8">
        <f>'Leave Record'!B55</f>
        <v>0</v>
      </c>
      <c r="H53" s="23">
        <f t="shared" si="1"/>
        <v>1</v>
      </c>
      <c r="I53" s="23">
        <f t="shared" si="2"/>
        <v>0</v>
      </c>
      <c r="J53" s="42">
        <f t="shared" si="8"/>
        <v>-2.1818181818181808</v>
      </c>
      <c r="K53" s="23">
        <f>'Leave Record'!C55</f>
        <v>0</v>
      </c>
      <c r="Q53">
        <f t="shared" si="3"/>
        <v>0</v>
      </c>
      <c r="R53" s="15">
        <f t="shared" si="4"/>
        <v>-2.1818181818181808</v>
      </c>
    </row>
    <row r="54" spans="1:18" x14ac:dyDescent="0.25">
      <c r="A54" s="8">
        <f t="shared" si="5"/>
        <v>1</v>
      </c>
      <c r="B54" s="35">
        <f>IF(K54=$P$15,$M$4,IF(K54=$P$13,'Leave Entry'!$B$4,F54-1))</f>
        <v>-1</v>
      </c>
      <c r="C54" s="23">
        <f t="shared" si="0"/>
        <v>-1</v>
      </c>
      <c r="D54" s="42">
        <f t="shared" si="6"/>
        <v>-4.5454545454545456E-2</v>
      </c>
      <c r="E54" s="42">
        <f t="shared" si="7"/>
        <v>-2.2272727272727262</v>
      </c>
      <c r="F54" s="8">
        <f>'Leave Record'!A56</f>
        <v>0</v>
      </c>
      <c r="G54" s="8">
        <f>'Leave Record'!B56</f>
        <v>0</v>
      </c>
      <c r="H54" s="23">
        <f t="shared" si="1"/>
        <v>1</v>
      </c>
      <c r="I54" s="23">
        <f t="shared" si="2"/>
        <v>0</v>
      </c>
      <c r="J54" s="42">
        <f t="shared" si="8"/>
        <v>-2.2272727272727262</v>
      </c>
      <c r="K54" s="23">
        <f>'Leave Record'!C56</f>
        <v>0</v>
      </c>
      <c r="Q54">
        <f t="shared" si="3"/>
        <v>0</v>
      </c>
      <c r="R54" s="15">
        <f t="shared" si="4"/>
        <v>-2.2272727272727262</v>
      </c>
    </row>
    <row r="55" spans="1:18" x14ac:dyDescent="0.25">
      <c r="A55" s="8">
        <f t="shared" si="5"/>
        <v>1</v>
      </c>
      <c r="B55" s="35">
        <f>IF(K55=$P$15,$M$4,IF(K55=$P$13,'Leave Entry'!$B$4,F55-1))</f>
        <v>-1</v>
      </c>
      <c r="C55" s="23">
        <f t="shared" si="0"/>
        <v>-1</v>
      </c>
      <c r="D55" s="42">
        <f t="shared" si="6"/>
        <v>-4.5454545454545456E-2</v>
      </c>
      <c r="E55" s="42">
        <f t="shared" si="7"/>
        <v>-2.2727272727272716</v>
      </c>
      <c r="F55" s="8">
        <f>'Leave Record'!A57</f>
        <v>0</v>
      </c>
      <c r="G55" s="8">
        <f>'Leave Record'!B57</f>
        <v>0</v>
      </c>
      <c r="H55" s="23">
        <f t="shared" si="1"/>
        <v>1</v>
      </c>
      <c r="I55" s="23">
        <f t="shared" si="2"/>
        <v>0</v>
      </c>
      <c r="J55" s="42">
        <f t="shared" si="8"/>
        <v>-2.2727272727272716</v>
      </c>
      <c r="K55" s="23">
        <f>'Leave Record'!C57</f>
        <v>0</v>
      </c>
      <c r="Q55">
        <f t="shared" si="3"/>
        <v>0</v>
      </c>
      <c r="R55" s="15">
        <f t="shared" si="4"/>
        <v>-2.2727272727272716</v>
      </c>
    </row>
    <row r="56" spans="1:18" x14ac:dyDescent="0.25">
      <c r="A56" s="8">
        <f t="shared" si="5"/>
        <v>1</v>
      </c>
      <c r="B56" s="35">
        <f>IF(K56=$P$15,$M$4,IF(K56=$P$13,'Leave Entry'!$B$4,F56-1))</f>
        <v>-1</v>
      </c>
      <c r="C56" s="23">
        <f t="shared" si="0"/>
        <v>-1</v>
      </c>
      <c r="D56" s="42">
        <f t="shared" si="6"/>
        <v>-4.5454545454545456E-2</v>
      </c>
      <c r="E56" s="42">
        <f t="shared" si="7"/>
        <v>-2.318181818181817</v>
      </c>
      <c r="F56" s="8">
        <f>'Leave Record'!A58</f>
        <v>0</v>
      </c>
      <c r="G56" s="8">
        <f>'Leave Record'!B58</f>
        <v>0</v>
      </c>
      <c r="H56" s="23">
        <f t="shared" si="1"/>
        <v>1</v>
      </c>
      <c r="I56" s="23">
        <f t="shared" si="2"/>
        <v>0</v>
      </c>
      <c r="J56" s="42">
        <f t="shared" si="8"/>
        <v>-2.318181818181817</v>
      </c>
      <c r="K56" s="23">
        <f>'Leave Record'!C58</f>
        <v>0</v>
      </c>
      <c r="Q56">
        <f t="shared" si="3"/>
        <v>0</v>
      </c>
      <c r="R56" s="15">
        <f t="shared" si="4"/>
        <v>-2.318181818181817</v>
      </c>
    </row>
    <row r="57" spans="1:18" x14ac:dyDescent="0.25">
      <c r="A57" s="8">
        <f t="shared" si="5"/>
        <v>1</v>
      </c>
      <c r="B57" s="35">
        <f>IF(K57=$P$15,$M$4,IF(K57=$P$13,'Leave Entry'!$B$4,F57-1))</f>
        <v>-1</v>
      </c>
      <c r="C57" s="23">
        <f t="shared" si="0"/>
        <v>-1</v>
      </c>
      <c r="D57" s="42">
        <f t="shared" si="6"/>
        <v>-4.5454545454545456E-2</v>
      </c>
      <c r="E57" s="42">
        <f t="shared" si="7"/>
        <v>-2.3636363636363624</v>
      </c>
      <c r="F57" s="8">
        <f>'Leave Record'!A59</f>
        <v>0</v>
      </c>
      <c r="G57" s="8">
        <f>'Leave Record'!B59</f>
        <v>0</v>
      </c>
      <c r="H57" s="23">
        <f t="shared" si="1"/>
        <v>1</v>
      </c>
      <c r="I57" s="23">
        <f t="shared" si="2"/>
        <v>0</v>
      </c>
      <c r="J57" s="42">
        <f t="shared" si="8"/>
        <v>-2.3636363636363624</v>
      </c>
      <c r="K57" s="23">
        <f>'Leave Record'!C59</f>
        <v>0</v>
      </c>
      <c r="Q57">
        <f t="shared" si="3"/>
        <v>0</v>
      </c>
      <c r="R57" s="15">
        <f t="shared" si="4"/>
        <v>-2.3636363636363624</v>
      </c>
    </row>
    <row r="58" spans="1:18" x14ac:dyDescent="0.25">
      <c r="A58" s="8">
        <f t="shared" si="5"/>
        <v>1</v>
      </c>
      <c r="B58" s="35">
        <f>IF(K58=$P$15,$M$4,IF(K58=$P$13,'Leave Entry'!$B$4,F58-1))</f>
        <v>-1</v>
      </c>
      <c r="C58" s="23">
        <f t="shared" si="0"/>
        <v>-1</v>
      </c>
      <c r="D58" s="42">
        <f t="shared" si="6"/>
        <v>-4.5454545454545456E-2</v>
      </c>
      <c r="E58" s="42">
        <f t="shared" si="7"/>
        <v>-2.4090909090909078</v>
      </c>
      <c r="F58" s="8">
        <f>'Leave Record'!A60</f>
        <v>0</v>
      </c>
      <c r="G58" s="8">
        <f>'Leave Record'!B60</f>
        <v>0</v>
      </c>
      <c r="H58" s="23">
        <f t="shared" si="1"/>
        <v>1</v>
      </c>
      <c r="I58" s="23">
        <f t="shared" si="2"/>
        <v>0</v>
      </c>
      <c r="J58" s="42">
        <f t="shared" si="8"/>
        <v>-2.4090909090909078</v>
      </c>
      <c r="K58" s="23">
        <f>'Leave Record'!C60</f>
        <v>0</v>
      </c>
      <c r="Q58">
        <f t="shared" si="3"/>
        <v>0</v>
      </c>
      <c r="R58" s="15">
        <f t="shared" si="4"/>
        <v>-2.4090909090909078</v>
      </c>
    </row>
    <row r="59" spans="1:18" x14ac:dyDescent="0.25">
      <c r="A59" s="8">
        <f t="shared" si="5"/>
        <v>1</v>
      </c>
      <c r="B59" s="35">
        <f>IF(K59=$P$15,$M$4,IF(K59=$P$13,'Leave Entry'!$B$4,F59-1))</f>
        <v>-1</v>
      </c>
      <c r="C59" s="23">
        <f t="shared" si="0"/>
        <v>-1</v>
      </c>
      <c r="D59" s="42">
        <f t="shared" si="6"/>
        <v>-4.5454545454545456E-2</v>
      </c>
      <c r="E59" s="42">
        <f t="shared" si="7"/>
        <v>-2.4545454545454533</v>
      </c>
      <c r="F59" s="8">
        <f>'Leave Record'!A61</f>
        <v>0</v>
      </c>
      <c r="G59" s="8">
        <f>'Leave Record'!B61</f>
        <v>0</v>
      </c>
      <c r="H59" s="23">
        <f t="shared" si="1"/>
        <v>1</v>
      </c>
      <c r="I59" s="23">
        <f t="shared" si="2"/>
        <v>0</v>
      </c>
      <c r="J59" s="42">
        <f t="shared" si="8"/>
        <v>-2.4545454545454533</v>
      </c>
      <c r="K59" s="23">
        <f>'Leave Record'!C61</f>
        <v>0</v>
      </c>
      <c r="Q59">
        <f t="shared" si="3"/>
        <v>0</v>
      </c>
      <c r="R59" s="15">
        <f t="shared" si="4"/>
        <v>-2.4545454545454533</v>
      </c>
    </row>
    <row r="60" spans="1:18" x14ac:dyDescent="0.25">
      <c r="A60" s="8">
        <f t="shared" si="5"/>
        <v>1</v>
      </c>
      <c r="B60" s="35">
        <f>IF(K60=$P$15,$M$4,IF(K60=$P$13,'Leave Entry'!$B$4,F60-1))</f>
        <v>-1</v>
      </c>
      <c r="C60" s="23">
        <f t="shared" si="0"/>
        <v>-1</v>
      </c>
      <c r="D60" s="42">
        <f t="shared" si="6"/>
        <v>-4.5454545454545456E-2</v>
      </c>
      <c r="E60" s="42">
        <f t="shared" si="7"/>
        <v>-2.4999999999999987</v>
      </c>
      <c r="F60" s="8">
        <f>'Leave Record'!A62</f>
        <v>0</v>
      </c>
      <c r="G60" s="8">
        <f>'Leave Record'!B62</f>
        <v>0</v>
      </c>
      <c r="H60" s="23">
        <f t="shared" si="1"/>
        <v>1</v>
      </c>
      <c r="I60" s="23">
        <f t="shared" si="2"/>
        <v>0</v>
      </c>
      <c r="J60" s="42">
        <f t="shared" si="8"/>
        <v>-2.4999999999999987</v>
      </c>
      <c r="K60" s="23">
        <f>'Leave Record'!C62</f>
        <v>0</v>
      </c>
      <c r="Q60">
        <f t="shared" si="3"/>
        <v>0</v>
      </c>
      <c r="R60" s="15">
        <f t="shared" si="4"/>
        <v>-2.4999999999999987</v>
      </c>
    </row>
    <row r="61" spans="1:18" x14ac:dyDescent="0.25">
      <c r="A61" s="8">
        <f t="shared" si="5"/>
        <v>1</v>
      </c>
      <c r="B61" s="35">
        <f>IF(K61=$P$15,$M$4,IF(K61=$P$13,'Leave Entry'!$B$4,F61-1))</f>
        <v>-1</v>
      </c>
      <c r="C61" s="23">
        <f t="shared" si="0"/>
        <v>-1</v>
      </c>
      <c r="D61" s="42">
        <f t="shared" si="6"/>
        <v>-4.5454545454545456E-2</v>
      </c>
      <c r="E61" s="42">
        <f t="shared" si="7"/>
        <v>-2.5454545454545441</v>
      </c>
      <c r="F61" s="8">
        <f>'Leave Record'!A63</f>
        <v>0</v>
      </c>
      <c r="G61" s="8">
        <f>'Leave Record'!B63</f>
        <v>0</v>
      </c>
      <c r="H61" s="23">
        <f t="shared" si="1"/>
        <v>1</v>
      </c>
      <c r="I61" s="23">
        <f t="shared" si="2"/>
        <v>0</v>
      </c>
      <c r="J61" s="42">
        <f t="shared" si="8"/>
        <v>-2.5454545454545441</v>
      </c>
      <c r="K61" s="23">
        <f>'Leave Record'!C63</f>
        <v>0</v>
      </c>
      <c r="Q61">
        <f t="shared" si="3"/>
        <v>0</v>
      </c>
      <c r="R61" s="15">
        <f t="shared" si="4"/>
        <v>-2.5454545454545441</v>
      </c>
    </row>
    <row r="62" spans="1:18" x14ac:dyDescent="0.25">
      <c r="A62" s="8">
        <f t="shared" si="5"/>
        <v>1</v>
      </c>
      <c r="B62" s="35">
        <f>IF(K62=$P$15,$M$4,IF(K62=$P$13,'Leave Entry'!$B$4,F62-1))</f>
        <v>-1</v>
      </c>
      <c r="C62" s="23">
        <f t="shared" si="0"/>
        <v>-1</v>
      </c>
      <c r="D62" s="42">
        <f t="shared" si="6"/>
        <v>-4.5454545454545456E-2</v>
      </c>
      <c r="E62" s="42">
        <f t="shared" si="7"/>
        <v>-2.5909090909090895</v>
      </c>
      <c r="F62" s="8">
        <f>'Leave Record'!A64</f>
        <v>0</v>
      </c>
      <c r="G62" s="8">
        <f>'Leave Record'!B64</f>
        <v>0</v>
      </c>
      <c r="H62" s="23">
        <f t="shared" si="1"/>
        <v>1</v>
      </c>
      <c r="I62" s="23">
        <f t="shared" si="2"/>
        <v>0</v>
      </c>
      <c r="J62" s="42">
        <f t="shared" si="8"/>
        <v>-2.5909090909090895</v>
      </c>
      <c r="K62" s="23">
        <f>'Leave Record'!C64</f>
        <v>0</v>
      </c>
      <c r="Q62">
        <f t="shared" si="3"/>
        <v>0</v>
      </c>
      <c r="R62" s="15">
        <f t="shared" si="4"/>
        <v>-2.5909090909090895</v>
      </c>
    </row>
    <row r="63" spans="1:18" x14ac:dyDescent="0.25">
      <c r="A63" s="8">
        <f t="shared" si="5"/>
        <v>1</v>
      </c>
      <c r="B63" s="35">
        <f>IF(K63=$P$15,$M$4,IF(K63=$P$13,'Leave Entry'!$B$4,F63-1))</f>
        <v>-1</v>
      </c>
      <c r="C63" s="23">
        <f t="shared" si="0"/>
        <v>-1</v>
      </c>
      <c r="D63" s="42">
        <f t="shared" si="6"/>
        <v>-4.5454545454545456E-2</v>
      </c>
      <c r="E63" s="42">
        <f t="shared" si="7"/>
        <v>-2.6363636363636349</v>
      </c>
      <c r="F63" s="8">
        <f>'Leave Record'!A65</f>
        <v>0</v>
      </c>
      <c r="G63" s="8">
        <f>'Leave Record'!B65</f>
        <v>0</v>
      </c>
      <c r="H63" s="23">
        <f t="shared" si="1"/>
        <v>1</v>
      </c>
      <c r="I63" s="23">
        <f t="shared" si="2"/>
        <v>0</v>
      </c>
      <c r="J63" s="42">
        <f t="shared" si="8"/>
        <v>-2.6363636363636349</v>
      </c>
      <c r="K63" s="23">
        <f>'Leave Record'!C65</f>
        <v>0</v>
      </c>
      <c r="Q63">
        <f t="shared" si="3"/>
        <v>0</v>
      </c>
      <c r="R63" s="15">
        <f t="shared" si="4"/>
        <v>-2.6363636363636349</v>
      </c>
    </row>
    <row r="64" spans="1:18" x14ac:dyDescent="0.25">
      <c r="A64" s="8">
        <f t="shared" si="5"/>
        <v>1</v>
      </c>
      <c r="B64" s="35">
        <f>IF(K64=$P$15,$M$4,IF(K64=$P$13,'Leave Entry'!$B$4,F64-1))</f>
        <v>-1</v>
      </c>
      <c r="C64" s="23">
        <f t="shared" si="0"/>
        <v>-1</v>
      </c>
      <c r="D64" s="42">
        <f t="shared" si="6"/>
        <v>-4.5454545454545456E-2</v>
      </c>
      <c r="E64" s="42">
        <f t="shared" si="7"/>
        <v>-2.6818181818181803</v>
      </c>
      <c r="F64" s="8">
        <f>'Leave Record'!A66</f>
        <v>0</v>
      </c>
      <c r="G64" s="8">
        <f>'Leave Record'!B66</f>
        <v>0</v>
      </c>
      <c r="H64" s="23">
        <f t="shared" si="1"/>
        <v>1</v>
      </c>
      <c r="I64" s="23">
        <f t="shared" si="2"/>
        <v>0</v>
      </c>
      <c r="J64" s="42">
        <f t="shared" si="8"/>
        <v>-2.6818181818181803</v>
      </c>
      <c r="K64" s="23">
        <f>'Leave Record'!C66</f>
        <v>0</v>
      </c>
      <c r="Q64">
        <f t="shared" si="3"/>
        <v>0</v>
      </c>
      <c r="R64" s="15">
        <f t="shared" si="4"/>
        <v>-2.6818181818181803</v>
      </c>
    </row>
    <row r="65" spans="1:18" x14ac:dyDescent="0.25">
      <c r="A65" s="8">
        <f t="shared" si="5"/>
        <v>1</v>
      </c>
      <c r="B65" s="35">
        <f>IF(K65=$P$15,$M$4,IF(K65=$P$13,'Leave Entry'!$B$4,F65-1))</f>
        <v>-1</v>
      </c>
      <c r="C65" s="23">
        <f t="shared" si="0"/>
        <v>-1</v>
      </c>
      <c r="D65" s="42">
        <f t="shared" si="6"/>
        <v>-4.5454545454545456E-2</v>
      </c>
      <c r="E65" s="42">
        <f t="shared" si="7"/>
        <v>-2.7272727272727257</v>
      </c>
      <c r="F65" s="8">
        <f>'Leave Record'!A67</f>
        <v>0</v>
      </c>
      <c r="G65" s="8">
        <f>'Leave Record'!B67</f>
        <v>0</v>
      </c>
      <c r="H65" s="23">
        <f t="shared" si="1"/>
        <v>1</v>
      </c>
      <c r="I65" s="23">
        <f t="shared" si="2"/>
        <v>0</v>
      </c>
      <c r="J65" s="42">
        <f t="shared" si="8"/>
        <v>-2.7272727272727257</v>
      </c>
      <c r="K65" s="23">
        <f>'Leave Record'!C67</f>
        <v>0</v>
      </c>
      <c r="Q65">
        <f t="shared" si="3"/>
        <v>0</v>
      </c>
      <c r="R65" s="15">
        <f t="shared" si="4"/>
        <v>-2.7272727272727257</v>
      </c>
    </row>
    <row r="66" spans="1:18" x14ac:dyDescent="0.25">
      <c r="A66" s="8">
        <f t="shared" si="5"/>
        <v>1</v>
      </c>
      <c r="B66" s="35">
        <f>IF(K66=$P$15,$M$4,IF(K66=$P$13,'Leave Entry'!$B$4,F66-1))</f>
        <v>-1</v>
      </c>
      <c r="C66" s="23">
        <f t="shared" si="0"/>
        <v>-1</v>
      </c>
      <c r="D66" s="42">
        <f t="shared" si="6"/>
        <v>-4.5454545454545456E-2</v>
      </c>
      <c r="E66" s="42">
        <f t="shared" si="7"/>
        <v>-2.7727272727272712</v>
      </c>
      <c r="F66" s="8">
        <f>'Leave Record'!A68</f>
        <v>0</v>
      </c>
      <c r="G66" s="8">
        <f>'Leave Record'!B68</f>
        <v>0</v>
      </c>
      <c r="H66" s="23">
        <f t="shared" si="1"/>
        <v>1</v>
      </c>
      <c r="I66" s="23">
        <f t="shared" si="2"/>
        <v>0</v>
      </c>
      <c r="J66" s="42">
        <f t="shared" si="8"/>
        <v>-2.7727272727272712</v>
      </c>
      <c r="K66" s="23">
        <f>'Leave Record'!C68</f>
        <v>0</v>
      </c>
      <c r="Q66">
        <f t="shared" si="3"/>
        <v>0</v>
      </c>
      <c r="R66" s="15">
        <f t="shared" si="4"/>
        <v>-2.7727272727272712</v>
      </c>
    </row>
    <row r="67" spans="1:18" x14ac:dyDescent="0.25">
      <c r="A67" s="8">
        <f t="shared" si="5"/>
        <v>1</v>
      </c>
      <c r="B67" s="35">
        <f>IF(K67=$P$15,$M$4,IF(K67=$P$13,'Leave Entry'!$B$4,F67-1))</f>
        <v>-1</v>
      </c>
      <c r="C67" s="23">
        <f t="shared" si="0"/>
        <v>-1</v>
      </c>
      <c r="D67" s="42">
        <f t="shared" si="6"/>
        <v>-4.5454545454545456E-2</v>
      </c>
      <c r="E67" s="42">
        <f t="shared" si="7"/>
        <v>-2.8181818181818166</v>
      </c>
      <c r="F67" s="8">
        <f>'Leave Record'!A69</f>
        <v>0</v>
      </c>
      <c r="G67" s="8">
        <f>'Leave Record'!B69</f>
        <v>0</v>
      </c>
      <c r="H67" s="23">
        <f t="shared" si="1"/>
        <v>1</v>
      </c>
      <c r="I67" s="23">
        <f t="shared" si="2"/>
        <v>0</v>
      </c>
      <c r="J67" s="42">
        <f t="shared" si="8"/>
        <v>-2.8181818181818166</v>
      </c>
      <c r="K67" s="23">
        <f>'Leave Record'!C69</f>
        <v>0</v>
      </c>
      <c r="Q67">
        <f t="shared" si="3"/>
        <v>0</v>
      </c>
      <c r="R67" s="15">
        <f t="shared" si="4"/>
        <v>-2.8181818181818166</v>
      </c>
    </row>
    <row r="68" spans="1:18" x14ac:dyDescent="0.25">
      <c r="A68" s="8">
        <f t="shared" si="5"/>
        <v>1</v>
      </c>
      <c r="B68" s="35">
        <f>IF(K68=$P$15,$M$4,IF(K68=$P$13,'Leave Entry'!$B$4,F68-1))</f>
        <v>-1</v>
      </c>
      <c r="C68" s="23">
        <f t="shared" si="0"/>
        <v>-1</v>
      </c>
      <c r="D68" s="42">
        <f t="shared" si="6"/>
        <v>-4.5454545454545456E-2</v>
      </c>
      <c r="E68" s="42">
        <f t="shared" si="7"/>
        <v>-2.863636363636362</v>
      </c>
      <c r="F68" s="8">
        <f>'Leave Record'!A70</f>
        <v>0</v>
      </c>
      <c r="G68" s="8">
        <f>'Leave Record'!B70</f>
        <v>0</v>
      </c>
      <c r="H68" s="23">
        <f t="shared" si="1"/>
        <v>1</v>
      </c>
      <c r="I68" s="23">
        <f t="shared" si="2"/>
        <v>0</v>
      </c>
      <c r="J68" s="42">
        <f t="shared" si="8"/>
        <v>-2.863636363636362</v>
      </c>
      <c r="K68" s="23">
        <f>'Leave Record'!C70</f>
        <v>0</v>
      </c>
      <c r="Q68">
        <f t="shared" si="3"/>
        <v>0</v>
      </c>
      <c r="R68" s="15">
        <f t="shared" si="4"/>
        <v>-2.863636363636362</v>
      </c>
    </row>
    <row r="69" spans="1:18" x14ac:dyDescent="0.25">
      <c r="A69" s="8">
        <f t="shared" si="5"/>
        <v>1</v>
      </c>
      <c r="B69" s="35">
        <f>IF(K69=$P$15,$M$4,IF(K69=$P$13,'Leave Entry'!$B$4,F69-1))</f>
        <v>-1</v>
      </c>
      <c r="C69" s="23">
        <f t="shared" si="0"/>
        <v>-1</v>
      </c>
      <c r="D69" s="42">
        <f t="shared" si="6"/>
        <v>-4.5454545454545456E-2</v>
      </c>
      <c r="E69" s="42">
        <f t="shared" si="7"/>
        <v>-2.9090909090909074</v>
      </c>
      <c r="F69" s="8">
        <f>'Leave Record'!A71</f>
        <v>0</v>
      </c>
      <c r="G69" s="8">
        <f>'Leave Record'!B71</f>
        <v>0</v>
      </c>
      <c r="H69" s="23">
        <f t="shared" si="1"/>
        <v>1</v>
      </c>
      <c r="I69" s="23">
        <f t="shared" si="2"/>
        <v>0</v>
      </c>
      <c r="J69" s="42">
        <f t="shared" si="8"/>
        <v>-2.9090909090909074</v>
      </c>
      <c r="K69" s="23">
        <f>'Leave Record'!C71</f>
        <v>0</v>
      </c>
      <c r="Q69">
        <f t="shared" si="3"/>
        <v>0</v>
      </c>
      <c r="R69" s="15">
        <f t="shared" si="4"/>
        <v>-2.9090909090909074</v>
      </c>
    </row>
    <row r="70" spans="1:18" x14ac:dyDescent="0.25">
      <c r="A70" s="8">
        <f t="shared" si="5"/>
        <v>1</v>
      </c>
      <c r="B70" s="35">
        <f>IF(K70=$P$15,$M$4,IF(K70=$P$13,'Leave Entry'!$B$4,F70-1))</f>
        <v>-1</v>
      </c>
      <c r="C70" s="23">
        <f t="shared" ref="C70:C133" si="9">B70-A70+1</f>
        <v>-1</v>
      </c>
      <c r="D70" s="42">
        <f t="shared" si="6"/>
        <v>-4.5454545454545456E-2</v>
      </c>
      <c r="E70" s="42">
        <f t="shared" si="7"/>
        <v>-2.9545454545454528</v>
      </c>
      <c r="F70" s="8">
        <f>'Leave Record'!A72</f>
        <v>0</v>
      </c>
      <c r="G70" s="8">
        <f>'Leave Record'!B72</f>
        <v>0</v>
      </c>
      <c r="H70" s="23">
        <f t="shared" ref="H70:H133" si="10">G70-F70+1</f>
        <v>1</v>
      </c>
      <c r="I70" s="23">
        <f t="shared" ref="I70:I133" si="11">IF(K70=$P$14,H70,0)</f>
        <v>0</v>
      </c>
      <c r="J70" s="42">
        <f t="shared" si="8"/>
        <v>-2.9545454545454528</v>
      </c>
      <c r="K70" s="23">
        <f>'Leave Record'!C72</f>
        <v>0</v>
      </c>
      <c r="Q70">
        <f t="shared" ref="Q70:Q133" si="12">K70</f>
        <v>0</v>
      </c>
      <c r="R70" s="15">
        <f t="shared" ref="R70:R133" si="13">J70</f>
        <v>-2.9545454545454528</v>
      </c>
    </row>
    <row r="71" spans="1:18" x14ac:dyDescent="0.25">
      <c r="A71" s="8">
        <f t="shared" ref="A71:A134" si="14">G70+1</f>
        <v>1</v>
      </c>
      <c r="B71" s="35">
        <f>IF(K71=$P$15,$M$4,IF(K71=$P$13,'Leave Entry'!$B$4,F71-1))</f>
        <v>-1</v>
      </c>
      <c r="C71" s="23">
        <f t="shared" si="9"/>
        <v>-1</v>
      </c>
      <c r="D71" s="42">
        <f t="shared" ref="D71:D134" si="15">C71/22</f>
        <v>-4.5454545454545456E-2</v>
      </c>
      <c r="E71" s="42">
        <f t="shared" ref="E71:E134" si="16">J70+D71</f>
        <v>-2.9999999999999982</v>
      </c>
      <c r="F71" s="8">
        <f>'Leave Record'!A73</f>
        <v>0</v>
      </c>
      <c r="G71" s="8">
        <f>'Leave Record'!B73</f>
        <v>0</v>
      </c>
      <c r="H71" s="23">
        <f t="shared" si="10"/>
        <v>1</v>
      </c>
      <c r="I71" s="23">
        <f t="shared" si="11"/>
        <v>0</v>
      </c>
      <c r="J71" s="42">
        <f t="shared" ref="J71:J134" si="17">E71-I71</f>
        <v>-2.9999999999999982</v>
      </c>
      <c r="K71" s="23">
        <f>'Leave Record'!C73</f>
        <v>0</v>
      </c>
      <c r="Q71">
        <f t="shared" si="12"/>
        <v>0</v>
      </c>
      <c r="R71" s="15">
        <f t="shared" si="13"/>
        <v>-2.9999999999999982</v>
      </c>
    </row>
    <row r="72" spans="1:18" x14ac:dyDescent="0.25">
      <c r="A72" s="8">
        <f t="shared" si="14"/>
        <v>1</v>
      </c>
      <c r="B72" s="35">
        <f>IF(K72=$P$15,$M$4,IF(K72=$P$13,'Leave Entry'!$B$4,F72-1))</f>
        <v>-1</v>
      </c>
      <c r="C72" s="23">
        <f t="shared" si="9"/>
        <v>-1</v>
      </c>
      <c r="D72" s="42">
        <f t="shared" si="15"/>
        <v>-4.5454545454545456E-2</v>
      </c>
      <c r="E72" s="42">
        <f t="shared" si="16"/>
        <v>-3.0454545454545436</v>
      </c>
      <c r="F72" s="8">
        <f>'Leave Record'!A74</f>
        <v>0</v>
      </c>
      <c r="G72" s="8">
        <f>'Leave Record'!B74</f>
        <v>0</v>
      </c>
      <c r="H72" s="23">
        <f t="shared" si="10"/>
        <v>1</v>
      </c>
      <c r="I72" s="23">
        <f t="shared" si="11"/>
        <v>0</v>
      </c>
      <c r="J72" s="42">
        <f t="shared" si="17"/>
        <v>-3.0454545454545436</v>
      </c>
      <c r="K72" s="23">
        <f>'Leave Record'!C74</f>
        <v>0</v>
      </c>
      <c r="Q72">
        <f t="shared" si="12"/>
        <v>0</v>
      </c>
      <c r="R72" s="15">
        <f t="shared" si="13"/>
        <v>-3.0454545454545436</v>
      </c>
    </row>
    <row r="73" spans="1:18" x14ac:dyDescent="0.25">
      <c r="A73" s="8">
        <f t="shared" si="14"/>
        <v>1</v>
      </c>
      <c r="B73" s="35">
        <f>IF(K73=$P$15,$M$4,IF(K73=$P$13,'Leave Entry'!$B$4,F73-1))</f>
        <v>-1</v>
      </c>
      <c r="C73" s="23">
        <f t="shared" si="9"/>
        <v>-1</v>
      </c>
      <c r="D73" s="42">
        <f t="shared" si="15"/>
        <v>-4.5454545454545456E-2</v>
      </c>
      <c r="E73" s="42">
        <f t="shared" si="16"/>
        <v>-3.0909090909090891</v>
      </c>
      <c r="F73" s="8">
        <f>'Leave Record'!A75</f>
        <v>0</v>
      </c>
      <c r="G73" s="8">
        <f>'Leave Record'!B75</f>
        <v>0</v>
      </c>
      <c r="H73" s="23">
        <f t="shared" si="10"/>
        <v>1</v>
      </c>
      <c r="I73" s="23">
        <f t="shared" si="11"/>
        <v>0</v>
      </c>
      <c r="J73" s="42">
        <f t="shared" si="17"/>
        <v>-3.0909090909090891</v>
      </c>
      <c r="K73" s="23">
        <f>'Leave Record'!C75</f>
        <v>0</v>
      </c>
      <c r="Q73">
        <f t="shared" si="12"/>
        <v>0</v>
      </c>
      <c r="R73" s="15">
        <f t="shared" si="13"/>
        <v>-3.0909090909090891</v>
      </c>
    </row>
    <row r="74" spans="1:18" x14ac:dyDescent="0.25">
      <c r="A74" s="8">
        <f t="shared" si="14"/>
        <v>1</v>
      </c>
      <c r="B74" s="35">
        <f>IF(K74=$P$15,$M$4,IF(K74=$P$13,'Leave Entry'!$B$4,F74-1))</f>
        <v>-1</v>
      </c>
      <c r="C74" s="23">
        <f t="shared" si="9"/>
        <v>-1</v>
      </c>
      <c r="D74" s="42">
        <f t="shared" si="15"/>
        <v>-4.5454545454545456E-2</v>
      </c>
      <c r="E74" s="42">
        <f t="shared" si="16"/>
        <v>-3.1363636363636345</v>
      </c>
      <c r="F74" s="8">
        <f>'Leave Record'!A76</f>
        <v>0</v>
      </c>
      <c r="G74" s="8">
        <f>'Leave Record'!B76</f>
        <v>0</v>
      </c>
      <c r="H74" s="23">
        <f t="shared" si="10"/>
        <v>1</v>
      </c>
      <c r="I74" s="23">
        <f t="shared" si="11"/>
        <v>0</v>
      </c>
      <c r="J74" s="42">
        <f t="shared" si="17"/>
        <v>-3.1363636363636345</v>
      </c>
      <c r="K74" s="23">
        <f>'Leave Record'!C76</f>
        <v>0</v>
      </c>
      <c r="Q74">
        <f t="shared" si="12"/>
        <v>0</v>
      </c>
      <c r="R74" s="15">
        <f t="shared" si="13"/>
        <v>-3.1363636363636345</v>
      </c>
    </row>
    <row r="75" spans="1:18" x14ac:dyDescent="0.25">
      <c r="A75" s="8">
        <f t="shared" si="14"/>
        <v>1</v>
      </c>
      <c r="B75" s="35">
        <f>IF(K75=$P$15,$M$4,IF(K75=$P$13,'Leave Entry'!$B$4,F75-1))</f>
        <v>-1</v>
      </c>
      <c r="C75" s="23">
        <f t="shared" si="9"/>
        <v>-1</v>
      </c>
      <c r="D75" s="42">
        <f t="shared" si="15"/>
        <v>-4.5454545454545456E-2</v>
      </c>
      <c r="E75" s="42">
        <f t="shared" si="16"/>
        <v>-3.1818181818181799</v>
      </c>
      <c r="F75" s="8">
        <f>'Leave Record'!A77</f>
        <v>0</v>
      </c>
      <c r="G75" s="8">
        <f>'Leave Record'!B77</f>
        <v>0</v>
      </c>
      <c r="H75" s="23">
        <f t="shared" si="10"/>
        <v>1</v>
      </c>
      <c r="I75" s="23">
        <f t="shared" si="11"/>
        <v>0</v>
      </c>
      <c r="J75" s="42">
        <f t="shared" si="17"/>
        <v>-3.1818181818181799</v>
      </c>
      <c r="K75" s="23">
        <f>'Leave Record'!C77</f>
        <v>0</v>
      </c>
      <c r="Q75">
        <f t="shared" si="12"/>
        <v>0</v>
      </c>
      <c r="R75" s="15">
        <f t="shared" si="13"/>
        <v>-3.1818181818181799</v>
      </c>
    </row>
    <row r="76" spans="1:18" x14ac:dyDescent="0.25">
      <c r="A76" s="8">
        <f t="shared" si="14"/>
        <v>1</v>
      </c>
      <c r="B76" s="35">
        <f>IF(K76=$P$15,$M$4,IF(K76=$P$13,'Leave Entry'!$B$4,F76-1))</f>
        <v>-1</v>
      </c>
      <c r="C76" s="23">
        <f t="shared" si="9"/>
        <v>-1</v>
      </c>
      <c r="D76" s="42">
        <f t="shared" si="15"/>
        <v>-4.5454545454545456E-2</v>
      </c>
      <c r="E76" s="42">
        <f t="shared" si="16"/>
        <v>-3.2272727272727253</v>
      </c>
      <c r="F76" s="8">
        <f>'Leave Record'!A78</f>
        <v>0</v>
      </c>
      <c r="G76" s="8">
        <f>'Leave Record'!B78</f>
        <v>0</v>
      </c>
      <c r="H76" s="23">
        <f t="shared" si="10"/>
        <v>1</v>
      </c>
      <c r="I76" s="23">
        <f t="shared" si="11"/>
        <v>0</v>
      </c>
      <c r="J76" s="42">
        <f t="shared" si="17"/>
        <v>-3.2272727272727253</v>
      </c>
      <c r="K76" s="23">
        <f>'Leave Record'!C78</f>
        <v>0</v>
      </c>
      <c r="Q76">
        <f t="shared" si="12"/>
        <v>0</v>
      </c>
      <c r="R76" s="15">
        <f t="shared" si="13"/>
        <v>-3.2272727272727253</v>
      </c>
    </row>
    <row r="77" spans="1:18" x14ac:dyDescent="0.25">
      <c r="A77" s="8">
        <f t="shared" si="14"/>
        <v>1</v>
      </c>
      <c r="B77" s="35">
        <f>IF(K77=$P$15,$M$4,IF(K77=$P$13,'Leave Entry'!$B$4,F77-1))</f>
        <v>-1</v>
      </c>
      <c r="C77" s="23">
        <f t="shared" si="9"/>
        <v>-1</v>
      </c>
      <c r="D77" s="42">
        <f t="shared" si="15"/>
        <v>-4.5454545454545456E-2</v>
      </c>
      <c r="E77" s="42">
        <f t="shared" si="16"/>
        <v>-3.2727272727272707</v>
      </c>
      <c r="F77" s="8">
        <f>'Leave Record'!A79</f>
        <v>0</v>
      </c>
      <c r="G77" s="8">
        <f>'Leave Record'!B79</f>
        <v>0</v>
      </c>
      <c r="H77" s="23">
        <f t="shared" si="10"/>
        <v>1</v>
      </c>
      <c r="I77" s="23">
        <f t="shared" si="11"/>
        <v>0</v>
      </c>
      <c r="J77" s="42">
        <f t="shared" si="17"/>
        <v>-3.2727272727272707</v>
      </c>
      <c r="K77" s="23">
        <f>'Leave Record'!C79</f>
        <v>0</v>
      </c>
      <c r="Q77">
        <f t="shared" si="12"/>
        <v>0</v>
      </c>
      <c r="R77" s="15">
        <f t="shared" si="13"/>
        <v>-3.2727272727272707</v>
      </c>
    </row>
    <row r="78" spans="1:18" x14ac:dyDescent="0.25">
      <c r="A78" s="8">
        <f t="shared" si="14"/>
        <v>1</v>
      </c>
      <c r="B78" s="35">
        <f>IF(K78=$P$15,$M$4,IF(K78=$P$13,'Leave Entry'!$B$4,F78-1))</f>
        <v>-1</v>
      </c>
      <c r="C78" s="23">
        <f t="shared" si="9"/>
        <v>-1</v>
      </c>
      <c r="D78" s="42">
        <f t="shared" si="15"/>
        <v>-4.5454545454545456E-2</v>
      </c>
      <c r="E78" s="42">
        <f t="shared" si="16"/>
        <v>-3.3181818181818161</v>
      </c>
      <c r="F78" s="8">
        <f>'Leave Record'!A80</f>
        <v>0</v>
      </c>
      <c r="G78" s="8">
        <f>'Leave Record'!B80</f>
        <v>0</v>
      </c>
      <c r="H78" s="23">
        <f t="shared" si="10"/>
        <v>1</v>
      </c>
      <c r="I78" s="23">
        <f t="shared" si="11"/>
        <v>0</v>
      </c>
      <c r="J78" s="42">
        <f t="shared" si="17"/>
        <v>-3.3181818181818161</v>
      </c>
      <c r="K78" s="23">
        <f>'Leave Record'!C80</f>
        <v>0</v>
      </c>
      <c r="Q78">
        <f t="shared" si="12"/>
        <v>0</v>
      </c>
      <c r="R78" s="15">
        <f t="shared" si="13"/>
        <v>-3.3181818181818161</v>
      </c>
    </row>
    <row r="79" spans="1:18" x14ac:dyDescent="0.25">
      <c r="A79" s="8">
        <f t="shared" si="14"/>
        <v>1</v>
      </c>
      <c r="B79" s="35">
        <f>IF(K79=$P$15,$M$4,IF(K79=$P$13,'Leave Entry'!$B$4,F79-1))</f>
        <v>-1</v>
      </c>
      <c r="C79" s="23">
        <f t="shared" si="9"/>
        <v>-1</v>
      </c>
      <c r="D79" s="42">
        <f t="shared" si="15"/>
        <v>-4.5454545454545456E-2</v>
      </c>
      <c r="E79" s="42">
        <f t="shared" si="16"/>
        <v>-3.3636363636363615</v>
      </c>
      <c r="F79" s="8">
        <f>'Leave Record'!A81</f>
        <v>0</v>
      </c>
      <c r="G79" s="8">
        <f>'Leave Record'!B81</f>
        <v>0</v>
      </c>
      <c r="H79" s="23">
        <f t="shared" si="10"/>
        <v>1</v>
      </c>
      <c r="I79" s="23">
        <f t="shared" si="11"/>
        <v>0</v>
      </c>
      <c r="J79" s="42">
        <f t="shared" si="17"/>
        <v>-3.3636363636363615</v>
      </c>
      <c r="K79" s="23">
        <f>'Leave Record'!C81</f>
        <v>0</v>
      </c>
      <c r="Q79">
        <f t="shared" si="12"/>
        <v>0</v>
      </c>
      <c r="R79" s="15">
        <f t="shared" si="13"/>
        <v>-3.3636363636363615</v>
      </c>
    </row>
    <row r="80" spans="1:18" x14ac:dyDescent="0.25">
      <c r="A80" s="8">
        <f t="shared" si="14"/>
        <v>1</v>
      </c>
      <c r="B80" s="35">
        <f>IF(K80=$P$15,$M$4,IF(K80=$P$13,'Leave Entry'!$B$4,F80-1))</f>
        <v>-1</v>
      </c>
      <c r="C80" s="23">
        <f t="shared" si="9"/>
        <v>-1</v>
      </c>
      <c r="D80" s="42">
        <f t="shared" si="15"/>
        <v>-4.5454545454545456E-2</v>
      </c>
      <c r="E80" s="42">
        <f t="shared" si="16"/>
        <v>-3.409090909090907</v>
      </c>
      <c r="F80" s="8">
        <f>'Leave Record'!A82</f>
        <v>0</v>
      </c>
      <c r="G80" s="8">
        <f>'Leave Record'!B82</f>
        <v>0</v>
      </c>
      <c r="H80" s="23">
        <f t="shared" si="10"/>
        <v>1</v>
      </c>
      <c r="I80" s="23">
        <f t="shared" si="11"/>
        <v>0</v>
      </c>
      <c r="J80" s="42">
        <f t="shared" si="17"/>
        <v>-3.409090909090907</v>
      </c>
      <c r="K80" s="23">
        <f>'Leave Record'!C82</f>
        <v>0</v>
      </c>
      <c r="Q80">
        <f t="shared" si="12"/>
        <v>0</v>
      </c>
      <c r="R80" s="15">
        <f t="shared" si="13"/>
        <v>-3.409090909090907</v>
      </c>
    </row>
    <row r="81" spans="1:18" x14ac:dyDescent="0.25">
      <c r="A81" s="8">
        <f t="shared" si="14"/>
        <v>1</v>
      </c>
      <c r="B81" s="35">
        <f>IF(K81=$P$15,$M$4,IF(K81=$P$13,'Leave Entry'!$B$4,F81-1))</f>
        <v>-1</v>
      </c>
      <c r="C81" s="23">
        <f t="shared" si="9"/>
        <v>-1</v>
      </c>
      <c r="D81" s="42">
        <f t="shared" si="15"/>
        <v>-4.5454545454545456E-2</v>
      </c>
      <c r="E81" s="42">
        <f t="shared" si="16"/>
        <v>-3.4545454545454524</v>
      </c>
      <c r="F81" s="8">
        <f>'Leave Record'!A83</f>
        <v>0</v>
      </c>
      <c r="G81" s="8">
        <f>'Leave Record'!B83</f>
        <v>0</v>
      </c>
      <c r="H81" s="23">
        <f t="shared" si="10"/>
        <v>1</v>
      </c>
      <c r="I81" s="23">
        <f t="shared" si="11"/>
        <v>0</v>
      </c>
      <c r="J81" s="42">
        <f t="shared" si="17"/>
        <v>-3.4545454545454524</v>
      </c>
      <c r="K81" s="23">
        <f>'Leave Record'!C83</f>
        <v>0</v>
      </c>
      <c r="Q81">
        <f t="shared" si="12"/>
        <v>0</v>
      </c>
      <c r="R81" s="15">
        <f t="shared" si="13"/>
        <v>-3.4545454545454524</v>
      </c>
    </row>
    <row r="82" spans="1:18" x14ac:dyDescent="0.25">
      <c r="A82" s="8">
        <f t="shared" si="14"/>
        <v>1</v>
      </c>
      <c r="B82" s="35">
        <f>IF(K82=$P$15,$M$4,IF(K82=$P$13,'Leave Entry'!$B$4,F82-1))</f>
        <v>-1</v>
      </c>
      <c r="C82" s="23">
        <f t="shared" si="9"/>
        <v>-1</v>
      </c>
      <c r="D82" s="42">
        <f t="shared" si="15"/>
        <v>-4.5454545454545456E-2</v>
      </c>
      <c r="E82" s="42">
        <f t="shared" si="16"/>
        <v>-3.4999999999999978</v>
      </c>
      <c r="F82" s="8">
        <f>'Leave Record'!A84</f>
        <v>0</v>
      </c>
      <c r="G82" s="8">
        <f>'Leave Record'!B84</f>
        <v>0</v>
      </c>
      <c r="H82" s="23">
        <f t="shared" si="10"/>
        <v>1</v>
      </c>
      <c r="I82" s="23">
        <f t="shared" si="11"/>
        <v>0</v>
      </c>
      <c r="J82" s="42">
        <f t="shared" si="17"/>
        <v>-3.4999999999999978</v>
      </c>
      <c r="K82" s="23">
        <f>'Leave Record'!C84</f>
        <v>0</v>
      </c>
      <c r="Q82">
        <f t="shared" si="12"/>
        <v>0</v>
      </c>
      <c r="R82" s="15">
        <f t="shared" si="13"/>
        <v>-3.4999999999999978</v>
      </c>
    </row>
    <row r="83" spans="1:18" x14ac:dyDescent="0.25">
      <c r="A83" s="8">
        <f t="shared" si="14"/>
        <v>1</v>
      </c>
      <c r="B83" s="35">
        <f>IF(K83=$P$15,$M$4,IF(K83=$P$13,'Leave Entry'!$B$4,F83-1))</f>
        <v>-1</v>
      </c>
      <c r="C83" s="23">
        <f t="shared" si="9"/>
        <v>-1</v>
      </c>
      <c r="D83" s="42">
        <f t="shared" si="15"/>
        <v>-4.5454545454545456E-2</v>
      </c>
      <c r="E83" s="42">
        <f t="shared" si="16"/>
        <v>-3.5454545454545432</v>
      </c>
      <c r="F83" s="8">
        <f>'Leave Record'!A85</f>
        <v>0</v>
      </c>
      <c r="G83" s="8">
        <f>'Leave Record'!B85</f>
        <v>0</v>
      </c>
      <c r="H83" s="23">
        <f t="shared" si="10"/>
        <v>1</v>
      </c>
      <c r="I83" s="23">
        <f t="shared" si="11"/>
        <v>0</v>
      </c>
      <c r="J83" s="42">
        <f t="shared" si="17"/>
        <v>-3.5454545454545432</v>
      </c>
      <c r="K83" s="23">
        <f>'Leave Record'!C85</f>
        <v>0</v>
      </c>
      <c r="Q83">
        <f t="shared" si="12"/>
        <v>0</v>
      </c>
      <c r="R83" s="15">
        <f t="shared" si="13"/>
        <v>-3.5454545454545432</v>
      </c>
    </row>
    <row r="84" spans="1:18" x14ac:dyDescent="0.25">
      <c r="A84" s="8">
        <f t="shared" si="14"/>
        <v>1</v>
      </c>
      <c r="B84" s="35">
        <f>IF(K84=$P$15,$M$4,IF(K84=$P$13,'Leave Entry'!$B$4,F84-1))</f>
        <v>-1</v>
      </c>
      <c r="C84" s="23">
        <f t="shared" si="9"/>
        <v>-1</v>
      </c>
      <c r="D84" s="42">
        <f t="shared" si="15"/>
        <v>-4.5454545454545456E-2</v>
      </c>
      <c r="E84" s="42">
        <f t="shared" si="16"/>
        <v>-3.5909090909090886</v>
      </c>
      <c r="F84" s="8">
        <f>'Leave Record'!A86</f>
        <v>0</v>
      </c>
      <c r="G84" s="8">
        <f>'Leave Record'!B86</f>
        <v>0</v>
      </c>
      <c r="H84" s="23">
        <f t="shared" si="10"/>
        <v>1</v>
      </c>
      <c r="I84" s="23">
        <f t="shared" si="11"/>
        <v>0</v>
      </c>
      <c r="J84" s="42">
        <f t="shared" si="17"/>
        <v>-3.5909090909090886</v>
      </c>
      <c r="K84" s="23">
        <f>'Leave Record'!C86</f>
        <v>0</v>
      </c>
      <c r="Q84">
        <f t="shared" si="12"/>
        <v>0</v>
      </c>
      <c r="R84" s="15">
        <f t="shared" si="13"/>
        <v>-3.5909090909090886</v>
      </c>
    </row>
    <row r="85" spans="1:18" x14ac:dyDescent="0.25">
      <c r="A85" s="8">
        <f t="shared" si="14"/>
        <v>1</v>
      </c>
      <c r="B85" s="35">
        <f>IF(K85=$P$15,$M$4,IF(K85=$P$13,'Leave Entry'!$B$4,F85-1))</f>
        <v>-1</v>
      </c>
      <c r="C85" s="23">
        <f t="shared" si="9"/>
        <v>-1</v>
      </c>
      <c r="D85" s="42">
        <f t="shared" si="15"/>
        <v>-4.5454545454545456E-2</v>
      </c>
      <c r="E85" s="42">
        <f t="shared" si="16"/>
        <v>-3.636363636363634</v>
      </c>
      <c r="F85" s="8">
        <f>'Leave Record'!A87</f>
        <v>0</v>
      </c>
      <c r="G85" s="8">
        <f>'Leave Record'!B87</f>
        <v>0</v>
      </c>
      <c r="H85" s="23">
        <f t="shared" si="10"/>
        <v>1</v>
      </c>
      <c r="I85" s="23">
        <f t="shared" si="11"/>
        <v>0</v>
      </c>
      <c r="J85" s="42">
        <f t="shared" si="17"/>
        <v>-3.636363636363634</v>
      </c>
      <c r="K85" s="23">
        <f>'Leave Record'!C87</f>
        <v>0</v>
      </c>
      <c r="Q85">
        <f t="shared" si="12"/>
        <v>0</v>
      </c>
      <c r="R85" s="15">
        <f t="shared" si="13"/>
        <v>-3.636363636363634</v>
      </c>
    </row>
    <row r="86" spans="1:18" x14ac:dyDescent="0.25">
      <c r="A86" s="8">
        <f t="shared" si="14"/>
        <v>1</v>
      </c>
      <c r="B86" s="35">
        <f>IF(K86=$P$15,$M$4,IF(K86=$P$13,'Leave Entry'!$B$4,F86-1))</f>
        <v>-1</v>
      </c>
      <c r="C86" s="23">
        <f t="shared" si="9"/>
        <v>-1</v>
      </c>
      <c r="D86" s="42">
        <f t="shared" si="15"/>
        <v>-4.5454545454545456E-2</v>
      </c>
      <c r="E86" s="42">
        <f t="shared" si="16"/>
        <v>-3.6818181818181794</v>
      </c>
      <c r="F86" s="8">
        <f>'Leave Record'!A88</f>
        <v>0</v>
      </c>
      <c r="G86" s="8">
        <f>'Leave Record'!B88</f>
        <v>0</v>
      </c>
      <c r="H86" s="23">
        <f t="shared" si="10"/>
        <v>1</v>
      </c>
      <c r="I86" s="23">
        <f t="shared" si="11"/>
        <v>0</v>
      </c>
      <c r="J86" s="42">
        <f t="shared" si="17"/>
        <v>-3.6818181818181794</v>
      </c>
      <c r="K86" s="23">
        <f>'Leave Record'!C88</f>
        <v>0</v>
      </c>
      <c r="Q86">
        <f t="shared" si="12"/>
        <v>0</v>
      </c>
      <c r="R86" s="15">
        <f t="shared" si="13"/>
        <v>-3.6818181818181794</v>
      </c>
    </row>
    <row r="87" spans="1:18" x14ac:dyDescent="0.25">
      <c r="A87" s="8">
        <f t="shared" si="14"/>
        <v>1</v>
      </c>
      <c r="B87" s="35">
        <f>IF(K87=$P$15,$M$4,IF(K87=$P$13,'Leave Entry'!$B$4,F87-1))</f>
        <v>-1</v>
      </c>
      <c r="C87" s="23">
        <f t="shared" si="9"/>
        <v>-1</v>
      </c>
      <c r="D87" s="42">
        <f t="shared" si="15"/>
        <v>-4.5454545454545456E-2</v>
      </c>
      <c r="E87" s="42">
        <f t="shared" si="16"/>
        <v>-3.7272727272727249</v>
      </c>
      <c r="F87" s="8">
        <f>'Leave Record'!A89</f>
        <v>0</v>
      </c>
      <c r="G87" s="8">
        <f>'Leave Record'!B89</f>
        <v>0</v>
      </c>
      <c r="H87" s="23">
        <f t="shared" si="10"/>
        <v>1</v>
      </c>
      <c r="I87" s="23">
        <f t="shared" si="11"/>
        <v>0</v>
      </c>
      <c r="J87" s="42">
        <f t="shared" si="17"/>
        <v>-3.7272727272727249</v>
      </c>
      <c r="K87" s="23">
        <f>'Leave Record'!C89</f>
        <v>0</v>
      </c>
      <c r="Q87">
        <f t="shared" si="12"/>
        <v>0</v>
      </c>
      <c r="R87" s="15">
        <f t="shared" si="13"/>
        <v>-3.7272727272727249</v>
      </c>
    </row>
    <row r="88" spans="1:18" x14ac:dyDescent="0.25">
      <c r="A88" s="8">
        <f t="shared" si="14"/>
        <v>1</v>
      </c>
      <c r="B88" s="35">
        <f>IF(K88=$P$15,$M$4,IF(K88=$P$13,'Leave Entry'!$B$4,F88-1))</f>
        <v>-1</v>
      </c>
      <c r="C88" s="23">
        <f t="shared" si="9"/>
        <v>-1</v>
      </c>
      <c r="D88" s="42">
        <f t="shared" si="15"/>
        <v>-4.5454545454545456E-2</v>
      </c>
      <c r="E88" s="42">
        <f t="shared" si="16"/>
        <v>-3.7727272727272703</v>
      </c>
      <c r="F88" s="8">
        <f>'Leave Record'!A90</f>
        <v>0</v>
      </c>
      <c r="G88" s="8">
        <f>'Leave Record'!B90</f>
        <v>0</v>
      </c>
      <c r="H88" s="23">
        <f t="shared" si="10"/>
        <v>1</v>
      </c>
      <c r="I88" s="23">
        <f t="shared" si="11"/>
        <v>0</v>
      </c>
      <c r="J88" s="42">
        <f t="shared" si="17"/>
        <v>-3.7727272727272703</v>
      </c>
      <c r="K88" s="23">
        <f>'Leave Record'!C90</f>
        <v>0</v>
      </c>
      <c r="Q88">
        <f t="shared" si="12"/>
        <v>0</v>
      </c>
      <c r="R88" s="15">
        <f t="shared" si="13"/>
        <v>-3.7727272727272703</v>
      </c>
    </row>
    <row r="89" spans="1:18" x14ac:dyDescent="0.25">
      <c r="A89" s="8">
        <f t="shared" si="14"/>
        <v>1</v>
      </c>
      <c r="B89" s="35">
        <f>IF(K89=$P$15,$M$4,IF(K89=$P$13,'Leave Entry'!$B$4,F89-1))</f>
        <v>-1</v>
      </c>
      <c r="C89" s="23">
        <f t="shared" si="9"/>
        <v>-1</v>
      </c>
      <c r="D89" s="42">
        <f t="shared" si="15"/>
        <v>-4.5454545454545456E-2</v>
      </c>
      <c r="E89" s="42">
        <f t="shared" si="16"/>
        <v>-3.8181818181818157</v>
      </c>
      <c r="F89" s="8">
        <f>'Leave Record'!A91</f>
        <v>0</v>
      </c>
      <c r="G89" s="8">
        <f>'Leave Record'!B91</f>
        <v>0</v>
      </c>
      <c r="H89" s="23">
        <f t="shared" si="10"/>
        <v>1</v>
      </c>
      <c r="I89" s="23">
        <f t="shared" si="11"/>
        <v>0</v>
      </c>
      <c r="J89" s="42">
        <f t="shared" si="17"/>
        <v>-3.8181818181818157</v>
      </c>
      <c r="K89" s="23">
        <f>'Leave Record'!C91</f>
        <v>0</v>
      </c>
      <c r="Q89">
        <f t="shared" si="12"/>
        <v>0</v>
      </c>
      <c r="R89" s="15">
        <f t="shared" si="13"/>
        <v>-3.8181818181818157</v>
      </c>
    </row>
    <row r="90" spans="1:18" x14ac:dyDescent="0.25">
      <c r="A90" s="8">
        <f t="shared" si="14"/>
        <v>1</v>
      </c>
      <c r="B90" s="35">
        <f>IF(K90=$P$15,$M$4,IF(K90=$P$13,'Leave Entry'!$B$4,F90-1))</f>
        <v>-1</v>
      </c>
      <c r="C90" s="23">
        <f t="shared" si="9"/>
        <v>-1</v>
      </c>
      <c r="D90" s="42">
        <f t="shared" si="15"/>
        <v>-4.5454545454545456E-2</v>
      </c>
      <c r="E90" s="42">
        <f t="shared" si="16"/>
        <v>-3.8636363636363611</v>
      </c>
      <c r="F90" s="8">
        <f>'Leave Record'!A92</f>
        <v>0</v>
      </c>
      <c r="G90" s="8">
        <f>'Leave Record'!B92</f>
        <v>0</v>
      </c>
      <c r="H90" s="23">
        <f t="shared" si="10"/>
        <v>1</v>
      </c>
      <c r="I90" s="23">
        <f t="shared" si="11"/>
        <v>0</v>
      </c>
      <c r="J90" s="42">
        <f t="shared" si="17"/>
        <v>-3.8636363636363611</v>
      </c>
      <c r="K90" s="23">
        <f>'Leave Record'!C92</f>
        <v>0</v>
      </c>
      <c r="Q90">
        <f t="shared" si="12"/>
        <v>0</v>
      </c>
      <c r="R90" s="15">
        <f t="shared" si="13"/>
        <v>-3.8636363636363611</v>
      </c>
    </row>
    <row r="91" spans="1:18" x14ac:dyDescent="0.25">
      <c r="A91" s="8">
        <f t="shared" si="14"/>
        <v>1</v>
      </c>
      <c r="B91" s="35">
        <f>IF(K91=$P$15,$M$4,IF(K91=$P$13,'Leave Entry'!$B$4,F91-1))</f>
        <v>-1</v>
      </c>
      <c r="C91" s="23">
        <f t="shared" si="9"/>
        <v>-1</v>
      </c>
      <c r="D91" s="42">
        <f t="shared" si="15"/>
        <v>-4.5454545454545456E-2</v>
      </c>
      <c r="E91" s="42">
        <f t="shared" si="16"/>
        <v>-3.9090909090909065</v>
      </c>
      <c r="F91" s="8">
        <f>'Leave Record'!A93</f>
        <v>0</v>
      </c>
      <c r="G91" s="8">
        <f>'Leave Record'!B93</f>
        <v>0</v>
      </c>
      <c r="H91" s="23">
        <f t="shared" si="10"/>
        <v>1</v>
      </c>
      <c r="I91" s="23">
        <f t="shared" si="11"/>
        <v>0</v>
      </c>
      <c r="J91" s="42">
        <f t="shared" si="17"/>
        <v>-3.9090909090909065</v>
      </c>
      <c r="K91" s="23">
        <f>'Leave Record'!C93</f>
        <v>0</v>
      </c>
      <c r="Q91">
        <f t="shared" si="12"/>
        <v>0</v>
      </c>
      <c r="R91" s="15">
        <f t="shared" si="13"/>
        <v>-3.9090909090909065</v>
      </c>
    </row>
    <row r="92" spans="1:18" x14ac:dyDescent="0.25">
      <c r="A92" s="8">
        <f t="shared" si="14"/>
        <v>1</v>
      </c>
      <c r="B92" s="35">
        <f>IF(K92=$P$15,$M$4,IF(K92=$P$13,'Leave Entry'!$B$4,F92-1))</f>
        <v>-1</v>
      </c>
      <c r="C92" s="23">
        <f t="shared" si="9"/>
        <v>-1</v>
      </c>
      <c r="D92" s="42">
        <f t="shared" si="15"/>
        <v>-4.5454545454545456E-2</v>
      </c>
      <c r="E92" s="42">
        <f t="shared" si="16"/>
        <v>-3.9545454545454519</v>
      </c>
      <c r="F92" s="8">
        <f>'Leave Record'!A94</f>
        <v>0</v>
      </c>
      <c r="G92" s="8">
        <f>'Leave Record'!B94</f>
        <v>0</v>
      </c>
      <c r="H92" s="23">
        <f t="shared" si="10"/>
        <v>1</v>
      </c>
      <c r="I92" s="23">
        <f t="shared" si="11"/>
        <v>0</v>
      </c>
      <c r="J92" s="42">
        <f t="shared" si="17"/>
        <v>-3.9545454545454519</v>
      </c>
      <c r="K92" s="23">
        <f>'Leave Record'!C94</f>
        <v>0</v>
      </c>
      <c r="Q92">
        <f t="shared" si="12"/>
        <v>0</v>
      </c>
      <c r="R92" s="15">
        <f t="shared" si="13"/>
        <v>-3.9545454545454519</v>
      </c>
    </row>
    <row r="93" spans="1:18" x14ac:dyDescent="0.25">
      <c r="A93" s="8">
        <f t="shared" si="14"/>
        <v>1</v>
      </c>
      <c r="B93" s="35">
        <f>IF(K93=$P$15,$M$4,IF(K93=$P$13,'Leave Entry'!$B$4,F93-1))</f>
        <v>-1</v>
      </c>
      <c r="C93" s="23">
        <f t="shared" si="9"/>
        <v>-1</v>
      </c>
      <c r="D93" s="42">
        <f t="shared" si="15"/>
        <v>-4.5454545454545456E-2</v>
      </c>
      <c r="E93" s="42">
        <f t="shared" si="16"/>
        <v>-3.9999999999999973</v>
      </c>
      <c r="F93" s="8">
        <f>'Leave Record'!A95</f>
        <v>0</v>
      </c>
      <c r="G93" s="8">
        <f>'Leave Record'!B95</f>
        <v>0</v>
      </c>
      <c r="H93" s="23">
        <f t="shared" si="10"/>
        <v>1</v>
      </c>
      <c r="I93" s="23">
        <f t="shared" si="11"/>
        <v>0</v>
      </c>
      <c r="J93" s="42">
        <f t="shared" si="17"/>
        <v>-3.9999999999999973</v>
      </c>
      <c r="K93" s="23">
        <f>'Leave Record'!C95</f>
        <v>0</v>
      </c>
      <c r="Q93">
        <f t="shared" si="12"/>
        <v>0</v>
      </c>
      <c r="R93" s="15">
        <f t="shared" si="13"/>
        <v>-3.9999999999999973</v>
      </c>
    </row>
    <row r="94" spans="1:18" x14ac:dyDescent="0.25">
      <c r="A94" s="8">
        <f t="shared" si="14"/>
        <v>1</v>
      </c>
      <c r="B94" s="35">
        <f>IF(K94=$P$15,$M$4,IF(K94=$P$13,'Leave Entry'!$B$4,F94-1))</f>
        <v>-1</v>
      </c>
      <c r="C94" s="23">
        <f t="shared" si="9"/>
        <v>-1</v>
      </c>
      <c r="D94" s="42">
        <f t="shared" si="15"/>
        <v>-4.5454545454545456E-2</v>
      </c>
      <c r="E94" s="42">
        <f t="shared" si="16"/>
        <v>-4.0454545454545432</v>
      </c>
      <c r="F94" s="8">
        <f>'Leave Record'!A96</f>
        <v>0</v>
      </c>
      <c r="G94" s="8">
        <f>'Leave Record'!B96</f>
        <v>0</v>
      </c>
      <c r="H94" s="23">
        <f t="shared" si="10"/>
        <v>1</v>
      </c>
      <c r="I94" s="23">
        <f t="shared" si="11"/>
        <v>0</v>
      </c>
      <c r="J94" s="42">
        <f t="shared" si="17"/>
        <v>-4.0454545454545432</v>
      </c>
      <c r="K94" s="23">
        <f>'Leave Record'!C96</f>
        <v>0</v>
      </c>
      <c r="Q94">
        <f t="shared" si="12"/>
        <v>0</v>
      </c>
      <c r="R94" s="15">
        <f t="shared" si="13"/>
        <v>-4.0454545454545432</v>
      </c>
    </row>
    <row r="95" spans="1:18" x14ac:dyDescent="0.25">
      <c r="A95" s="8">
        <f t="shared" si="14"/>
        <v>1</v>
      </c>
      <c r="B95" s="35">
        <f>IF(K95=$P$15,$M$4,IF(K95=$P$13,'Leave Entry'!$B$4,F95-1))</f>
        <v>-1</v>
      </c>
      <c r="C95" s="23">
        <f t="shared" si="9"/>
        <v>-1</v>
      </c>
      <c r="D95" s="42">
        <f t="shared" si="15"/>
        <v>-4.5454545454545456E-2</v>
      </c>
      <c r="E95" s="42">
        <f t="shared" si="16"/>
        <v>-4.0909090909090891</v>
      </c>
      <c r="F95" s="8">
        <f>'Leave Record'!A97</f>
        <v>0</v>
      </c>
      <c r="G95" s="8">
        <f>'Leave Record'!B97</f>
        <v>0</v>
      </c>
      <c r="H95" s="23">
        <f t="shared" si="10"/>
        <v>1</v>
      </c>
      <c r="I95" s="23">
        <f t="shared" si="11"/>
        <v>0</v>
      </c>
      <c r="J95" s="42">
        <f t="shared" si="17"/>
        <v>-4.0909090909090891</v>
      </c>
      <c r="K95" s="23">
        <f>'Leave Record'!C97</f>
        <v>0</v>
      </c>
      <c r="Q95">
        <f t="shared" si="12"/>
        <v>0</v>
      </c>
      <c r="R95" s="15">
        <f t="shared" si="13"/>
        <v>-4.0909090909090891</v>
      </c>
    </row>
    <row r="96" spans="1:18" x14ac:dyDescent="0.25">
      <c r="A96" s="8">
        <f t="shared" si="14"/>
        <v>1</v>
      </c>
      <c r="B96" s="35">
        <f>IF(K96=$P$15,$M$4,IF(K96=$P$13,'Leave Entry'!$B$4,F96-1))</f>
        <v>-1</v>
      </c>
      <c r="C96" s="23">
        <f t="shared" si="9"/>
        <v>-1</v>
      </c>
      <c r="D96" s="42">
        <f t="shared" si="15"/>
        <v>-4.5454545454545456E-2</v>
      </c>
      <c r="E96" s="42">
        <f t="shared" si="16"/>
        <v>-4.1363636363636349</v>
      </c>
      <c r="F96" s="8">
        <f>'Leave Record'!A98</f>
        <v>0</v>
      </c>
      <c r="G96" s="8">
        <f>'Leave Record'!B98</f>
        <v>0</v>
      </c>
      <c r="H96" s="23">
        <f t="shared" si="10"/>
        <v>1</v>
      </c>
      <c r="I96" s="23">
        <f t="shared" si="11"/>
        <v>0</v>
      </c>
      <c r="J96" s="42">
        <f t="shared" si="17"/>
        <v>-4.1363636363636349</v>
      </c>
      <c r="K96" s="23">
        <f>'Leave Record'!C98</f>
        <v>0</v>
      </c>
      <c r="Q96">
        <f t="shared" si="12"/>
        <v>0</v>
      </c>
      <c r="R96" s="15">
        <f t="shared" si="13"/>
        <v>-4.1363636363636349</v>
      </c>
    </row>
    <row r="97" spans="1:18" x14ac:dyDescent="0.25">
      <c r="A97" s="8">
        <f t="shared" si="14"/>
        <v>1</v>
      </c>
      <c r="B97" s="35">
        <f>IF(K97=$P$15,$M$4,IF(K97=$P$13,'Leave Entry'!$B$4,F97-1))</f>
        <v>-1</v>
      </c>
      <c r="C97" s="23">
        <f t="shared" si="9"/>
        <v>-1</v>
      </c>
      <c r="D97" s="42">
        <f t="shared" si="15"/>
        <v>-4.5454545454545456E-2</v>
      </c>
      <c r="E97" s="42">
        <f t="shared" si="16"/>
        <v>-4.1818181818181808</v>
      </c>
      <c r="F97" s="8">
        <f>'Leave Record'!A99</f>
        <v>0</v>
      </c>
      <c r="G97" s="8">
        <f>'Leave Record'!B99</f>
        <v>0</v>
      </c>
      <c r="H97" s="23">
        <f t="shared" si="10"/>
        <v>1</v>
      </c>
      <c r="I97" s="23">
        <f t="shared" si="11"/>
        <v>0</v>
      </c>
      <c r="J97" s="42">
        <f t="shared" si="17"/>
        <v>-4.1818181818181808</v>
      </c>
      <c r="K97" s="23">
        <f>'Leave Record'!C99</f>
        <v>0</v>
      </c>
      <c r="Q97">
        <f t="shared" si="12"/>
        <v>0</v>
      </c>
      <c r="R97" s="15">
        <f t="shared" si="13"/>
        <v>-4.1818181818181808</v>
      </c>
    </row>
    <row r="98" spans="1:18" x14ac:dyDescent="0.25">
      <c r="A98" s="8">
        <f t="shared" si="14"/>
        <v>1</v>
      </c>
      <c r="B98" s="35">
        <f>IF(K98=$P$15,$M$4,IF(K98=$P$13,'Leave Entry'!$B$4,F98-1))</f>
        <v>-1</v>
      </c>
      <c r="C98" s="23">
        <f t="shared" si="9"/>
        <v>-1</v>
      </c>
      <c r="D98" s="42">
        <f t="shared" si="15"/>
        <v>-4.5454545454545456E-2</v>
      </c>
      <c r="E98" s="42">
        <f t="shared" si="16"/>
        <v>-4.2272727272727266</v>
      </c>
      <c r="F98" s="8">
        <f>'Leave Record'!A100</f>
        <v>0</v>
      </c>
      <c r="G98" s="8">
        <f>'Leave Record'!B100</f>
        <v>0</v>
      </c>
      <c r="H98" s="23">
        <f t="shared" si="10"/>
        <v>1</v>
      </c>
      <c r="I98" s="23">
        <f t="shared" si="11"/>
        <v>0</v>
      </c>
      <c r="J98" s="42">
        <f t="shared" si="17"/>
        <v>-4.2272727272727266</v>
      </c>
      <c r="K98" s="23">
        <f>'Leave Record'!C100</f>
        <v>0</v>
      </c>
      <c r="Q98">
        <f t="shared" si="12"/>
        <v>0</v>
      </c>
      <c r="R98" s="15">
        <f t="shared" si="13"/>
        <v>-4.2272727272727266</v>
      </c>
    </row>
    <row r="99" spans="1:18" x14ac:dyDescent="0.25">
      <c r="A99" s="8">
        <f t="shared" si="14"/>
        <v>1</v>
      </c>
      <c r="B99" s="35">
        <f>IF(K99=$P$15,$M$4,IF(K99=$P$13,'Leave Entry'!$B$4,F99-1))</f>
        <v>-1</v>
      </c>
      <c r="C99" s="23">
        <f t="shared" si="9"/>
        <v>-1</v>
      </c>
      <c r="D99" s="42">
        <f t="shared" si="15"/>
        <v>-4.5454545454545456E-2</v>
      </c>
      <c r="E99" s="42">
        <f t="shared" si="16"/>
        <v>-4.2727272727272725</v>
      </c>
      <c r="F99" s="8">
        <f>'Leave Record'!A101</f>
        <v>0</v>
      </c>
      <c r="G99" s="8">
        <f>'Leave Record'!B101</f>
        <v>0</v>
      </c>
      <c r="H99" s="23">
        <f t="shared" si="10"/>
        <v>1</v>
      </c>
      <c r="I99" s="23">
        <f t="shared" si="11"/>
        <v>0</v>
      </c>
      <c r="J99" s="42">
        <f t="shared" si="17"/>
        <v>-4.2727272727272725</v>
      </c>
      <c r="K99" s="23">
        <f>'Leave Record'!C101</f>
        <v>0</v>
      </c>
      <c r="Q99">
        <f t="shared" si="12"/>
        <v>0</v>
      </c>
      <c r="R99" s="15">
        <f t="shared" si="13"/>
        <v>-4.2727272727272725</v>
      </c>
    </row>
    <row r="100" spans="1:18" x14ac:dyDescent="0.25">
      <c r="A100" s="8">
        <f t="shared" si="14"/>
        <v>1</v>
      </c>
      <c r="B100" s="35">
        <f>IF(K100=$P$15,$M$4,IF(K100=$P$13,'Leave Entry'!$B$4,F100-1))</f>
        <v>-1</v>
      </c>
      <c r="C100" s="23">
        <f t="shared" si="9"/>
        <v>-1</v>
      </c>
      <c r="D100" s="42">
        <f t="shared" si="15"/>
        <v>-4.5454545454545456E-2</v>
      </c>
      <c r="E100" s="42">
        <f t="shared" si="16"/>
        <v>-4.3181818181818183</v>
      </c>
      <c r="F100" s="8">
        <f>'Leave Record'!A102</f>
        <v>0</v>
      </c>
      <c r="G100" s="8">
        <f>'Leave Record'!B102</f>
        <v>0</v>
      </c>
      <c r="H100" s="23">
        <f t="shared" si="10"/>
        <v>1</v>
      </c>
      <c r="I100" s="23">
        <f t="shared" si="11"/>
        <v>0</v>
      </c>
      <c r="J100" s="42">
        <f t="shared" si="17"/>
        <v>-4.3181818181818183</v>
      </c>
      <c r="K100" s="23">
        <f>'Leave Record'!C102</f>
        <v>0</v>
      </c>
      <c r="Q100">
        <f t="shared" si="12"/>
        <v>0</v>
      </c>
      <c r="R100" s="15">
        <f t="shared" si="13"/>
        <v>-4.3181818181818183</v>
      </c>
    </row>
    <row r="101" spans="1:18" x14ac:dyDescent="0.25">
      <c r="A101" s="8">
        <f t="shared" si="14"/>
        <v>1</v>
      </c>
      <c r="B101" s="35">
        <f>IF(K101=$P$15,$M$4,IF(K101=$P$13,'Leave Entry'!$B$4,F101-1))</f>
        <v>-1</v>
      </c>
      <c r="C101" s="23">
        <f t="shared" si="9"/>
        <v>-1</v>
      </c>
      <c r="D101" s="42">
        <f t="shared" si="15"/>
        <v>-4.5454545454545456E-2</v>
      </c>
      <c r="E101" s="42">
        <f t="shared" si="16"/>
        <v>-4.3636363636363642</v>
      </c>
      <c r="F101" s="8">
        <f>'Leave Record'!A103</f>
        <v>0</v>
      </c>
      <c r="G101" s="8">
        <f>'Leave Record'!B103</f>
        <v>0</v>
      </c>
      <c r="H101" s="23">
        <f t="shared" si="10"/>
        <v>1</v>
      </c>
      <c r="I101" s="23">
        <f t="shared" si="11"/>
        <v>0</v>
      </c>
      <c r="J101" s="42">
        <f t="shared" si="17"/>
        <v>-4.3636363636363642</v>
      </c>
      <c r="K101" s="23">
        <f>'Leave Record'!C103</f>
        <v>0</v>
      </c>
      <c r="Q101">
        <f t="shared" si="12"/>
        <v>0</v>
      </c>
      <c r="R101" s="15">
        <f t="shared" si="13"/>
        <v>-4.3636363636363642</v>
      </c>
    </row>
    <row r="102" spans="1:18" x14ac:dyDescent="0.25">
      <c r="A102" s="8">
        <f t="shared" si="14"/>
        <v>1</v>
      </c>
      <c r="B102" s="35">
        <f>IF(K102=$P$15,$M$4,IF(K102=$P$13,'Leave Entry'!$B$4,F102-1))</f>
        <v>-1</v>
      </c>
      <c r="C102" s="23">
        <f t="shared" si="9"/>
        <v>-1</v>
      </c>
      <c r="D102" s="42">
        <f t="shared" si="15"/>
        <v>-4.5454545454545456E-2</v>
      </c>
      <c r="E102" s="42">
        <f t="shared" si="16"/>
        <v>-4.4090909090909101</v>
      </c>
      <c r="F102" s="8">
        <f>'Leave Record'!A104</f>
        <v>0</v>
      </c>
      <c r="G102" s="8">
        <f>'Leave Record'!B104</f>
        <v>0</v>
      </c>
      <c r="H102" s="23">
        <f t="shared" si="10"/>
        <v>1</v>
      </c>
      <c r="I102" s="23">
        <f t="shared" si="11"/>
        <v>0</v>
      </c>
      <c r="J102" s="42">
        <f t="shared" si="17"/>
        <v>-4.4090909090909101</v>
      </c>
      <c r="K102" s="23">
        <f>'Leave Record'!C104</f>
        <v>0</v>
      </c>
      <c r="Q102">
        <f t="shared" si="12"/>
        <v>0</v>
      </c>
      <c r="R102" s="15">
        <f t="shared" si="13"/>
        <v>-4.4090909090909101</v>
      </c>
    </row>
    <row r="103" spans="1:18" x14ac:dyDescent="0.25">
      <c r="A103" s="8">
        <f t="shared" si="14"/>
        <v>1</v>
      </c>
      <c r="B103" s="35">
        <f>IF(K103=$P$15,$M$4,IF(K103=$P$13,'Leave Entry'!$B$4,F103-1))</f>
        <v>-1</v>
      </c>
      <c r="C103" s="23">
        <f t="shared" si="9"/>
        <v>-1</v>
      </c>
      <c r="D103" s="42">
        <f t="shared" si="15"/>
        <v>-4.5454545454545456E-2</v>
      </c>
      <c r="E103" s="42">
        <f t="shared" si="16"/>
        <v>-4.4545454545454559</v>
      </c>
      <c r="F103" s="8">
        <f>'Leave Record'!A105</f>
        <v>0</v>
      </c>
      <c r="G103" s="8">
        <f>'Leave Record'!B105</f>
        <v>0</v>
      </c>
      <c r="H103" s="23">
        <f t="shared" si="10"/>
        <v>1</v>
      </c>
      <c r="I103" s="23">
        <f t="shared" si="11"/>
        <v>0</v>
      </c>
      <c r="J103" s="42">
        <f t="shared" si="17"/>
        <v>-4.4545454545454559</v>
      </c>
      <c r="K103" s="23">
        <f>'Leave Record'!C105</f>
        <v>0</v>
      </c>
      <c r="Q103">
        <f t="shared" si="12"/>
        <v>0</v>
      </c>
      <c r="R103" s="15">
        <f t="shared" si="13"/>
        <v>-4.4545454545454559</v>
      </c>
    </row>
    <row r="104" spans="1:18" x14ac:dyDescent="0.25">
      <c r="A104" s="8">
        <f t="shared" si="14"/>
        <v>1</v>
      </c>
      <c r="B104" s="35">
        <f>IF(K104=$P$15,$M$4,IF(K104=$P$13,'Leave Entry'!$B$4,F104-1))</f>
        <v>-1</v>
      </c>
      <c r="C104" s="23">
        <f t="shared" si="9"/>
        <v>-1</v>
      </c>
      <c r="D104" s="42">
        <f t="shared" si="15"/>
        <v>-4.5454545454545456E-2</v>
      </c>
      <c r="E104" s="42">
        <f t="shared" si="16"/>
        <v>-4.5000000000000018</v>
      </c>
      <c r="F104" s="8">
        <f>'Leave Record'!A106</f>
        <v>0</v>
      </c>
      <c r="G104" s="8">
        <f>'Leave Record'!B106</f>
        <v>0</v>
      </c>
      <c r="H104" s="23">
        <f t="shared" si="10"/>
        <v>1</v>
      </c>
      <c r="I104" s="23">
        <f t="shared" si="11"/>
        <v>0</v>
      </c>
      <c r="J104" s="42">
        <f t="shared" si="17"/>
        <v>-4.5000000000000018</v>
      </c>
      <c r="K104" s="23">
        <f>'Leave Record'!C106</f>
        <v>0</v>
      </c>
      <c r="Q104">
        <f t="shared" si="12"/>
        <v>0</v>
      </c>
      <c r="R104" s="15">
        <f t="shared" si="13"/>
        <v>-4.5000000000000018</v>
      </c>
    </row>
    <row r="105" spans="1:18" x14ac:dyDescent="0.25">
      <c r="A105" s="8">
        <f t="shared" si="14"/>
        <v>1</v>
      </c>
      <c r="B105" s="35">
        <f>IF(K105=$P$15,$M$4,IF(K105=$P$13,'Leave Entry'!$B$4,F105-1))</f>
        <v>-1</v>
      </c>
      <c r="C105" s="23">
        <f t="shared" si="9"/>
        <v>-1</v>
      </c>
      <c r="D105" s="42">
        <f t="shared" si="15"/>
        <v>-4.5454545454545456E-2</v>
      </c>
      <c r="E105" s="42">
        <f t="shared" si="16"/>
        <v>-4.5454545454545476</v>
      </c>
      <c r="F105" s="8">
        <f>'Leave Record'!A107</f>
        <v>0</v>
      </c>
      <c r="G105" s="8">
        <f>'Leave Record'!B107</f>
        <v>0</v>
      </c>
      <c r="H105" s="23">
        <f t="shared" si="10"/>
        <v>1</v>
      </c>
      <c r="I105" s="23">
        <f t="shared" si="11"/>
        <v>0</v>
      </c>
      <c r="J105" s="42">
        <f t="shared" si="17"/>
        <v>-4.5454545454545476</v>
      </c>
      <c r="K105" s="23">
        <f>'Leave Record'!C107</f>
        <v>0</v>
      </c>
      <c r="Q105">
        <f t="shared" si="12"/>
        <v>0</v>
      </c>
      <c r="R105" s="15">
        <f t="shared" si="13"/>
        <v>-4.5454545454545476</v>
      </c>
    </row>
    <row r="106" spans="1:18" x14ac:dyDescent="0.25">
      <c r="A106" s="8">
        <f t="shared" si="14"/>
        <v>1</v>
      </c>
      <c r="B106" s="35">
        <f>IF(K106=$P$15,$M$4,IF(K106=$P$13,'Leave Entry'!$B$4,F106-1))</f>
        <v>-1</v>
      </c>
      <c r="C106" s="23">
        <f t="shared" si="9"/>
        <v>-1</v>
      </c>
      <c r="D106" s="42">
        <f t="shared" si="15"/>
        <v>-4.5454545454545456E-2</v>
      </c>
      <c r="E106" s="42">
        <f t="shared" si="16"/>
        <v>-4.5909090909090935</v>
      </c>
      <c r="F106" s="8">
        <f>'Leave Record'!A108</f>
        <v>0</v>
      </c>
      <c r="G106" s="8">
        <f>'Leave Record'!B108</f>
        <v>0</v>
      </c>
      <c r="H106" s="23">
        <f t="shared" si="10"/>
        <v>1</v>
      </c>
      <c r="I106" s="23">
        <f t="shared" si="11"/>
        <v>0</v>
      </c>
      <c r="J106" s="42">
        <f t="shared" si="17"/>
        <v>-4.5909090909090935</v>
      </c>
      <c r="K106" s="23">
        <f>'Leave Record'!C108</f>
        <v>0</v>
      </c>
      <c r="Q106">
        <f t="shared" si="12"/>
        <v>0</v>
      </c>
      <c r="R106" s="15">
        <f t="shared" si="13"/>
        <v>-4.5909090909090935</v>
      </c>
    </row>
    <row r="107" spans="1:18" x14ac:dyDescent="0.25">
      <c r="A107" s="8">
        <f t="shared" si="14"/>
        <v>1</v>
      </c>
      <c r="B107" s="35">
        <f>IF(K107=$P$15,$M$4,IF(K107=$P$13,'Leave Entry'!$B$4,F107-1))</f>
        <v>-1</v>
      </c>
      <c r="C107" s="23">
        <f t="shared" si="9"/>
        <v>-1</v>
      </c>
      <c r="D107" s="42">
        <f t="shared" si="15"/>
        <v>-4.5454545454545456E-2</v>
      </c>
      <c r="E107" s="42">
        <f t="shared" si="16"/>
        <v>-4.6363636363636394</v>
      </c>
      <c r="F107" s="8">
        <f>'Leave Record'!A109</f>
        <v>0</v>
      </c>
      <c r="G107" s="8">
        <f>'Leave Record'!B109</f>
        <v>0</v>
      </c>
      <c r="H107" s="23">
        <f t="shared" si="10"/>
        <v>1</v>
      </c>
      <c r="I107" s="23">
        <f t="shared" si="11"/>
        <v>0</v>
      </c>
      <c r="J107" s="42">
        <f t="shared" si="17"/>
        <v>-4.6363636363636394</v>
      </c>
      <c r="K107" s="23">
        <f>'Leave Record'!C109</f>
        <v>0</v>
      </c>
      <c r="Q107">
        <f t="shared" si="12"/>
        <v>0</v>
      </c>
      <c r="R107" s="15">
        <f t="shared" si="13"/>
        <v>-4.6363636363636394</v>
      </c>
    </row>
    <row r="108" spans="1:18" x14ac:dyDescent="0.25">
      <c r="A108" s="8">
        <f t="shared" si="14"/>
        <v>1</v>
      </c>
      <c r="B108" s="35">
        <f>IF(K108=$P$15,$M$4,IF(K108=$P$13,'Leave Entry'!$B$4,F108-1))</f>
        <v>-1</v>
      </c>
      <c r="C108" s="23">
        <f t="shared" si="9"/>
        <v>-1</v>
      </c>
      <c r="D108" s="42">
        <f t="shared" si="15"/>
        <v>-4.5454545454545456E-2</v>
      </c>
      <c r="E108" s="42">
        <f t="shared" si="16"/>
        <v>-4.6818181818181852</v>
      </c>
      <c r="F108" s="8">
        <f>'Leave Record'!A110</f>
        <v>0</v>
      </c>
      <c r="G108" s="8">
        <f>'Leave Record'!B110</f>
        <v>0</v>
      </c>
      <c r="H108" s="23">
        <f t="shared" si="10"/>
        <v>1</v>
      </c>
      <c r="I108" s="23">
        <f t="shared" si="11"/>
        <v>0</v>
      </c>
      <c r="J108" s="42">
        <f t="shared" si="17"/>
        <v>-4.6818181818181852</v>
      </c>
      <c r="K108" s="23">
        <f>'Leave Record'!C110</f>
        <v>0</v>
      </c>
      <c r="Q108">
        <f t="shared" si="12"/>
        <v>0</v>
      </c>
      <c r="R108" s="15">
        <f t="shared" si="13"/>
        <v>-4.6818181818181852</v>
      </c>
    </row>
    <row r="109" spans="1:18" x14ac:dyDescent="0.25">
      <c r="A109" s="8">
        <f t="shared" si="14"/>
        <v>1</v>
      </c>
      <c r="B109" s="35">
        <f>IF(K109=$P$15,$M$4,IF(K109=$P$13,'Leave Entry'!$B$4,F109-1))</f>
        <v>-1</v>
      </c>
      <c r="C109" s="23">
        <f t="shared" si="9"/>
        <v>-1</v>
      </c>
      <c r="D109" s="42">
        <f t="shared" si="15"/>
        <v>-4.5454545454545456E-2</v>
      </c>
      <c r="E109" s="42">
        <f t="shared" si="16"/>
        <v>-4.7272727272727311</v>
      </c>
      <c r="F109" s="8">
        <f>'Leave Record'!A111</f>
        <v>0</v>
      </c>
      <c r="G109" s="8">
        <f>'Leave Record'!B111</f>
        <v>0</v>
      </c>
      <c r="H109" s="23">
        <f t="shared" si="10"/>
        <v>1</v>
      </c>
      <c r="I109" s="23">
        <f t="shared" si="11"/>
        <v>0</v>
      </c>
      <c r="J109" s="42">
        <f t="shared" si="17"/>
        <v>-4.7272727272727311</v>
      </c>
      <c r="K109" s="23">
        <f>'Leave Record'!C111</f>
        <v>0</v>
      </c>
      <c r="Q109">
        <f t="shared" si="12"/>
        <v>0</v>
      </c>
      <c r="R109" s="15">
        <f t="shared" si="13"/>
        <v>-4.7272727272727311</v>
      </c>
    </row>
    <row r="110" spans="1:18" x14ac:dyDescent="0.25">
      <c r="A110" s="8">
        <f t="shared" si="14"/>
        <v>1</v>
      </c>
      <c r="B110" s="35">
        <f>IF(K110=$P$15,$M$4,IF(K110=$P$13,'Leave Entry'!$B$4,F110-1))</f>
        <v>-1</v>
      </c>
      <c r="C110" s="23">
        <f t="shared" si="9"/>
        <v>-1</v>
      </c>
      <c r="D110" s="42">
        <f t="shared" si="15"/>
        <v>-4.5454545454545456E-2</v>
      </c>
      <c r="E110" s="42">
        <f t="shared" si="16"/>
        <v>-4.7727272727272769</v>
      </c>
      <c r="F110" s="8">
        <f>'Leave Record'!A112</f>
        <v>0</v>
      </c>
      <c r="G110" s="8">
        <f>'Leave Record'!B112</f>
        <v>0</v>
      </c>
      <c r="H110" s="23">
        <f t="shared" si="10"/>
        <v>1</v>
      </c>
      <c r="I110" s="23">
        <f t="shared" si="11"/>
        <v>0</v>
      </c>
      <c r="J110" s="42">
        <f t="shared" si="17"/>
        <v>-4.7727272727272769</v>
      </c>
      <c r="K110" s="23">
        <f>'Leave Record'!C112</f>
        <v>0</v>
      </c>
      <c r="Q110">
        <f t="shared" si="12"/>
        <v>0</v>
      </c>
      <c r="R110" s="15">
        <f t="shared" si="13"/>
        <v>-4.7727272727272769</v>
      </c>
    </row>
    <row r="111" spans="1:18" x14ac:dyDescent="0.25">
      <c r="A111" s="8">
        <f t="shared" si="14"/>
        <v>1</v>
      </c>
      <c r="B111" s="35">
        <f>IF(K111=$P$15,$M$4,IF(K111=$P$13,'Leave Entry'!$B$4,F111-1))</f>
        <v>-1</v>
      </c>
      <c r="C111" s="23">
        <f t="shared" si="9"/>
        <v>-1</v>
      </c>
      <c r="D111" s="42">
        <f t="shared" si="15"/>
        <v>-4.5454545454545456E-2</v>
      </c>
      <c r="E111" s="42">
        <f t="shared" si="16"/>
        <v>-4.8181818181818228</v>
      </c>
      <c r="F111" s="8">
        <f>'Leave Record'!A113</f>
        <v>0</v>
      </c>
      <c r="G111" s="8">
        <f>'Leave Record'!B113</f>
        <v>0</v>
      </c>
      <c r="H111" s="23">
        <f t="shared" si="10"/>
        <v>1</v>
      </c>
      <c r="I111" s="23">
        <f t="shared" si="11"/>
        <v>0</v>
      </c>
      <c r="J111" s="42">
        <f t="shared" si="17"/>
        <v>-4.8181818181818228</v>
      </c>
      <c r="K111" s="23">
        <f>'Leave Record'!C113</f>
        <v>0</v>
      </c>
      <c r="Q111">
        <f t="shared" si="12"/>
        <v>0</v>
      </c>
      <c r="R111" s="15">
        <f t="shared" si="13"/>
        <v>-4.8181818181818228</v>
      </c>
    </row>
    <row r="112" spans="1:18" x14ac:dyDescent="0.25">
      <c r="A112" s="8">
        <f t="shared" si="14"/>
        <v>1</v>
      </c>
      <c r="B112" s="35">
        <f>IF(K112=$P$15,$M$4,IF(K112=$P$13,'Leave Entry'!$B$4,F112-1))</f>
        <v>-1</v>
      </c>
      <c r="C112" s="23">
        <f t="shared" si="9"/>
        <v>-1</v>
      </c>
      <c r="D112" s="42">
        <f t="shared" si="15"/>
        <v>-4.5454545454545456E-2</v>
      </c>
      <c r="E112" s="42">
        <f t="shared" si="16"/>
        <v>-4.8636363636363686</v>
      </c>
      <c r="F112" s="8">
        <f>'Leave Record'!A114</f>
        <v>0</v>
      </c>
      <c r="G112" s="8">
        <f>'Leave Record'!B114</f>
        <v>0</v>
      </c>
      <c r="H112" s="23">
        <f t="shared" si="10"/>
        <v>1</v>
      </c>
      <c r="I112" s="23">
        <f t="shared" si="11"/>
        <v>0</v>
      </c>
      <c r="J112" s="42">
        <f t="shared" si="17"/>
        <v>-4.8636363636363686</v>
      </c>
      <c r="K112" s="23">
        <f>'Leave Record'!C114</f>
        <v>0</v>
      </c>
      <c r="Q112">
        <f t="shared" si="12"/>
        <v>0</v>
      </c>
      <c r="R112" s="15">
        <f t="shared" si="13"/>
        <v>-4.8636363636363686</v>
      </c>
    </row>
    <row r="113" spans="1:18" x14ac:dyDescent="0.25">
      <c r="A113" s="8">
        <f t="shared" si="14"/>
        <v>1</v>
      </c>
      <c r="B113" s="35">
        <f>IF(K113=$P$15,$M$4,IF(K113=$P$13,'Leave Entry'!$B$4,F113-1))</f>
        <v>-1</v>
      </c>
      <c r="C113" s="23">
        <f t="shared" si="9"/>
        <v>-1</v>
      </c>
      <c r="D113" s="42">
        <f t="shared" si="15"/>
        <v>-4.5454545454545456E-2</v>
      </c>
      <c r="E113" s="42">
        <f t="shared" si="16"/>
        <v>-4.9090909090909145</v>
      </c>
      <c r="F113" s="8">
        <f>'Leave Record'!A115</f>
        <v>0</v>
      </c>
      <c r="G113" s="8">
        <f>'Leave Record'!B115</f>
        <v>0</v>
      </c>
      <c r="H113" s="23">
        <f t="shared" si="10"/>
        <v>1</v>
      </c>
      <c r="I113" s="23">
        <f t="shared" si="11"/>
        <v>0</v>
      </c>
      <c r="J113" s="42">
        <f t="shared" si="17"/>
        <v>-4.9090909090909145</v>
      </c>
      <c r="K113" s="23">
        <f>'Leave Record'!C115</f>
        <v>0</v>
      </c>
      <c r="Q113">
        <f t="shared" si="12"/>
        <v>0</v>
      </c>
      <c r="R113" s="15">
        <f t="shared" si="13"/>
        <v>-4.9090909090909145</v>
      </c>
    </row>
    <row r="114" spans="1:18" x14ac:dyDescent="0.25">
      <c r="A114" s="8">
        <f t="shared" si="14"/>
        <v>1</v>
      </c>
      <c r="B114" s="35">
        <f>IF(K114=$P$15,$M$4,IF(K114=$P$13,'Leave Entry'!$B$4,F114-1))</f>
        <v>-1</v>
      </c>
      <c r="C114" s="23">
        <f t="shared" si="9"/>
        <v>-1</v>
      </c>
      <c r="D114" s="42">
        <f t="shared" si="15"/>
        <v>-4.5454545454545456E-2</v>
      </c>
      <c r="E114" s="42">
        <f t="shared" si="16"/>
        <v>-4.9545454545454604</v>
      </c>
      <c r="F114" s="8">
        <f>'Leave Record'!A116</f>
        <v>0</v>
      </c>
      <c r="G114" s="8">
        <f>'Leave Record'!B116</f>
        <v>0</v>
      </c>
      <c r="H114" s="23">
        <f t="shared" si="10"/>
        <v>1</v>
      </c>
      <c r="I114" s="23">
        <f t="shared" si="11"/>
        <v>0</v>
      </c>
      <c r="J114" s="42">
        <f t="shared" si="17"/>
        <v>-4.9545454545454604</v>
      </c>
      <c r="K114" s="23">
        <f>'Leave Record'!C116</f>
        <v>0</v>
      </c>
      <c r="Q114">
        <f t="shared" si="12"/>
        <v>0</v>
      </c>
      <c r="R114" s="15">
        <f t="shared" si="13"/>
        <v>-4.9545454545454604</v>
      </c>
    </row>
    <row r="115" spans="1:18" x14ac:dyDescent="0.25">
      <c r="A115" s="8">
        <f t="shared" si="14"/>
        <v>1</v>
      </c>
      <c r="B115" s="35">
        <f>IF(K115=$P$15,$M$4,IF(K115=$P$13,'Leave Entry'!$B$4,F115-1))</f>
        <v>-1</v>
      </c>
      <c r="C115" s="23">
        <f t="shared" si="9"/>
        <v>-1</v>
      </c>
      <c r="D115" s="42">
        <f t="shared" si="15"/>
        <v>-4.5454545454545456E-2</v>
      </c>
      <c r="E115" s="42">
        <f t="shared" si="16"/>
        <v>-5.0000000000000062</v>
      </c>
      <c r="F115" s="8">
        <f>'Leave Record'!A117</f>
        <v>0</v>
      </c>
      <c r="G115" s="8">
        <f>'Leave Record'!B117</f>
        <v>0</v>
      </c>
      <c r="H115" s="23">
        <f t="shared" si="10"/>
        <v>1</v>
      </c>
      <c r="I115" s="23">
        <f t="shared" si="11"/>
        <v>0</v>
      </c>
      <c r="J115" s="42">
        <f t="shared" si="17"/>
        <v>-5.0000000000000062</v>
      </c>
      <c r="K115" s="23">
        <f>'Leave Record'!C117</f>
        <v>0</v>
      </c>
      <c r="Q115">
        <f t="shared" si="12"/>
        <v>0</v>
      </c>
      <c r="R115" s="15">
        <f t="shared" si="13"/>
        <v>-5.0000000000000062</v>
      </c>
    </row>
    <row r="116" spans="1:18" x14ac:dyDescent="0.25">
      <c r="A116" s="8">
        <f t="shared" si="14"/>
        <v>1</v>
      </c>
      <c r="B116" s="35">
        <f>IF(K116=$P$15,$M$4,IF(K116=$P$13,'Leave Entry'!$B$4,F116-1))</f>
        <v>-1</v>
      </c>
      <c r="C116" s="23">
        <f t="shared" si="9"/>
        <v>-1</v>
      </c>
      <c r="D116" s="42">
        <f t="shared" si="15"/>
        <v>-4.5454545454545456E-2</v>
      </c>
      <c r="E116" s="42">
        <f t="shared" si="16"/>
        <v>-5.0454545454545521</v>
      </c>
      <c r="F116" s="8">
        <f>'Leave Record'!A118</f>
        <v>0</v>
      </c>
      <c r="G116" s="8">
        <f>'Leave Record'!B118</f>
        <v>0</v>
      </c>
      <c r="H116" s="23">
        <f t="shared" si="10"/>
        <v>1</v>
      </c>
      <c r="I116" s="23">
        <f t="shared" si="11"/>
        <v>0</v>
      </c>
      <c r="J116" s="42">
        <f t="shared" si="17"/>
        <v>-5.0454545454545521</v>
      </c>
      <c r="K116" s="23">
        <f>'Leave Record'!C118</f>
        <v>0</v>
      </c>
      <c r="Q116">
        <f t="shared" si="12"/>
        <v>0</v>
      </c>
      <c r="R116" s="15">
        <f t="shared" si="13"/>
        <v>-5.0454545454545521</v>
      </c>
    </row>
    <row r="117" spans="1:18" x14ac:dyDescent="0.25">
      <c r="A117" s="8">
        <f t="shared" si="14"/>
        <v>1</v>
      </c>
      <c r="B117" s="35">
        <f>IF(K117=$P$15,$M$4,IF(K117=$P$13,'Leave Entry'!$B$4,F117-1))</f>
        <v>-1</v>
      </c>
      <c r="C117" s="23">
        <f t="shared" si="9"/>
        <v>-1</v>
      </c>
      <c r="D117" s="42">
        <f t="shared" si="15"/>
        <v>-4.5454545454545456E-2</v>
      </c>
      <c r="E117" s="42">
        <f t="shared" si="16"/>
        <v>-5.0909090909090979</v>
      </c>
      <c r="F117" s="8">
        <f>'Leave Record'!A119</f>
        <v>0</v>
      </c>
      <c r="G117" s="8">
        <f>'Leave Record'!B119</f>
        <v>0</v>
      </c>
      <c r="H117" s="23">
        <f t="shared" si="10"/>
        <v>1</v>
      </c>
      <c r="I117" s="23">
        <f t="shared" si="11"/>
        <v>0</v>
      </c>
      <c r="J117" s="42">
        <f t="shared" si="17"/>
        <v>-5.0909090909090979</v>
      </c>
      <c r="K117" s="23">
        <f>'Leave Record'!C119</f>
        <v>0</v>
      </c>
      <c r="Q117">
        <f t="shared" si="12"/>
        <v>0</v>
      </c>
      <c r="R117" s="15">
        <f t="shared" si="13"/>
        <v>-5.0909090909090979</v>
      </c>
    </row>
    <row r="118" spans="1:18" x14ac:dyDescent="0.25">
      <c r="A118" s="8">
        <f t="shared" si="14"/>
        <v>1</v>
      </c>
      <c r="B118" s="35">
        <f>IF(K118=$P$15,$M$4,IF(K118=$P$13,'Leave Entry'!$B$4,F118-1))</f>
        <v>-1</v>
      </c>
      <c r="C118" s="23">
        <f t="shared" si="9"/>
        <v>-1</v>
      </c>
      <c r="D118" s="42">
        <f t="shared" si="15"/>
        <v>-4.5454545454545456E-2</v>
      </c>
      <c r="E118" s="42">
        <f t="shared" si="16"/>
        <v>-5.1363636363636438</v>
      </c>
      <c r="F118" s="8">
        <f>'Leave Record'!A120</f>
        <v>0</v>
      </c>
      <c r="G118" s="8">
        <f>'Leave Record'!B120</f>
        <v>0</v>
      </c>
      <c r="H118" s="23">
        <f t="shared" si="10"/>
        <v>1</v>
      </c>
      <c r="I118" s="23">
        <f t="shared" si="11"/>
        <v>0</v>
      </c>
      <c r="J118" s="42">
        <f t="shared" si="17"/>
        <v>-5.1363636363636438</v>
      </c>
      <c r="K118" s="23">
        <f>'Leave Record'!C120</f>
        <v>0</v>
      </c>
      <c r="Q118">
        <f t="shared" si="12"/>
        <v>0</v>
      </c>
      <c r="R118" s="15">
        <f t="shared" si="13"/>
        <v>-5.1363636363636438</v>
      </c>
    </row>
    <row r="119" spans="1:18" x14ac:dyDescent="0.25">
      <c r="A119" s="8">
        <f t="shared" si="14"/>
        <v>1</v>
      </c>
      <c r="B119" s="35">
        <f>IF(K119=$P$15,$M$4,IF(K119=$P$13,'Leave Entry'!$B$4,F119-1))</f>
        <v>-1</v>
      </c>
      <c r="C119" s="23">
        <f t="shared" si="9"/>
        <v>-1</v>
      </c>
      <c r="D119" s="42">
        <f t="shared" si="15"/>
        <v>-4.5454545454545456E-2</v>
      </c>
      <c r="E119" s="42">
        <f t="shared" si="16"/>
        <v>-5.1818181818181897</v>
      </c>
      <c r="F119" s="8">
        <f>'Leave Record'!A121</f>
        <v>0</v>
      </c>
      <c r="G119" s="8">
        <f>'Leave Record'!B121</f>
        <v>0</v>
      </c>
      <c r="H119" s="23">
        <f t="shared" si="10"/>
        <v>1</v>
      </c>
      <c r="I119" s="23">
        <f t="shared" si="11"/>
        <v>0</v>
      </c>
      <c r="J119" s="42">
        <f t="shared" si="17"/>
        <v>-5.1818181818181897</v>
      </c>
      <c r="K119" s="23">
        <f>'Leave Record'!C121</f>
        <v>0</v>
      </c>
      <c r="Q119">
        <f t="shared" si="12"/>
        <v>0</v>
      </c>
      <c r="R119" s="15">
        <f t="shared" si="13"/>
        <v>-5.1818181818181897</v>
      </c>
    </row>
    <row r="120" spans="1:18" x14ac:dyDescent="0.25">
      <c r="A120" s="8">
        <f t="shared" si="14"/>
        <v>1</v>
      </c>
      <c r="B120" s="35">
        <f>IF(K120=$P$15,$M$4,IF(K120=$P$13,'Leave Entry'!$B$4,F120-1))</f>
        <v>-1</v>
      </c>
      <c r="C120" s="23">
        <f t="shared" si="9"/>
        <v>-1</v>
      </c>
      <c r="D120" s="42">
        <f t="shared" si="15"/>
        <v>-4.5454545454545456E-2</v>
      </c>
      <c r="E120" s="42">
        <f t="shared" si="16"/>
        <v>-5.2272727272727355</v>
      </c>
      <c r="F120" s="8">
        <f>'Leave Record'!A122</f>
        <v>0</v>
      </c>
      <c r="G120" s="8">
        <f>'Leave Record'!B122</f>
        <v>0</v>
      </c>
      <c r="H120" s="23">
        <f t="shared" si="10"/>
        <v>1</v>
      </c>
      <c r="I120" s="23">
        <f t="shared" si="11"/>
        <v>0</v>
      </c>
      <c r="J120" s="42">
        <f t="shared" si="17"/>
        <v>-5.2272727272727355</v>
      </c>
      <c r="K120" s="23">
        <f>'Leave Record'!C122</f>
        <v>0</v>
      </c>
      <c r="Q120">
        <f t="shared" si="12"/>
        <v>0</v>
      </c>
      <c r="R120" s="15">
        <f t="shared" si="13"/>
        <v>-5.2272727272727355</v>
      </c>
    </row>
    <row r="121" spans="1:18" x14ac:dyDescent="0.25">
      <c r="A121" s="8">
        <f t="shared" si="14"/>
        <v>1</v>
      </c>
      <c r="B121" s="35">
        <f>IF(K121=$P$15,$M$4,IF(K121=$P$13,'Leave Entry'!$B$4,F121-1))</f>
        <v>-1</v>
      </c>
      <c r="C121" s="23">
        <f t="shared" si="9"/>
        <v>-1</v>
      </c>
      <c r="D121" s="42">
        <f t="shared" si="15"/>
        <v>-4.5454545454545456E-2</v>
      </c>
      <c r="E121" s="42">
        <f t="shared" si="16"/>
        <v>-5.2727272727272814</v>
      </c>
      <c r="F121" s="8">
        <f>'Leave Record'!A123</f>
        <v>0</v>
      </c>
      <c r="G121" s="8">
        <f>'Leave Record'!B123</f>
        <v>0</v>
      </c>
      <c r="H121" s="23">
        <f t="shared" si="10"/>
        <v>1</v>
      </c>
      <c r="I121" s="23">
        <f t="shared" si="11"/>
        <v>0</v>
      </c>
      <c r="J121" s="42">
        <f t="shared" si="17"/>
        <v>-5.2727272727272814</v>
      </c>
      <c r="K121" s="23">
        <f>'Leave Record'!C123</f>
        <v>0</v>
      </c>
      <c r="Q121">
        <f t="shared" si="12"/>
        <v>0</v>
      </c>
      <c r="R121" s="15">
        <f t="shared" si="13"/>
        <v>-5.2727272727272814</v>
      </c>
    </row>
    <row r="122" spans="1:18" x14ac:dyDescent="0.25">
      <c r="A122" s="8">
        <f t="shared" si="14"/>
        <v>1</v>
      </c>
      <c r="B122" s="35">
        <f>IF(K122=$P$15,$M$4,IF(K122=$P$13,'Leave Entry'!$B$4,F122-1))</f>
        <v>-1</v>
      </c>
      <c r="C122" s="23">
        <f t="shared" si="9"/>
        <v>-1</v>
      </c>
      <c r="D122" s="42">
        <f t="shared" si="15"/>
        <v>-4.5454545454545456E-2</v>
      </c>
      <c r="E122" s="42">
        <f t="shared" si="16"/>
        <v>-5.3181818181818272</v>
      </c>
      <c r="F122" s="8">
        <f>'Leave Record'!A124</f>
        <v>0</v>
      </c>
      <c r="G122" s="8">
        <f>'Leave Record'!B124</f>
        <v>0</v>
      </c>
      <c r="H122" s="23">
        <f t="shared" si="10"/>
        <v>1</v>
      </c>
      <c r="I122" s="23">
        <f t="shared" si="11"/>
        <v>0</v>
      </c>
      <c r="J122" s="42">
        <f t="shared" si="17"/>
        <v>-5.3181818181818272</v>
      </c>
      <c r="K122" s="23">
        <f>'Leave Record'!C124</f>
        <v>0</v>
      </c>
      <c r="Q122">
        <f t="shared" si="12"/>
        <v>0</v>
      </c>
      <c r="R122" s="15">
        <f t="shared" si="13"/>
        <v>-5.3181818181818272</v>
      </c>
    </row>
    <row r="123" spans="1:18" x14ac:dyDescent="0.25">
      <c r="A123" s="8">
        <f t="shared" si="14"/>
        <v>1</v>
      </c>
      <c r="B123" s="35">
        <f>IF(K123=$P$15,$M$4,IF(K123=$P$13,'Leave Entry'!$B$4,F123-1))</f>
        <v>-1</v>
      </c>
      <c r="C123" s="23">
        <f t="shared" si="9"/>
        <v>-1</v>
      </c>
      <c r="D123" s="42">
        <f t="shared" si="15"/>
        <v>-4.5454545454545456E-2</v>
      </c>
      <c r="E123" s="42">
        <f t="shared" si="16"/>
        <v>-5.3636363636363731</v>
      </c>
      <c r="F123" s="8">
        <f>'Leave Record'!A125</f>
        <v>0</v>
      </c>
      <c r="G123" s="8">
        <f>'Leave Record'!B125</f>
        <v>0</v>
      </c>
      <c r="H123" s="23">
        <f t="shared" si="10"/>
        <v>1</v>
      </c>
      <c r="I123" s="23">
        <f t="shared" si="11"/>
        <v>0</v>
      </c>
      <c r="J123" s="42">
        <f t="shared" si="17"/>
        <v>-5.3636363636363731</v>
      </c>
      <c r="K123" s="23">
        <f>'Leave Record'!C125</f>
        <v>0</v>
      </c>
      <c r="Q123">
        <f t="shared" si="12"/>
        <v>0</v>
      </c>
      <c r="R123" s="15">
        <f t="shared" si="13"/>
        <v>-5.3636363636363731</v>
      </c>
    </row>
    <row r="124" spans="1:18" x14ac:dyDescent="0.25">
      <c r="A124" s="8">
        <f t="shared" si="14"/>
        <v>1</v>
      </c>
      <c r="B124" s="35">
        <f>IF(K124=$P$15,$M$4,IF(K124=$P$13,'Leave Entry'!$B$4,F124-1))</f>
        <v>-1</v>
      </c>
      <c r="C124" s="23">
        <f t="shared" si="9"/>
        <v>-1</v>
      </c>
      <c r="D124" s="42">
        <f t="shared" si="15"/>
        <v>-4.5454545454545456E-2</v>
      </c>
      <c r="E124" s="42">
        <f t="shared" si="16"/>
        <v>-5.4090909090909189</v>
      </c>
      <c r="F124" s="8">
        <f>'Leave Record'!A126</f>
        <v>0</v>
      </c>
      <c r="G124" s="8">
        <f>'Leave Record'!B126</f>
        <v>0</v>
      </c>
      <c r="H124" s="23">
        <f t="shared" si="10"/>
        <v>1</v>
      </c>
      <c r="I124" s="23">
        <f t="shared" si="11"/>
        <v>0</v>
      </c>
      <c r="J124" s="42">
        <f t="shared" si="17"/>
        <v>-5.4090909090909189</v>
      </c>
      <c r="K124" s="23">
        <f>'Leave Record'!C126</f>
        <v>0</v>
      </c>
      <c r="Q124">
        <f t="shared" si="12"/>
        <v>0</v>
      </c>
      <c r="R124" s="15">
        <f t="shared" si="13"/>
        <v>-5.4090909090909189</v>
      </c>
    </row>
    <row r="125" spans="1:18" x14ac:dyDescent="0.25">
      <c r="A125" s="8">
        <f t="shared" si="14"/>
        <v>1</v>
      </c>
      <c r="B125" s="35">
        <f>IF(K125=$P$15,$M$4,IF(K125=$P$13,'Leave Entry'!$B$4,F125-1))</f>
        <v>-1</v>
      </c>
      <c r="C125" s="23">
        <f t="shared" si="9"/>
        <v>-1</v>
      </c>
      <c r="D125" s="42">
        <f t="shared" si="15"/>
        <v>-4.5454545454545456E-2</v>
      </c>
      <c r="E125" s="42">
        <f t="shared" si="16"/>
        <v>-5.4545454545454648</v>
      </c>
      <c r="F125" s="8">
        <f>'Leave Record'!A127</f>
        <v>0</v>
      </c>
      <c r="G125" s="8">
        <f>'Leave Record'!B127</f>
        <v>0</v>
      </c>
      <c r="H125" s="23">
        <f t="shared" si="10"/>
        <v>1</v>
      </c>
      <c r="I125" s="23">
        <f t="shared" si="11"/>
        <v>0</v>
      </c>
      <c r="J125" s="42">
        <f t="shared" si="17"/>
        <v>-5.4545454545454648</v>
      </c>
      <c r="K125" s="23">
        <f>'Leave Record'!C127</f>
        <v>0</v>
      </c>
      <c r="Q125">
        <f t="shared" si="12"/>
        <v>0</v>
      </c>
      <c r="R125" s="15">
        <f t="shared" si="13"/>
        <v>-5.4545454545454648</v>
      </c>
    </row>
    <row r="126" spans="1:18" x14ac:dyDescent="0.25">
      <c r="A126" s="8">
        <f t="shared" si="14"/>
        <v>1</v>
      </c>
      <c r="B126" s="35">
        <f>IF(K126=$P$15,$M$4,IF(K126=$P$13,'Leave Entry'!$B$4,F126-1))</f>
        <v>-1</v>
      </c>
      <c r="C126" s="23">
        <f t="shared" si="9"/>
        <v>-1</v>
      </c>
      <c r="D126" s="42">
        <f t="shared" si="15"/>
        <v>-4.5454545454545456E-2</v>
      </c>
      <c r="E126" s="42">
        <f t="shared" si="16"/>
        <v>-5.5000000000000107</v>
      </c>
      <c r="F126" s="8">
        <f>'Leave Record'!A128</f>
        <v>0</v>
      </c>
      <c r="G126" s="8">
        <f>'Leave Record'!B128</f>
        <v>0</v>
      </c>
      <c r="H126" s="23">
        <f t="shared" si="10"/>
        <v>1</v>
      </c>
      <c r="I126" s="23">
        <f t="shared" si="11"/>
        <v>0</v>
      </c>
      <c r="J126" s="42">
        <f t="shared" si="17"/>
        <v>-5.5000000000000107</v>
      </c>
      <c r="K126" s="23">
        <f>'Leave Record'!C128</f>
        <v>0</v>
      </c>
      <c r="Q126">
        <f t="shared" si="12"/>
        <v>0</v>
      </c>
      <c r="R126" s="15">
        <f t="shared" si="13"/>
        <v>-5.5000000000000107</v>
      </c>
    </row>
    <row r="127" spans="1:18" x14ac:dyDescent="0.25">
      <c r="A127" s="8">
        <f t="shared" si="14"/>
        <v>1</v>
      </c>
      <c r="B127" s="35">
        <f>IF(K127=$P$15,$M$4,IF(K127=$P$13,'Leave Entry'!$B$4,F127-1))</f>
        <v>-1</v>
      </c>
      <c r="C127" s="23">
        <f t="shared" si="9"/>
        <v>-1</v>
      </c>
      <c r="D127" s="42">
        <f t="shared" si="15"/>
        <v>-4.5454545454545456E-2</v>
      </c>
      <c r="E127" s="42">
        <f t="shared" si="16"/>
        <v>-5.5454545454545565</v>
      </c>
      <c r="F127" s="8">
        <f>'Leave Record'!A129</f>
        <v>0</v>
      </c>
      <c r="G127" s="8">
        <f>'Leave Record'!B129</f>
        <v>0</v>
      </c>
      <c r="H127" s="23">
        <f t="shared" si="10"/>
        <v>1</v>
      </c>
      <c r="I127" s="23">
        <f t="shared" si="11"/>
        <v>0</v>
      </c>
      <c r="J127" s="42">
        <f t="shared" si="17"/>
        <v>-5.5454545454545565</v>
      </c>
      <c r="K127" s="23">
        <f>'Leave Record'!C129</f>
        <v>0</v>
      </c>
      <c r="Q127">
        <f t="shared" si="12"/>
        <v>0</v>
      </c>
      <c r="R127" s="15">
        <f t="shared" si="13"/>
        <v>-5.5454545454545565</v>
      </c>
    </row>
    <row r="128" spans="1:18" x14ac:dyDescent="0.25">
      <c r="A128" s="8">
        <f t="shared" si="14"/>
        <v>1</v>
      </c>
      <c r="B128" s="35">
        <f>IF(K128=$P$15,$M$4,IF(K128=$P$13,'Leave Entry'!$B$4,F128-1))</f>
        <v>-1</v>
      </c>
      <c r="C128" s="23">
        <f t="shared" si="9"/>
        <v>-1</v>
      </c>
      <c r="D128" s="42">
        <f t="shared" si="15"/>
        <v>-4.5454545454545456E-2</v>
      </c>
      <c r="E128" s="42">
        <f t="shared" si="16"/>
        <v>-5.5909090909091024</v>
      </c>
      <c r="F128" s="8">
        <f>'Leave Record'!A130</f>
        <v>0</v>
      </c>
      <c r="G128" s="8">
        <f>'Leave Record'!B130</f>
        <v>0</v>
      </c>
      <c r="H128" s="23">
        <f t="shared" si="10"/>
        <v>1</v>
      </c>
      <c r="I128" s="23">
        <f t="shared" si="11"/>
        <v>0</v>
      </c>
      <c r="J128" s="42">
        <f t="shared" si="17"/>
        <v>-5.5909090909091024</v>
      </c>
      <c r="K128" s="23">
        <f>'Leave Record'!C130</f>
        <v>0</v>
      </c>
      <c r="Q128">
        <f t="shared" si="12"/>
        <v>0</v>
      </c>
      <c r="R128" s="15">
        <f t="shared" si="13"/>
        <v>-5.5909090909091024</v>
      </c>
    </row>
    <row r="129" spans="1:18" x14ac:dyDescent="0.25">
      <c r="A129" s="8">
        <f t="shared" si="14"/>
        <v>1</v>
      </c>
      <c r="B129" s="35">
        <f>IF(K129=$P$15,$M$4,IF(K129=$P$13,'Leave Entry'!$B$4,F129-1))</f>
        <v>-1</v>
      </c>
      <c r="C129" s="23">
        <f t="shared" si="9"/>
        <v>-1</v>
      </c>
      <c r="D129" s="42">
        <f t="shared" si="15"/>
        <v>-4.5454545454545456E-2</v>
      </c>
      <c r="E129" s="42">
        <f t="shared" si="16"/>
        <v>-5.6363636363636482</v>
      </c>
      <c r="F129" s="8">
        <f>'Leave Record'!A131</f>
        <v>0</v>
      </c>
      <c r="G129" s="8">
        <f>'Leave Record'!B131</f>
        <v>0</v>
      </c>
      <c r="H129" s="23">
        <f t="shared" si="10"/>
        <v>1</v>
      </c>
      <c r="I129" s="23">
        <f t="shared" si="11"/>
        <v>0</v>
      </c>
      <c r="J129" s="42">
        <f t="shared" si="17"/>
        <v>-5.6363636363636482</v>
      </c>
      <c r="K129" s="23">
        <f>'Leave Record'!C131</f>
        <v>0</v>
      </c>
      <c r="Q129">
        <f t="shared" si="12"/>
        <v>0</v>
      </c>
      <c r="R129" s="15">
        <f t="shared" si="13"/>
        <v>-5.6363636363636482</v>
      </c>
    </row>
    <row r="130" spans="1:18" x14ac:dyDescent="0.25">
      <c r="A130" s="8">
        <f t="shared" si="14"/>
        <v>1</v>
      </c>
      <c r="B130" s="35">
        <f>IF(K130=$P$15,$M$4,IF(K130=$P$13,'Leave Entry'!$B$4,F130-1))</f>
        <v>-1</v>
      </c>
      <c r="C130" s="23">
        <f t="shared" si="9"/>
        <v>-1</v>
      </c>
      <c r="D130" s="42">
        <f t="shared" si="15"/>
        <v>-4.5454545454545456E-2</v>
      </c>
      <c r="E130" s="42">
        <f t="shared" si="16"/>
        <v>-5.6818181818181941</v>
      </c>
      <c r="F130" s="8">
        <f>'Leave Record'!A132</f>
        <v>0</v>
      </c>
      <c r="G130" s="8">
        <f>'Leave Record'!B132</f>
        <v>0</v>
      </c>
      <c r="H130" s="23">
        <f t="shared" si="10"/>
        <v>1</v>
      </c>
      <c r="I130" s="23">
        <f t="shared" si="11"/>
        <v>0</v>
      </c>
      <c r="J130" s="42">
        <f t="shared" si="17"/>
        <v>-5.6818181818181941</v>
      </c>
      <c r="K130" s="23">
        <f>'Leave Record'!C132</f>
        <v>0</v>
      </c>
      <c r="Q130">
        <f t="shared" si="12"/>
        <v>0</v>
      </c>
      <c r="R130" s="15">
        <f t="shared" si="13"/>
        <v>-5.6818181818181941</v>
      </c>
    </row>
    <row r="131" spans="1:18" x14ac:dyDescent="0.25">
      <c r="A131" s="8">
        <f t="shared" si="14"/>
        <v>1</v>
      </c>
      <c r="B131" s="35">
        <f>IF(K131=$P$15,$M$4,IF(K131=$P$13,'Leave Entry'!$B$4,F131-1))</f>
        <v>-1</v>
      </c>
      <c r="C131" s="23">
        <f t="shared" si="9"/>
        <v>-1</v>
      </c>
      <c r="D131" s="42">
        <f t="shared" si="15"/>
        <v>-4.5454545454545456E-2</v>
      </c>
      <c r="E131" s="42">
        <f t="shared" si="16"/>
        <v>-5.7272727272727399</v>
      </c>
      <c r="F131" s="8">
        <f>'Leave Record'!A133</f>
        <v>0</v>
      </c>
      <c r="G131" s="8">
        <f>'Leave Record'!B133</f>
        <v>0</v>
      </c>
      <c r="H131" s="23">
        <f t="shared" si="10"/>
        <v>1</v>
      </c>
      <c r="I131" s="23">
        <f t="shared" si="11"/>
        <v>0</v>
      </c>
      <c r="J131" s="42">
        <f t="shared" si="17"/>
        <v>-5.7272727272727399</v>
      </c>
      <c r="K131" s="23">
        <f>'Leave Record'!C133</f>
        <v>0</v>
      </c>
      <c r="Q131">
        <f t="shared" si="12"/>
        <v>0</v>
      </c>
      <c r="R131" s="15">
        <f t="shared" si="13"/>
        <v>-5.7272727272727399</v>
      </c>
    </row>
    <row r="132" spans="1:18" x14ac:dyDescent="0.25">
      <c r="A132" s="8">
        <f t="shared" si="14"/>
        <v>1</v>
      </c>
      <c r="B132" s="35">
        <f>IF(K132=$P$15,$M$4,IF(K132=$P$13,'Leave Entry'!$B$4,F132-1))</f>
        <v>-1</v>
      </c>
      <c r="C132" s="23">
        <f t="shared" si="9"/>
        <v>-1</v>
      </c>
      <c r="D132" s="42">
        <f t="shared" si="15"/>
        <v>-4.5454545454545456E-2</v>
      </c>
      <c r="E132" s="42">
        <f t="shared" si="16"/>
        <v>-5.7727272727272858</v>
      </c>
      <c r="F132" s="8">
        <f>'Leave Record'!A134</f>
        <v>0</v>
      </c>
      <c r="G132" s="8">
        <f>'Leave Record'!B134</f>
        <v>0</v>
      </c>
      <c r="H132" s="23">
        <f t="shared" si="10"/>
        <v>1</v>
      </c>
      <c r="I132" s="23">
        <f t="shared" si="11"/>
        <v>0</v>
      </c>
      <c r="J132" s="42">
        <f t="shared" si="17"/>
        <v>-5.7727272727272858</v>
      </c>
      <c r="K132" s="23">
        <f>'Leave Record'!C134</f>
        <v>0</v>
      </c>
      <c r="Q132">
        <f t="shared" si="12"/>
        <v>0</v>
      </c>
      <c r="R132" s="15">
        <f t="shared" si="13"/>
        <v>-5.7727272727272858</v>
      </c>
    </row>
    <row r="133" spans="1:18" x14ac:dyDescent="0.25">
      <c r="A133" s="8">
        <f t="shared" si="14"/>
        <v>1</v>
      </c>
      <c r="B133" s="35">
        <f>IF(K133=$P$15,$M$4,IF(K133=$P$13,'Leave Entry'!$B$4,F133-1))</f>
        <v>-1</v>
      </c>
      <c r="C133" s="23">
        <f t="shared" si="9"/>
        <v>-1</v>
      </c>
      <c r="D133" s="42">
        <f t="shared" si="15"/>
        <v>-4.5454545454545456E-2</v>
      </c>
      <c r="E133" s="42">
        <f t="shared" si="16"/>
        <v>-5.8181818181818317</v>
      </c>
      <c r="F133" s="8">
        <f>'Leave Record'!A135</f>
        <v>0</v>
      </c>
      <c r="G133" s="8">
        <f>'Leave Record'!B135</f>
        <v>0</v>
      </c>
      <c r="H133" s="23">
        <f t="shared" si="10"/>
        <v>1</v>
      </c>
      <c r="I133" s="23">
        <f t="shared" si="11"/>
        <v>0</v>
      </c>
      <c r="J133" s="42">
        <f t="shared" si="17"/>
        <v>-5.8181818181818317</v>
      </c>
      <c r="K133" s="23">
        <f>'Leave Record'!C135</f>
        <v>0</v>
      </c>
      <c r="Q133">
        <f t="shared" si="12"/>
        <v>0</v>
      </c>
      <c r="R133" s="15">
        <f t="shared" si="13"/>
        <v>-5.8181818181818317</v>
      </c>
    </row>
    <row r="134" spans="1:18" x14ac:dyDescent="0.25">
      <c r="A134" s="8">
        <f t="shared" si="14"/>
        <v>1</v>
      </c>
      <c r="B134" s="35">
        <f>IF(K134=$P$15,$M$4,IF(K134=$P$13,'Leave Entry'!$B$4,F134-1))</f>
        <v>-1</v>
      </c>
      <c r="C134" s="23">
        <f t="shared" ref="C134:C197" si="18">B134-A134+1</f>
        <v>-1</v>
      </c>
      <c r="D134" s="42">
        <f t="shared" si="15"/>
        <v>-4.5454545454545456E-2</v>
      </c>
      <c r="E134" s="42">
        <f t="shared" si="16"/>
        <v>-5.8636363636363775</v>
      </c>
      <c r="F134" s="8">
        <f>'Leave Record'!A136</f>
        <v>0</v>
      </c>
      <c r="G134" s="8">
        <f>'Leave Record'!B136</f>
        <v>0</v>
      </c>
      <c r="H134" s="23">
        <f t="shared" ref="H134:H197" si="19">G134-F134+1</f>
        <v>1</v>
      </c>
      <c r="I134" s="23">
        <f t="shared" ref="I134:I197" si="20">IF(K134=$P$14,H134,0)</f>
        <v>0</v>
      </c>
      <c r="J134" s="42">
        <f t="shared" si="17"/>
        <v>-5.8636363636363775</v>
      </c>
      <c r="K134" s="23">
        <f>'Leave Record'!C136</f>
        <v>0</v>
      </c>
      <c r="Q134">
        <f t="shared" ref="Q134:Q197" si="21">K134</f>
        <v>0</v>
      </c>
      <c r="R134" s="15">
        <f t="shared" ref="R134:R197" si="22">J134</f>
        <v>-5.8636363636363775</v>
      </c>
    </row>
    <row r="135" spans="1:18" x14ac:dyDescent="0.25">
      <c r="A135" s="8">
        <f t="shared" ref="A135:A198" si="23">G134+1</f>
        <v>1</v>
      </c>
      <c r="B135" s="35">
        <f>IF(K135=$P$15,$M$4,IF(K135=$P$13,'Leave Entry'!$B$4,F135-1))</f>
        <v>-1</v>
      </c>
      <c r="C135" s="23">
        <f t="shared" si="18"/>
        <v>-1</v>
      </c>
      <c r="D135" s="42">
        <f t="shared" ref="D135:D198" si="24">C135/22</f>
        <v>-4.5454545454545456E-2</v>
      </c>
      <c r="E135" s="42">
        <f t="shared" ref="E135:E198" si="25">J134+D135</f>
        <v>-5.9090909090909234</v>
      </c>
      <c r="F135" s="8">
        <f>'Leave Record'!A137</f>
        <v>0</v>
      </c>
      <c r="G135" s="8">
        <f>'Leave Record'!B137</f>
        <v>0</v>
      </c>
      <c r="H135" s="23">
        <f t="shared" si="19"/>
        <v>1</v>
      </c>
      <c r="I135" s="23">
        <f t="shared" si="20"/>
        <v>0</v>
      </c>
      <c r="J135" s="42">
        <f t="shared" ref="J135:J198" si="26">E135-I135</f>
        <v>-5.9090909090909234</v>
      </c>
      <c r="K135" s="23">
        <f>'Leave Record'!C137</f>
        <v>0</v>
      </c>
      <c r="Q135">
        <f t="shared" si="21"/>
        <v>0</v>
      </c>
      <c r="R135" s="15">
        <f t="shared" si="22"/>
        <v>-5.9090909090909234</v>
      </c>
    </row>
    <row r="136" spans="1:18" x14ac:dyDescent="0.25">
      <c r="A136" s="8">
        <f t="shared" si="23"/>
        <v>1</v>
      </c>
      <c r="B136" s="35">
        <f>IF(K136=$P$15,$M$4,IF(K136=$P$13,'Leave Entry'!$B$4,F136-1))</f>
        <v>-1</v>
      </c>
      <c r="C136" s="23">
        <f t="shared" si="18"/>
        <v>-1</v>
      </c>
      <c r="D136" s="42">
        <f t="shared" si="24"/>
        <v>-4.5454545454545456E-2</v>
      </c>
      <c r="E136" s="42">
        <f t="shared" si="25"/>
        <v>-5.9545454545454692</v>
      </c>
      <c r="F136" s="8">
        <f>'Leave Record'!A138</f>
        <v>0</v>
      </c>
      <c r="G136" s="8">
        <f>'Leave Record'!B138</f>
        <v>0</v>
      </c>
      <c r="H136" s="23">
        <f t="shared" si="19"/>
        <v>1</v>
      </c>
      <c r="I136" s="23">
        <f t="shared" si="20"/>
        <v>0</v>
      </c>
      <c r="J136" s="42">
        <f t="shared" si="26"/>
        <v>-5.9545454545454692</v>
      </c>
      <c r="K136" s="23">
        <f>'Leave Record'!C138</f>
        <v>0</v>
      </c>
      <c r="Q136">
        <f t="shared" si="21"/>
        <v>0</v>
      </c>
      <c r="R136" s="15">
        <f t="shared" si="22"/>
        <v>-5.9545454545454692</v>
      </c>
    </row>
    <row r="137" spans="1:18" x14ac:dyDescent="0.25">
      <c r="A137" s="8">
        <f t="shared" si="23"/>
        <v>1</v>
      </c>
      <c r="B137" s="35">
        <f>IF(K137=$P$15,$M$4,IF(K137=$P$13,'Leave Entry'!$B$4,F137-1))</f>
        <v>-1</v>
      </c>
      <c r="C137" s="23">
        <f t="shared" si="18"/>
        <v>-1</v>
      </c>
      <c r="D137" s="42">
        <f t="shared" si="24"/>
        <v>-4.5454545454545456E-2</v>
      </c>
      <c r="E137" s="42">
        <f t="shared" si="25"/>
        <v>-6.0000000000000151</v>
      </c>
      <c r="F137" s="8">
        <f>'Leave Record'!A139</f>
        <v>0</v>
      </c>
      <c r="G137" s="8">
        <f>'Leave Record'!B139</f>
        <v>0</v>
      </c>
      <c r="H137" s="23">
        <f t="shared" si="19"/>
        <v>1</v>
      </c>
      <c r="I137" s="23">
        <f t="shared" si="20"/>
        <v>0</v>
      </c>
      <c r="J137" s="42">
        <f t="shared" si="26"/>
        <v>-6.0000000000000151</v>
      </c>
      <c r="K137" s="23">
        <f>'Leave Record'!C139</f>
        <v>0</v>
      </c>
      <c r="Q137">
        <f t="shared" si="21"/>
        <v>0</v>
      </c>
      <c r="R137" s="15">
        <f t="shared" si="22"/>
        <v>-6.0000000000000151</v>
      </c>
    </row>
    <row r="138" spans="1:18" x14ac:dyDescent="0.25">
      <c r="A138" s="8">
        <f t="shared" si="23"/>
        <v>1</v>
      </c>
      <c r="B138" s="35">
        <f>IF(K138=$P$15,$M$4,IF(K138=$P$13,'Leave Entry'!$B$4,F138-1))</f>
        <v>-1</v>
      </c>
      <c r="C138" s="23">
        <f t="shared" si="18"/>
        <v>-1</v>
      </c>
      <c r="D138" s="42">
        <f t="shared" si="24"/>
        <v>-4.5454545454545456E-2</v>
      </c>
      <c r="E138" s="42">
        <f t="shared" si="25"/>
        <v>-6.045454545454561</v>
      </c>
      <c r="F138" s="8">
        <f>'Leave Record'!A140</f>
        <v>0</v>
      </c>
      <c r="G138" s="8">
        <f>'Leave Record'!B140</f>
        <v>0</v>
      </c>
      <c r="H138" s="23">
        <f t="shared" si="19"/>
        <v>1</v>
      </c>
      <c r="I138" s="23">
        <f t="shared" si="20"/>
        <v>0</v>
      </c>
      <c r="J138" s="42">
        <f t="shared" si="26"/>
        <v>-6.045454545454561</v>
      </c>
      <c r="K138" s="23">
        <f>'Leave Record'!C140</f>
        <v>0</v>
      </c>
      <c r="Q138">
        <f t="shared" si="21"/>
        <v>0</v>
      </c>
      <c r="R138" s="15">
        <f t="shared" si="22"/>
        <v>-6.045454545454561</v>
      </c>
    </row>
    <row r="139" spans="1:18" x14ac:dyDescent="0.25">
      <c r="A139" s="8">
        <f t="shared" si="23"/>
        <v>1</v>
      </c>
      <c r="B139" s="35">
        <f>IF(K139=$P$15,$M$4,IF(K139=$P$13,'Leave Entry'!$B$4,F139-1))</f>
        <v>-1</v>
      </c>
      <c r="C139" s="23">
        <f t="shared" si="18"/>
        <v>-1</v>
      </c>
      <c r="D139" s="42">
        <f t="shared" si="24"/>
        <v>-4.5454545454545456E-2</v>
      </c>
      <c r="E139" s="42">
        <f t="shared" si="25"/>
        <v>-6.0909090909091068</v>
      </c>
      <c r="F139" s="8">
        <f>'Leave Record'!A141</f>
        <v>0</v>
      </c>
      <c r="G139" s="8">
        <f>'Leave Record'!B141</f>
        <v>0</v>
      </c>
      <c r="H139" s="23">
        <f t="shared" si="19"/>
        <v>1</v>
      </c>
      <c r="I139" s="23">
        <f t="shared" si="20"/>
        <v>0</v>
      </c>
      <c r="J139" s="42">
        <f t="shared" si="26"/>
        <v>-6.0909090909091068</v>
      </c>
      <c r="K139" s="23">
        <f>'Leave Record'!C141</f>
        <v>0</v>
      </c>
      <c r="Q139">
        <f t="shared" si="21"/>
        <v>0</v>
      </c>
      <c r="R139" s="15">
        <f t="shared" si="22"/>
        <v>-6.0909090909091068</v>
      </c>
    </row>
    <row r="140" spans="1:18" x14ac:dyDescent="0.25">
      <c r="A140" s="8">
        <f t="shared" si="23"/>
        <v>1</v>
      </c>
      <c r="B140" s="35">
        <f>IF(K140=$P$15,$M$4,IF(K140=$P$13,'Leave Entry'!$B$4,F140-1))</f>
        <v>-1</v>
      </c>
      <c r="C140" s="23">
        <f t="shared" si="18"/>
        <v>-1</v>
      </c>
      <c r="D140" s="42">
        <f t="shared" si="24"/>
        <v>-4.5454545454545456E-2</v>
      </c>
      <c r="E140" s="42">
        <f t="shared" si="25"/>
        <v>-6.1363636363636527</v>
      </c>
      <c r="F140" s="8">
        <f>'Leave Record'!A142</f>
        <v>0</v>
      </c>
      <c r="G140" s="8">
        <f>'Leave Record'!B142</f>
        <v>0</v>
      </c>
      <c r="H140" s="23">
        <f t="shared" si="19"/>
        <v>1</v>
      </c>
      <c r="I140" s="23">
        <f t="shared" si="20"/>
        <v>0</v>
      </c>
      <c r="J140" s="42">
        <f t="shared" si="26"/>
        <v>-6.1363636363636527</v>
      </c>
      <c r="K140" s="23">
        <f>'Leave Record'!C142</f>
        <v>0</v>
      </c>
      <c r="Q140">
        <f t="shared" si="21"/>
        <v>0</v>
      </c>
      <c r="R140" s="15">
        <f t="shared" si="22"/>
        <v>-6.1363636363636527</v>
      </c>
    </row>
    <row r="141" spans="1:18" x14ac:dyDescent="0.25">
      <c r="A141" s="8">
        <f t="shared" si="23"/>
        <v>1</v>
      </c>
      <c r="B141" s="35">
        <f>IF(K141=$P$15,$M$4,IF(K141=$P$13,'Leave Entry'!$B$4,F141-1))</f>
        <v>-1</v>
      </c>
      <c r="C141" s="23">
        <f t="shared" si="18"/>
        <v>-1</v>
      </c>
      <c r="D141" s="42">
        <f t="shared" si="24"/>
        <v>-4.5454545454545456E-2</v>
      </c>
      <c r="E141" s="42">
        <f t="shared" si="25"/>
        <v>-6.1818181818181985</v>
      </c>
      <c r="F141" s="8">
        <f>'Leave Record'!A143</f>
        <v>0</v>
      </c>
      <c r="G141" s="8">
        <f>'Leave Record'!B143</f>
        <v>0</v>
      </c>
      <c r="H141" s="23">
        <f t="shared" si="19"/>
        <v>1</v>
      </c>
      <c r="I141" s="23">
        <f t="shared" si="20"/>
        <v>0</v>
      </c>
      <c r="J141" s="42">
        <f t="shared" si="26"/>
        <v>-6.1818181818181985</v>
      </c>
      <c r="K141" s="23">
        <f>'Leave Record'!C143</f>
        <v>0</v>
      </c>
      <c r="Q141">
        <f t="shared" si="21"/>
        <v>0</v>
      </c>
      <c r="R141" s="15">
        <f t="shared" si="22"/>
        <v>-6.1818181818181985</v>
      </c>
    </row>
    <row r="142" spans="1:18" x14ac:dyDescent="0.25">
      <c r="A142" s="8">
        <f t="shared" si="23"/>
        <v>1</v>
      </c>
      <c r="B142" s="35">
        <f>IF(K142=$P$15,$M$4,IF(K142=$P$13,'Leave Entry'!$B$4,F142-1))</f>
        <v>-1</v>
      </c>
      <c r="C142" s="23">
        <f t="shared" si="18"/>
        <v>-1</v>
      </c>
      <c r="D142" s="42">
        <f t="shared" si="24"/>
        <v>-4.5454545454545456E-2</v>
      </c>
      <c r="E142" s="42">
        <f t="shared" si="25"/>
        <v>-6.2272727272727444</v>
      </c>
      <c r="F142" s="8">
        <f>'Leave Record'!A144</f>
        <v>0</v>
      </c>
      <c r="G142" s="8">
        <f>'Leave Record'!B144</f>
        <v>0</v>
      </c>
      <c r="H142" s="23">
        <f t="shared" si="19"/>
        <v>1</v>
      </c>
      <c r="I142" s="23">
        <f t="shared" si="20"/>
        <v>0</v>
      </c>
      <c r="J142" s="42">
        <f t="shared" si="26"/>
        <v>-6.2272727272727444</v>
      </c>
      <c r="K142" s="23">
        <f>'Leave Record'!C144</f>
        <v>0</v>
      </c>
      <c r="Q142">
        <f t="shared" si="21"/>
        <v>0</v>
      </c>
      <c r="R142" s="15">
        <f t="shared" si="22"/>
        <v>-6.2272727272727444</v>
      </c>
    </row>
    <row r="143" spans="1:18" x14ac:dyDescent="0.25">
      <c r="A143" s="8">
        <f t="shared" si="23"/>
        <v>1</v>
      </c>
      <c r="B143" s="35">
        <f>IF(K143=$P$15,$M$4,IF(K143=$P$13,'Leave Entry'!$B$4,F143-1))</f>
        <v>-1</v>
      </c>
      <c r="C143" s="23">
        <f t="shared" si="18"/>
        <v>-1</v>
      </c>
      <c r="D143" s="42">
        <f t="shared" si="24"/>
        <v>-4.5454545454545456E-2</v>
      </c>
      <c r="E143" s="42">
        <f t="shared" si="25"/>
        <v>-6.2727272727272902</v>
      </c>
      <c r="F143" s="8">
        <f>'Leave Record'!A145</f>
        <v>0</v>
      </c>
      <c r="G143" s="8">
        <f>'Leave Record'!B145</f>
        <v>0</v>
      </c>
      <c r="H143" s="23">
        <f t="shared" si="19"/>
        <v>1</v>
      </c>
      <c r="I143" s="23">
        <f t="shared" si="20"/>
        <v>0</v>
      </c>
      <c r="J143" s="42">
        <f t="shared" si="26"/>
        <v>-6.2727272727272902</v>
      </c>
      <c r="K143" s="23">
        <f>'Leave Record'!C145</f>
        <v>0</v>
      </c>
      <c r="Q143">
        <f t="shared" si="21"/>
        <v>0</v>
      </c>
      <c r="R143" s="15">
        <f t="shared" si="22"/>
        <v>-6.2727272727272902</v>
      </c>
    </row>
    <row r="144" spans="1:18" x14ac:dyDescent="0.25">
      <c r="A144" s="8">
        <f t="shared" si="23"/>
        <v>1</v>
      </c>
      <c r="B144" s="35">
        <f>IF(K144=$P$15,$M$4,IF(K144=$P$13,'Leave Entry'!$B$4,F144-1))</f>
        <v>-1</v>
      </c>
      <c r="C144" s="23">
        <f t="shared" si="18"/>
        <v>-1</v>
      </c>
      <c r="D144" s="42">
        <f t="shared" si="24"/>
        <v>-4.5454545454545456E-2</v>
      </c>
      <c r="E144" s="42">
        <f t="shared" si="25"/>
        <v>-6.3181818181818361</v>
      </c>
      <c r="F144" s="8">
        <f>'Leave Record'!A146</f>
        <v>0</v>
      </c>
      <c r="G144" s="8">
        <f>'Leave Record'!B146</f>
        <v>0</v>
      </c>
      <c r="H144" s="23">
        <f t="shared" si="19"/>
        <v>1</v>
      </c>
      <c r="I144" s="23">
        <f t="shared" si="20"/>
        <v>0</v>
      </c>
      <c r="J144" s="42">
        <f t="shared" si="26"/>
        <v>-6.3181818181818361</v>
      </c>
      <c r="K144" s="23">
        <f>'Leave Record'!C146</f>
        <v>0</v>
      </c>
      <c r="Q144">
        <f t="shared" si="21"/>
        <v>0</v>
      </c>
      <c r="R144" s="15">
        <f t="shared" si="22"/>
        <v>-6.3181818181818361</v>
      </c>
    </row>
    <row r="145" spans="1:18" x14ac:dyDescent="0.25">
      <c r="A145" s="8">
        <f t="shared" si="23"/>
        <v>1</v>
      </c>
      <c r="B145" s="35">
        <f>IF(K145=$P$15,$M$4,IF(K145=$P$13,'Leave Entry'!$B$4,F145-1))</f>
        <v>-1</v>
      </c>
      <c r="C145" s="23">
        <f t="shared" si="18"/>
        <v>-1</v>
      </c>
      <c r="D145" s="42">
        <f t="shared" si="24"/>
        <v>-4.5454545454545456E-2</v>
      </c>
      <c r="E145" s="42">
        <f t="shared" si="25"/>
        <v>-6.363636363636382</v>
      </c>
      <c r="F145" s="8">
        <f>'Leave Record'!A147</f>
        <v>0</v>
      </c>
      <c r="G145" s="8">
        <f>'Leave Record'!B147</f>
        <v>0</v>
      </c>
      <c r="H145" s="23">
        <f t="shared" si="19"/>
        <v>1</v>
      </c>
      <c r="I145" s="23">
        <f t="shared" si="20"/>
        <v>0</v>
      </c>
      <c r="J145" s="42">
        <f t="shared" si="26"/>
        <v>-6.363636363636382</v>
      </c>
      <c r="K145" s="23">
        <f>'Leave Record'!C147</f>
        <v>0</v>
      </c>
      <c r="Q145">
        <f t="shared" si="21"/>
        <v>0</v>
      </c>
      <c r="R145" s="15">
        <f t="shared" si="22"/>
        <v>-6.363636363636382</v>
      </c>
    </row>
    <row r="146" spans="1:18" x14ac:dyDescent="0.25">
      <c r="A146" s="8">
        <f t="shared" si="23"/>
        <v>1</v>
      </c>
      <c r="B146" s="35">
        <f>IF(K146=$P$15,$M$4,IF(K146=$P$13,'Leave Entry'!$B$4,F146-1))</f>
        <v>-1</v>
      </c>
      <c r="C146" s="23">
        <f t="shared" si="18"/>
        <v>-1</v>
      </c>
      <c r="D146" s="42">
        <f t="shared" si="24"/>
        <v>-4.5454545454545456E-2</v>
      </c>
      <c r="E146" s="42">
        <f t="shared" si="25"/>
        <v>-6.4090909090909278</v>
      </c>
      <c r="F146" s="8">
        <f>'Leave Record'!A148</f>
        <v>0</v>
      </c>
      <c r="G146" s="8">
        <f>'Leave Record'!B148</f>
        <v>0</v>
      </c>
      <c r="H146" s="23">
        <f t="shared" si="19"/>
        <v>1</v>
      </c>
      <c r="I146" s="23">
        <f t="shared" si="20"/>
        <v>0</v>
      </c>
      <c r="J146" s="42">
        <f t="shared" si="26"/>
        <v>-6.4090909090909278</v>
      </c>
      <c r="K146" s="23">
        <f>'Leave Record'!C148</f>
        <v>0</v>
      </c>
      <c r="Q146">
        <f t="shared" si="21"/>
        <v>0</v>
      </c>
      <c r="R146" s="15">
        <f t="shared" si="22"/>
        <v>-6.4090909090909278</v>
      </c>
    </row>
    <row r="147" spans="1:18" x14ac:dyDescent="0.25">
      <c r="A147" s="8">
        <f t="shared" si="23"/>
        <v>1</v>
      </c>
      <c r="B147" s="35">
        <f>IF(K147=$P$15,$M$4,IF(K147=$P$13,'Leave Entry'!$B$4,F147-1))</f>
        <v>-1</v>
      </c>
      <c r="C147" s="23">
        <f t="shared" si="18"/>
        <v>-1</v>
      </c>
      <c r="D147" s="42">
        <f t="shared" si="24"/>
        <v>-4.5454545454545456E-2</v>
      </c>
      <c r="E147" s="42">
        <f t="shared" si="25"/>
        <v>-6.4545454545454737</v>
      </c>
      <c r="F147" s="8">
        <f>'Leave Record'!A149</f>
        <v>0</v>
      </c>
      <c r="G147" s="8">
        <f>'Leave Record'!B149</f>
        <v>0</v>
      </c>
      <c r="H147" s="23">
        <f t="shared" si="19"/>
        <v>1</v>
      </c>
      <c r="I147" s="23">
        <f t="shared" si="20"/>
        <v>0</v>
      </c>
      <c r="J147" s="42">
        <f t="shared" si="26"/>
        <v>-6.4545454545454737</v>
      </c>
      <c r="K147" s="23">
        <f>'Leave Record'!C149</f>
        <v>0</v>
      </c>
      <c r="Q147">
        <f t="shared" si="21"/>
        <v>0</v>
      </c>
      <c r="R147" s="15">
        <f t="shared" si="22"/>
        <v>-6.4545454545454737</v>
      </c>
    </row>
    <row r="148" spans="1:18" x14ac:dyDescent="0.25">
      <c r="A148" s="8">
        <f t="shared" si="23"/>
        <v>1</v>
      </c>
      <c r="B148" s="35">
        <f>IF(K148=$P$15,$M$4,IF(K148=$P$13,'Leave Entry'!$B$4,F148-1))</f>
        <v>-1</v>
      </c>
      <c r="C148" s="23">
        <f t="shared" si="18"/>
        <v>-1</v>
      </c>
      <c r="D148" s="42">
        <f t="shared" si="24"/>
        <v>-4.5454545454545456E-2</v>
      </c>
      <c r="E148" s="42">
        <f t="shared" si="25"/>
        <v>-6.5000000000000195</v>
      </c>
      <c r="F148" s="8">
        <f>'Leave Record'!A150</f>
        <v>0</v>
      </c>
      <c r="G148" s="8">
        <f>'Leave Record'!B150</f>
        <v>0</v>
      </c>
      <c r="H148" s="23">
        <f t="shared" si="19"/>
        <v>1</v>
      </c>
      <c r="I148" s="23">
        <f t="shared" si="20"/>
        <v>0</v>
      </c>
      <c r="J148" s="42">
        <f t="shared" si="26"/>
        <v>-6.5000000000000195</v>
      </c>
      <c r="K148" s="23">
        <f>'Leave Record'!C150</f>
        <v>0</v>
      </c>
      <c r="Q148">
        <f t="shared" si="21"/>
        <v>0</v>
      </c>
      <c r="R148" s="15">
        <f t="shared" si="22"/>
        <v>-6.5000000000000195</v>
      </c>
    </row>
    <row r="149" spans="1:18" x14ac:dyDescent="0.25">
      <c r="A149" s="8">
        <f t="shared" si="23"/>
        <v>1</v>
      </c>
      <c r="B149" s="35">
        <f>IF(K149=$P$15,$M$4,IF(K149=$P$13,'Leave Entry'!$B$4,F149-1))</f>
        <v>-1</v>
      </c>
      <c r="C149" s="23">
        <f t="shared" si="18"/>
        <v>-1</v>
      </c>
      <c r="D149" s="42">
        <f t="shared" si="24"/>
        <v>-4.5454545454545456E-2</v>
      </c>
      <c r="E149" s="42">
        <f t="shared" si="25"/>
        <v>-6.5454545454545654</v>
      </c>
      <c r="F149" s="8">
        <f>'Leave Record'!A151</f>
        <v>0</v>
      </c>
      <c r="G149" s="8">
        <f>'Leave Record'!B151</f>
        <v>0</v>
      </c>
      <c r="H149" s="23">
        <f t="shared" si="19"/>
        <v>1</v>
      </c>
      <c r="I149" s="23">
        <f t="shared" si="20"/>
        <v>0</v>
      </c>
      <c r="J149" s="42">
        <f t="shared" si="26"/>
        <v>-6.5454545454545654</v>
      </c>
      <c r="K149" s="23">
        <f>'Leave Record'!C151</f>
        <v>0</v>
      </c>
      <c r="Q149">
        <f t="shared" si="21"/>
        <v>0</v>
      </c>
      <c r="R149" s="15">
        <f t="shared" si="22"/>
        <v>-6.5454545454545654</v>
      </c>
    </row>
    <row r="150" spans="1:18" x14ac:dyDescent="0.25">
      <c r="A150" s="8">
        <f t="shared" si="23"/>
        <v>1</v>
      </c>
      <c r="B150" s="35">
        <f>IF(K150=$P$15,$M$4,IF(K150=$P$13,'Leave Entry'!$B$4,F150-1))</f>
        <v>-1</v>
      </c>
      <c r="C150" s="23">
        <f t="shared" si="18"/>
        <v>-1</v>
      </c>
      <c r="D150" s="42">
        <f t="shared" si="24"/>
        <v>-4.5454545454545456E-2</v>
      </c>
      <c r="E150" s="42">
        <f t="shared" si="25"/>
        <v>-6.5909090909091113</v>
      </c>
      <c r="F150" s="8">
        <f>'Leave Record'!A152</f>
        <v>0</v>
      </c>
      <c r="G150" s="8">
        <f>'Leave Record'!B152</f>
        <v>0</v>
      </c>
      <c r="H150" s="23">
        <f t="shared" si="19"/>
        <v>1</v>
      </c>
      <c r="I150" s="23">
        <f t="shared" si="20"/>
        <v>0</v>
      </c>
      <c r="J150" s="42">
        <f t="shared" si="26"/>
        <v>-6.5909090909091113</v>
      </c>
      <c r="K150" s="23">
        <f>'Leave Record'!C152</f>
        <v>0</v>
      </c>
      <c r="Q150">
        <f t="shared" si="21"/>
        <v>0</v>
      </c>
      <c r="R150" s="15">
        <f t="shared" si="22"/>
        <v>-6.5909090909091113</v>
      </c>
    </row>
    <row r="151" spans="1:18" x14ac:dyDescent="0.25">
      <c r="A151" s="8">
        <f t="shared" si="23"/>
        <v>1</v>
      </c>
      <c r="B151" s="35">
        <f>IF(K151=$P$15,$M$4,IF(K151=$P$13,'Leave Entry'!$B$4,F151-1))</f>
        <v>-1</v>
      </c>
      <c r="C151" s="23">
        <f t="shared" si="18"/>
        <v>-1</v>
      </c>
      <c r="D151" s="42">
        <f t="shared" si="24"/>
        <v>-4.5454545454545456E-2</v>
      </c>
      <c r="E151" s="42">
        <f t="shared" si="25"/>
        <v>-6.6363636363636571</v>
      </c>
      <c r="F151" s="8">
        <f>'Leave Record'!A153</f>
        <v>0</v>
      </c>
      <c r="G151" s="8">
        <f>'Leave Record'!B153</f>
        <v>0</v>
      </c>
      <c r="H151" s="23">
        <f t="shared" si="19"/>
        <v>1</v>
      </c>
      <c r="I151" s="23">
        <f t="shared" si="20"/>
        <v>0</v>
      </c>
      <c r="J151" s="42">
        <f t="shared" si="26"/>
        <v>-6.6363636363636571</v>
      </c>
      <c r="K151" s="23">
        <f>'Leave Record'!C153</f>
        <v>0</v>
      </c>
      <c r="Q151">
        <f t="shared" si="21"/>
        <v>0</v>
      </c>
      <c r="R151" s="15">
        <f t="shared" si="22"/>
        <v>-6.6363636363636571</v>
      </c>
    </row>
    <row r="152" spans="1:18" x14ac:dyDescent="0.25">
      <c r="A152" s="8">
        <f t="shared" si="23"/>
        <v>1</v>
      </c>
      <c r="B152" s="35">
        <f>IF(K152=$P$15,$M$4,IF(K152=$P$13,'Leave Entry'!$B$4,F152-1))</f>
        <v>-1</v>
      </c>
      <c r="C152" s="23">
        <f t="shared" si="18"/>
        <v>-1</v>
      </c>
      <c r="D152" s="42">
        <f t="shared" si="24"/>
        <v>-4.5454545454545456E-2</v>
      </c>
      <c r="E152" s="42">
        <f t="shared" si="25"/>
        <v>-6.681818181818203</v>
      </c>
      <c r="F152" s="8">
        <f>'Leave Record'!A154</f>
        <v>0</v>
      </c>
      <c r="G152" s="8">
        <f>'Leave Record'!B154</f>
        <v>0</v>
      </c>
      <c r="H152" s="23">
        <f t="shared" si="19"/>
        <v>1</v>
      </c>
      <c r="I152" s="23">
        <f t="shared" si="20"/>
        <v>0</v>
      </c>
      <c r="J152" s="42">
        <f t="shared" si="26"/>
        <v>-6.681818181818203</v>
      </c>
      <c r="K152" s="23">
        <f>'Leave Record'!C154</f>
        <v>0</v>
      </c>
      <c r="Q152">
        <f t="shared" si="21"/>
        <v>0</v>
      </c>
      <c r="R152" s="15">
        <f t="shared" si="22"/>
        <v>-6.681818181818203</v>
      </c>
    </row>
    <row r="153" spans="1:18" x14ac:dyDescent="0.25">
      <c r="A153" s="8">
        <f t="shared" si="23"/>
        <v>1</v>
      </c>
      <c r="B153" s="35">
        <f>IF(K153=$P$15,$M$4,IF(K153=$P$13,'Leave Entry'!$B$4,F153-1))</f>
        <v>-1</v>
      </c>
      <c r="C153" s="23">
        <f t="shared" si="18"/>
        <v>-1</v>
      </c>
      <c r="D153" s="42">
        <f t="shared" si="24"/>
        <v>-4.5454545454545456E-2</v>
      </c>
      <c r="E153" s="42">
        <f t="shared" si="25"/>
        <v>-6.7272727272727488</v>
      </c>
      <c r="F153" s="8">
        <f>'Leave Record'!A155</f>
        <v>0</v>
      </c>
      <c r="G153" s="8">
        <f>'Leave Record'!B155</f>
        <v>0</v>
      </c>
      <c r="H153" s="23">
        <f t="shared" si="19"/>
        <v>1</v>
      </c>
      <c r="I153" s="23">
        <f t="shared" si="20"/>
        <v>0</v>
      </c>
      <c r="J153" s="42">
        <f t="shared" si="26"/>
        <v>-6.7272727272727488</v>
      </c>
      <c r="K153" s="23">
        <f>'Leave Record'!C155</f>
        <v>0</v>
      </c>
      <c r="Q153">
        <f t="shared" si="21"/>
        <v>0</v>
      </c>
      <c r="R153" s="15">
        <f t="shared" si="22"/>
        <v>-6.7272727272727488</v>
      </c>
    </row>
    <row r="154" spans="1:18" x14ac:dyDescent="0.25">
      <c r="A154" s="8">
        <f t="shared" si="23"/>
        <v>1</v>
      </c>
      <c r="B154" s="35">
        <f>IF(K154=$P$15,$M$4,IF(K154=$P$13,'Leave Entry'!$B$4,F154-1))</f>
        <v>-1</v>
      </c>
      <c r="C154" s="23">
        <f t="shared" si="18"/>
        <v>-1</v>
      </c>
      <c r="D154" s="42">
        <f t="shared" si="24"/>
        <v>-4.5454545454545456E-2</v>
      </c>
      <c r="E154" s="42">
        <f t="shared" si="25"/>
        <v>-6.7727272727272947</v>
      </c>
      <c r="F154" s="8">
        <f>'Leave Record'!A156</f>
        <v>0</v>
      </c>
      <c r="G154" s="8">
        <f>'Leave Record'!B156</f>
        <v>0</v>
      </c>
      <c r="H154" s="23">
        <f t="shared" si="19"/>
        <v>1</v>
      </c>
      <c r="I154" s="23">
        <f t="shared" si="20"/>
        <v>0</v>
      </c>
      <c r="J154" s="42">
        <f t="shared" si="26"/>
        <v>-6.7727272727272947</v>
      </c>
      <c r="K154" s="23">
        <f>'Leave Record'!C156</f>
        <v>0</v>
      </c>
      <c r="Q154">
        <f t="shared" si="21"/>
        <v>0</v>
      </c>
      <c r="R154" s="15">
        <f t="shared" si="22"/>
        <v>-6.7727272727272947</v>
      </c>
    </row>
    <row r="155" spans="1:18" x14ac:dyDescent="0.25">
      <c r="A155" s="8">
        <f t="shared" si="23"/>
        <v>1</v>
      </c>
      <c r="B155" s="35">
        <f>IF(K155=$P$15,$M$4,IF(K155=$P$13,'Leave Entry'!$B$4,F155-1))</f>
        <v>-1</v>
      </c>
      <c r="C155" s="23">
        <f t="shared" si="18"/>
        <v>-1</v>
      </c>
      <c r="D155" s="42">
        <f t="shared" si="24"/>
        <v>-4.5454545454545456E-2</v>
      </c>
      <c r="E155" s="42">
        <f t="shared" si="25"/>
        <v>-6.8181818181818405</v>
      </c>
      <c r="F155" s="8">
        <f>'Leave Record'!A157</f>
        <v>0</v>
      </c>
      <c r="G155" s="8">
        <f>'Leave Record'!B157</f>
        <v>0</v>
      </c>
      <c r="H155" s="23">
        <f t="shared" si="19"/>
        <v>1</v>
      </c>
      <c r="I155" s="23">
        <f t="shared" si="20"/>
        <v>0</v>
      </c>
      <c r="J155" s="42">
        <f t="shared" si="26"/>
        <v>-6.8181818181818405</v>
      </c>
      <c r="K155" s="23">
        <f>'Leave Record'!C157</f>
        <v>0</v>
      </c>
      <c r="Q155">
        <f t="shared" si="21"/>
        <v>0</v>
      </c>
      <c r="R155" s="15">
        <f t="shared" si="22"/>
        <v>-6.8181818181818405</v>
      </c>
    </row>
    <row r="156" spans="1:18" x14ac:dyDescent="0.25">
      <c r="A156" s="8">
        <f t="shared" si="23"/>
        <v>1</v>
      </c>
      <c r="B156" s="35">
        <f>IF(K156=$P$15,$M$4,IF(K156=$P$13,'Leave Entry'!$B$4,F156-1))</f>
        <v>-1</v>
      </c>
      <c r="C156" s="23">
        <f t="shared" si="18"/>
        <v>-1</v>
      </c>
      <c r="D156" s="42">
        <f t="shared" si="24"/>
        <v>-4.5454545454545456E-2</v>
      </c>
      <c r="E156" s="42">
        <f t="shared" si="25"/>
        <v>-6.8636363636363864</v>
      </c>
      <c r="F156" s="8">
        <f>'Leave Record'!A158</f>
        <v>0</v>
      </c>
      <c r="G156" s="8">
        <f>'Leave Record'!B158</f>
        <v>0</v>
      </c>
      <c r="H156" s="23">
        <f t="shared" si="19"/>
        <v>1</v>
      </c>
      <c r="I156" s="23">
        <f t="shared" si="20"/>
        <v>0</v>
      </c>
      <c r="J156" s="42">
        <f t="shared" si="26"/>
        <v>-6.8636363636363864</v>
      </c>
      <c r="K156" s="23">
        <f>'Leave Record'!C158</f>
        <v>0</v>
      </c>
      <c r="Q156">
        <f t="shared" si="21"/>
        <v>0</v>
      </c>
      <c r="R156" s="15">
        <f t="shared" si="22"/>
        <v>-6.8636363636363864</v>
      </c>
    </row>
    <row r="157" spans="1:18" x14ac:dyDescent="0.25">
      <c r="A157" s="8">
        <f t="shared" si="23"/>
        <v>1</v>
      </c>
      <c r="B157" s="35">
        <f>IF(K157=$P$15,$M$4,IF(K157=$P$13,'Leave Entry'!$B$4,F157-1))</f>
        <v>-1</v>
      </c>
      <c r="C157" s="23">
        <f t="shared" si="18"/>
        <v>-1</v>
      </c>
      <c r="D157" s="42">
        <f t="shared" si="24"/>
        <v>-4.5454545454545456E-2</v>
      </c>
      <c r="E157" s="42">
        <f t="shared" si="25"/>
        <v>-6.9090909090909323</v>
      </c>
      <c r="F157" s="8">
        <f>'Leave Record'!A159</f>
        <v>0</v>
      </c>
      <c r="G157" s="8">
        <f>'Leave Record'!B159</f>
        <v>0</v>
      </c>
      <c r="H157" s="23">
        <f t="shared" si="19"/>
        <v>1</v>
      </c>
      <c r="I157" s="23">
        <f t="shared" si="20"/>
        <v>0</v>
      </c>
      <c r="J157" s="42">
        <f t="shared" si="26"/>
        <v>-6.9090909090909323</v>
      </c>
      <c r="K157" s="23">
        <f>'Leave Record'!C159</f>
        <v>0</v>
      </c>
      <c r="Q157">
        <f t="shared" si="21"/>
        <v>0</v>
      </c>
      <c r="R157" s="15">
        <f t="shared" si="22"/>
        <v>-6.9090909090909323</v>
      </c>
    </row>
    <row r="158" spans="1:18" x14ac:dyDescent="0.25">
      <c r="A158" s="8">
        <f t="shared" si="23"/>
        <v>1</v>
      </c>
      <c r="B158" s="35">
        <f>IF(K158=$P$15,$M$4,IF(K158=$P$13,'Leave Entry'!$B$4,F158-1))</f>
        <v>-1</v>
      </c>
      <c r="C158" s="23">
        <f t="shared" si="18"/>
        <v>-1</v>
      </c>
      <c r="D158" s="42">
        <f t="shared" si="24"/>
        <v>-4.5454545454545456E-2</v>
      </c>
      <c r="E158" s="42">
        <f t="shared" si="25"/>
        <v>-6.9545454545454781</v>
      </c>
      <c r="F158" s="8">
        <f>'Leave Record'!A160</f>
        <v>0</v>
      </c>
      <c r="G158" s="8">
        <f>'Leave Record'!B160</f>
        <v>0</v>
      </c>
      <c r="H158" s="23">
        <f t="shared" si="19"/>
        <v>1</v>
      </c>
      <c r="I158" s="23">
        <f t="shared" si="20"/>
        <v>0</v>
      </c>
      <c r="J158" s="42">
        <f t="shared" si="26"/>
        <v>-6.9545454545454781</v>
      </c>
      <c r="K158" s="23">
        <f>'Leave Record'!C160</f>
        <v>0</v>
      </c>
      <c r="Q158">
        <f t="shared" si="21"/>
        <v>0</v>
      </c>
      <c r="R158" s="15">
        <f t="shared" si="22"/>
        <v>-6.9545454545454781</v>
      </c>
    </row>
    <row r="159" spans="1:18" x14ac:dyDescent="0.25">
      <c r="A159" s="8">
        <f t="shared" si="23"/>
        <v>1</v>
      </c>
      <c r="B159" s="35">
        <f>IF(K159=$P$15,$M$4,IF(K159=$P$13,'Leave Entry'!$B$4,F159-1))</f>
        <v>-1</v>
      </c>
      <c r="C159" s="23">
        <f t="shared" si="18"/>
        <v>-1</v>
      </c>
      <c r="D159" s="42">
        <f t="shared" si="24"/>
        <v>-4.5454545454545456E-2</v>
      </c>
      <c r="E159" s="42">
        <f t="shared" si="25"/>
        <v>-7.000000000000024</v>
      </c>
      <c r="F159" s="8">
        <f>'Leave Record'!A161</f>
        <v>0</v>
      </c>
      <c r="G159" s="8">
        <f>'Leave Record'!B161</f>
        <v>0</v>
      </c>
      <c r="H159" s="23">
        <f t="shared" si="19"/>
        <v>1</v>
      </c>
      <c r="I159" s="23">
        <f t="shared" si="20"/>
        <v>0</v>
      </c>
      <c r="J159" s="42">
        <f t="shared" si="26"/>
        <v>-7.000000000000024</v>
      </c>
      <c r="K159" s="23">
        <f>'Leave Record'!C161</f>
        <v>0</v>
      </c>
      <c r="Q159">
        <f t="shared" si="21"/>
        <v>0</v>
      </c>
      <c r="R159" s="15">
        <f t="shared" si="22"/>
        <v>-7.000000000000024</v>
      </c>
    </row>
    <row r="160" spans="1:18" x14ac:dyDescent="0.25">
      <c r="A160" s="8">
        <f t="shared" si="23"/>
        <v>1</v>
      </c>
      <c r="B160" s="35">
        <f>IF(K160=$P$15,$M$4,IF(K160=$P$13,'Leave Entry'!$B$4,F160-1))</f>
        <v>-1</v>
      </c>
      <c r="C160" s="23">
        <f t="shared" si="18"/>
        <v>-1</v>
      </c>
      <c r="D160" s="42">
        <f t="shared" si="24"/>
        <v>-4.5454545454545456E-2</v>
      </c>
      <c r="E160" s="42">
        <f t="shared" si="25"/>
        <v>-7.0454545454545698</v>
      </c>
      <c r="F160" s="8">
        <f>'Leave Record'!A162</f>
        <v>0</v>
      </c>
      <c r="G160" s="8">
        <f>'Leave Record'!B162</f>
        <v>0</v>
      </c>
      <c r="H160" s="23">
        <f t="shared" si="19"/>
        <v>1</v>
      </c>
      <c r="I160" s="23">
        <f t="shared" si="20"/>
        <v>0</v>
      </c>
      <c r="J160" s="42">
        <f t="shared" si="26"/>
        <v>-7.0454545454545698</v>
      </c>
      <c r="K160" s="23">
        <f>'Leave Record'!C162</f>
        <v>0</v>
      </c>
      <c r="Q160">
        <f t="shared" si="21"/>
        <v>0</v>
      </c>
      <c r="R160" s="15">
        <f t="shared" si="22"/>
        <v>-7.0454545454545698</v>
      </c>
    </row>
    <row r="161" spans="1:18" x14ac:dyDescent="0.25">
      <c r="A161" s="8">
        <f t="shared" si="23"/>
        <v>1</v>
      </c>
      <c r="B161" s="35">
        <f>IF(K161=$P$15,$M$4,IF(K161=$P$13,'Leave Entry'!$B$4,F161-1))</f>
        <v>-1</v>
      </c>
      <c r="C161" s="23">
        <f t="shared" si="18"/>
        <v>-1</v>
      </c>
      <c r="D161" s="42">
        <f t="shared" si="24"/>
        <v>-4.5454545454545456E-2</v>
      </c>
      <c r="E161" s="42">
        <f t="shared" si="25"/>
        <v>-7.0909090909091157</v>
      </c>
      <c r="F161" s="8">
        <f>'Leave Record'!A163</f>
        <v>0</v>
      </c>
      <c r="G161" s="8">
        <f>'Leave Record'!B163</f>
        <v>0</v>
      </c>
      <c r="H161" s="23">
        <f t="shared" si="19"/>
        <v>1</v>
      </c>
      <c r="I161" s="23">
        <f t="shared" si="20"/>
        <v>0</v>
      </c>
      <c r="J161" s="42">
        <f t="shared" si="26"/>
        <v>-7.0909090909091157</v>
      </c>
      <c r="K161" s="23">
        <f>'Leave Record'!C163</f>
        <v>0</v>
      </c>
      <c r="Q161">
        <f t="shared" si="21"/>
        <v>0</v>
      </c>
      <c r="R161" s="15">
        <f t="shared" si="22"/>
        <v>-7.0909090909091157</v>
      </c>
    </row>
    <row r="162" spans="1:18" x14ac:dyDescent="0.25">
      <c r="A162" s="8">
        <f t="shared" si="23"/>
        <v>1</v>
      </c>
      <c r="B162" s="35">
        <f>IF(K162=$P$15,$M$4,IF(K162=$P$13,'Leave Entry'!$B$4,F162-1))</f>
        <v>-1</v>
      </c>
      <c r="C162" s="23">
        <f t="shared" si="18"/>
        <v>-1</v>
      </c>
      <c r="D162" s="42">
        <f t="shared" si="24"/>
        <v>-4.5454545454545456E-2</v>
      </c>
      <c r="E162" s="42">
        <f t="shared" si="25"/>
        <v>-7.1363636363636616</v>
      </c>
      <c r="F162" s="8">
        <f>'Leave Record'!A164</f>
        <v>0</v>
      </c>
      <c r="G162" s="8">
        <f>'Leave Record'!B164</f>
        <v>0</v>
      </c>
      <c r="H162" s="23">
        <f t="shared" si="19"/>
        <v>1</v>
      </c>
      <c r="I162" s="23">
        <f t="shared" si="20"/>
        <v>0</v>
      </c>
      <c r="J162" s="42">
        <f t="shared" si="26"/>
        <v>-7.1363636363636616</v>
      </c>
      <c r="K162" s="23">
        <f>'Leave Record'!C164</f>
        <v>0</v>
      </c>
      <c r="Q162">
        <f t="shared" si="21"/>
        <v>0</v>
      </c>
      <c r="R162" s="15">
        <f t="shared" si="22"/>
        <v>-7.1363636363636616</v>
      </c>
    </row>
    <row r="163" spans="1:18" x14ac:dyDescent="0.25">
      <c r="A163" s="8">
        <f t="shared" si="23"/>
        <v>1</v>
      </c>
      <c r="B163" s="35">
        <f>IF(K163=$P$15,$M$4,IF(K163=$P$13,'Leave Entry'!$B$4,F163-1))</f>
        <v>-1</v>
      </c>
      <c r="C163" s="23">
        <f t="shared" si="18"/>
        <v>-1</v>
      </c>
      <c r="D163" s="42">
        <f t="shared" si="24"/>
        <v>-4.5454545454545456E-2</v>
      </c>
      <c r="E163" s="42">
        <f t="shared" si="25"/>
        <v>-7.1818181818182074</v>
      </c>
      <c r="F163" s="8">
        <f>'Leave Record'!A165</f>
        <v>0</v>
      </c>
      <c r="G163" s="8">
        <f>'Leave Record'!B165</f>
        <v>0</v>
      </c>
      <c r="H163" s="23">
        <f t="shared" si="19"/>
        <v>1</v>
      </c>
      <c r="I163" s="23">
        <f t="shared" si="20"/>
        <v>0</v>
      </c>
      <c r="J163" s="42">
        <f t="shared" si="26"/>
        <v>-7.1818181818182074</v>
      </c>
      <c r="K163" s="23">
        <f>'Leave Record'!C165</f>
        <v>0</v>
      </c>
      <c r="Q163">
        <f t="shared" si="21"/>
        <v>0</v>
      </c>
      <c r="R163" s="15">
        <f t="shared" si="22"/>
        <v>-7.1818181818182074</v>
      </c>
    </row>
    <row r="164" spans="1:18" x14ac:dyDescent="0.25">
      <c r="A164" s="8">
        <f t="shared" si="23"/>
        <v>1</v>
      </c>
      <c r="B164" s="35">
        <f>IF(K164=$P$15,$M$4,IF(K164=$P$13,'Leave Entry'!$B$4,F164-1))</f>
        <v>-1</v>
      </c>
      <c r="C164" s="23">
        <f t="shared" si="18"/>
        <v>-1</v>
      </c>
      <c r="D164" s="42">
        <f t="shared" si="24"/>
        <v>-4.5454545454545456E-2</v>
      </c>
      <c r="E164" s="42">
        <f t="shared" si="25"/>
        <v>-7.2272727272727533</v>
      </c>
      <c r="F164" s="8">
        <f>'Leave Record'!A166</f>
        <v>0</v>
      </c>
      <c r="G164" s="8">
        <f>'Leave Record'!B166</f>
        <v>0</v>
      </c>
      <c r="H164" s="23">
        <f t="shared" si="19"/>
        <v>1</v>
      </c>
      <c r="I164" s="23">
        <f t="shared" si="20"/>
        <v>0</v>
      </c>
      <c r="J164" s="42">
        <f t="shared" si="26"/>
        <v>-7.2272727272727533</v>
      </c>
      <c r="K164" s="23">
        <f>'Leave Record'!C166</f>
        <v>0</v>
      </c>
      <c r="Q164">
        <f t="shared" si="21"/>
        <v>0</v>
      </c>
      <c r="R164" s="15">
        <f t="shared" si="22"/>
        <v>-7.2272727272727533</v>
      </c>
    </row>
    <row r="165" spans="1:18" x14ac:dyDescent="0.25">
      <c r="A165" s="8">
        <f t="shared" si="23"/>
        <v>1</v>
      </c>
      <c r="B165" s="35">
        <f>IF(K165=$P$15,$M$4,IF(K165=$P$13,'Leave Entry'!$B$4,F165-1))</f>
        <v>-1</v>
      </c>
      <c r="C165" s="23">
        <f t="shared" si="18"/>
        <v>-1</v>
      </c>
      <c r="D165" s="42">
        <f t="shared" si="24"/>
        <v>-4.5454545454545456E-2</v>
      </c>
      <c r="E165" s="42">
        <f t="shared" si="25"/>
        <v>-7.2727272727272991</v>
      </c>
      <c r="F165" s="8">
        <f>'Leave Record'!A167</f>
        <v>0</v>
      </c>
      <c r="G165" s="8">
        <f>'Leave Record'!B167</f>
        <v>0</v>
      </c>
      <c r="H165" s="23">
        <f t="shared" si="19"/>
        <v>1</v>
      </c>
      <c r="I165" s="23">
        <f t="shared" si="20"/>
        <v>0</v>
      </c>
      <c r="J165" s="42">
        <f t="shared" si="26"/>
        <v>-7.2727272727272991</v>
      </c>
      <c r="K165" s="23">
        <f>'Leave Record'!C167</f>
        <v>0</v>
      </c>
      <c r="Q165">
        <f t="shared" si="21"/>
        <v>0</v>
      </c>
      <c r="R165" s="15">
        <f t="shared" si="22"/>
        <v>-7.2727272727272991</v>
      </c>
    </row>
    <row r="166" spans="1:18" x14ac:dyDescent="0.25">
      <c r="A166" s="8">
        <f t="shared" si="23"/>
        <v>1</v>
      </c>
      <c r="B166" s="35">
        <f>IF(K166=$P$15,$M$4,IF(K166=$P$13,'Leave Entry'!$B$4,F166-1))</f>
        <v>-1</v>
      </c>
      <c r="C166" s="23">
        <f t="shared" si="18"/>
        <v>-1</v>
      </c>
      <c r="D166" s="42">
        <f t="shared" si="24"/>
        <v>-4.5454545454545456E-2</v>
      </c>
      <c r="E166" s="42">
        <f t="shared" si="25"/>
        <v>-7.318181818181845</v>
      </c>
      <c r="F166" s="8">
        <f>'Leave Record'!A168</f>
        <v>0</v>
      </c>
      <c r="G166" s="8">
        <f>'Leave Record'!B168</f>
        <v>0</v>
      </c>
      <c r="H166" s="23">
        <f t="shared" si="19"/>
        <v>1</v>
      </c>
      <c r="I166" s="23">
        <f t="shared" si="20"/>
        <v>0</v>
      </c>
      <c r="J166" s="42">
        <f t="shared" si="26"/>
        <v>-7.318181818181845</v>
      </c>
      <c r="K166" s="23">
        <f>'Leave Record'!C168</f>
        <v>0</v>
      </c>
      <c r="Q166">
        <f t="shared" si="21"/>
        <v>0</v>
      </c>
      <c r="R166" s="15">
        <f t="shared" si="22"/>
        <v>-7.318181818181845</v>
      </c>
    </row>
    <row r="167" spans="1:18" x14ac:dyDescent="0.25">
      <c r="A167" s="8">
        <f t="shared" si="23"/>
        <v>1</v>
      </c>
      <c r="B167" s="35">
        <f>IF(K167=$P$15,$M$4,IF(K167=$P$13,'Leave Entry'!$B$4,F167-1))</f>
        <v>-1</v>
      </c>
      <c r="C167" s="23">
        <f t="shared" si="18"/>
        <v>-1</v>
      </c>
      <c r="D167" s="42">
        <f t="shared" si="24"/>
        <v>-4.5454545454545456E-2</v>
      </c>
      <c r="E167" s="42">
        <f t="shared" si="25"/>
        <v>-7.3636363636363908</v>
      </c>
      <c r="F167" s="8">
        <f>'Leave Record'!A169</f>
        <v>0</v>
      </c>
      <c r="G167" s="8">
        <f>'Leave Record'!B169</f>
        <v>0</v>
      </c>
      <c r="H167" s="23">
        <f t="shared" si="19"/>
        <v>1</v>
      </c>
      <c r="I167" s="23">
        <f t="shared" si="20"/>
        <v>0</v>
      </c>
      <c r="J167" s="42">
        <f t="shared" si="26"/>
        <v>-7.3636363636363908</v>
      </c>
      <c r="K167" s="23">
        <f>'Leave Record'!C169</f>
        <v>0</v>
      </c>
      <c r="Q167">
        <f t="shared" si="21"/>
        <v>0</v>
      </c>
      <c r="R167" s="15">
        <f t="shared" si="22"/>
        <v>-7.3636363636363908</v>
      </c>
    </row>
    <row r="168" spans="1:18" x14ac:dyDescent="0.25">
      <c r="A168" s="8">
        <f t="shared" si="23"/>
        <v>1</v>
      </c>
      <c r="B168" s="35">
        <f>IF(K168=$P$15,$M$4,IF(K168=$P$13,'Leave Entry'!$B$4,F168-1))</f>
        <v>-1</v>
      </c>
      <c r="C168" s="23">
        <f t="shared" si="18"/>
        <v>-1</v>
      </c>
      <c r="D168" s="42">
        <f t="shared" si="24"/>
        <v>-4.5454545454545456E-2</v>
      </c>
      <c r="E168" s="42">
        <f t="shared" si="25"/>
        <v>-7.4090909090909367</v>
      </c>
      <c r="F168" s="8">
        <f>'Leave Record'!A170</f>
        <v>0</v>
      </c>
      <c r="G168" s="8">
        <f>'Leave Record'!B170</f>
        <v>0</v>
      </c>
      <c r="H168" s="23">
        <f t="shared" si="19"/>
        <v>1</v>
      </c>
      <c r="I168" s="23">
        <f t="shared" si="20"/>
        <v>0</v>
      </c>
      <c r="J168" s="42">
        <f t="shared" si="26"/>
        <v>-7.4090909090909367</v>
      </c>
      <c r="K168" s="23">
        <f>'Leave Record'!C170</f>
        <v>0</v>
      </c>
      <c r="Q168">
        <f t="shared" si="21"/>
        <v>0</v>
      </c>
      <c r="R168" s="15">
        <f t="shared" si="22"/>
        <v>-7.4090909090909367</v>
      </c>
    </row>
    <row r="169" spans="1:18" x14ac:dyDescent="0.25">
      <c r="A169" s="8">
        <f t="shared" si="23"/>
        <v>1</v>
      </c>
      <c r="B169" s="35">
        <f>IF(K169=$P$15,$M$4,IF(K169=$P$13,'Leave Entry'!$B$4,F169-1))</f>
        <v>-1</v>
      </c>
      <c r="C169" s="23">
        <f t="shared" si="18"/>
        <v>-1</v>
      </c>
      <c r="D169" s="42">
        <f t="shared" si="24"/>
        <v>-4.5454545454545456E-2</v>
      </c>
      <c r="E169" s="42">
        <f t="shared" si="25"/>
        <v>-7.4545454545454826</v>
      </c>
      <c r="F169" s="8">
        <f>'Leave Record'!A171</f>
        <v>0</v>
      </c>
      <c r="G169" s="8">
        <f>'Leave Record'!B171</f>
        <v>0</v>
      </c>
      <c r="H169" s="23">
        <f t="shared" si="19"/>
        <v>1</v>
      </c>
      <c r="I169" s="23">
        <f t="shared" si="20"/>
        <v>0</v>
      </c>
      <c r="J169" s="42">
        <f t="shared" si="26"/>
        <v>-7.4545454545454826</v>
      </c>
      <c r="K169" s="23">
        <f>'Leave Record'!C171</f>
        <v>0</v>
      </c>
      <c r="Q169">
        <f t="shared" si="21"/>
        <v>0</v>
      </c>
      <c r="R169" s="15">
        <f t="shared" si="22"/>
        <v>-7.4545454545454826</v>
      </c>
    </row>
    <row r="170" spans="1:18" x14ac:dyDescent="0.25">
      <c r="A170" s="8">
        <f t="shared" si="23"/>
        <v>1</v>
      </c>
      <c r="B170" s="35">
        <f>IF(K170=$P$15,$M$4,IF(K170=$P$13,'Leave Entry'!$B$4,F170-1))</f>
        <v>-1</v>
      </c>
      <c r="C170" s="23">
        <f t="shared" si="18"/>
        <v>-1</v>
      </c>
      <c r="D170" s="42">
        <f t="shared" si="24"/>
        <v>-4.5454545454545456E-2</v>
      </c>
      <c r="E170" s="42">
        <f t="shared" si="25"/>
        <v>-7.5000000000000284</v>
      </c>
      <c r="F170" s="8">
        <f>'Leave Record'!A172</f>
        <v>0</v>
      </c>
      <c r="G170" s="8">
        <f>'Leave Record'!B172</f>
        <v>0</v>
      </c>
      <c r="H170" s="23">
        <f t="shared" si="19"/>
        <v>1</v>
      </c>
      <c r="I170" s="23">
        <f t="shared" si="20"/>
        <v>0</v>
      </c>
      <c r="J170" s="42">
        <f t="shared" si="26"/>
        <v>-7.5000000000000284</v>
      </c>
      <c r="K170" s="23">
        <f>'Leave Record'!C172</f>
        <v>0</v>
      </c>
      <c r="Q170">
        <f t="shared" si="21"/>
        <v>0</v>
      </c>
      <c r="R170" s="15">
        <f t="shared" si="22"/>
        <v>-7.5000000000000284</v>
      </c>
    </row>
    <row r="171" spans="1:18" x14ac:dyDescent="0.25">
      <c r="A171" s="8">
        <f t="shared" si="23"/>
        <v>1</v>
      </c>
      <c r="B171" s="35">
        <f>IF(K171=$P$15,$M$4,IF(K171=$P$13,'Leave Entry'!$B$4,F171-1))</f>
        <v>-1</v>
      </c>
      <c r="C171" s="23">
        <f t="shared" si="18"/>
        <v>-1</v>
      </c>
      <c r="D171" s="42">
        <f t="shared" si="24"/>
        <v>-4.5454545454545456E-2</v>
      </c>
      <c r="E171" s="42">
        <f t="shared" si="25"/>
        <v>-7.5454545454545743</v>
      </c>
      <c r="F171" s="8">
        <f>'Leave Record'!A173</f>
        <v>0</v>
      </c>
      <c r="G171" s="8">
        <f>'Leave Record'!B173</f>
        <v>0</v>
      </c>
      <c r="H171" s="23">
        <f t="shared" si="19"/>
        <v>1</v>
      </c>
      <c r="I171" s="23">
        <f t="shared" si="20"/>
        <v>0</v>
      </c>
      <c r="J171" s="42">
        <f t="shared" si="26"/>
        <v>-7.5454545454545743</v>
      </c>
      <c r="K171" s="23">
        <f>'Leave Record'!C173</f>
        <v>0</v>
      </c>
      <c r="Q171">
        <f t="shared" si="21"/>
        <v>0</v>
      </c>
      <c r="R171" s="15">
        <f t="shared" si="22"/>
        <v>-7.5454545454545743</v>
      </c>
    </row>
    <row r="172" spans="1:18" x14ac:dyDescent="0.25">
      <c r="A172" s="8">
        <f t="shared" si="23"/>
        <v>1</v>
      </c>
      <c r="B172" s="35">
        <f>IF(K172=$P$15,$M$4,IF(K172=$P$13,'Leave Entry'!$B$4,F172-1))</f>
        <v>-1</v>
      </c>
      <c r="C172" s="23">
        <f t="shared" si="18"/>
        <v>-1</v>
      </c>
      <c r="D172" s="42">
        <f t="shared" si="24"/>
        <v>-4.5454545454545456E-2</v>
      </c>
      <c r="E172" s="42">
        <f t="shared" si="25"/>
        <v>-7.5909090909091201</v>
      </c>
      <c r="F172" s="8">
        <f>'Leave Record'!A174</f>
        <v>0</v>
      </c>
      <c r="G172" s="8">
        <f>'Leave Record'!B174</f>
        <v>0</v>
      </c>
      <c r="H172" s="23">
        <f t="shared" si="19"/>
        <v>1</v>
      </c>
      <c r="I172" s="23">
        <f t="shared" si="20"/>
        <v>0</v>
      </c>
      <c r="J172" s="42">
        <f t="shared" si="26"/>
        <v>-7.5909090909091201</v>
      </c>
      <c r="K172" s="23">
        <f>'Leave Record'!C174</f>
        <v>0</v>
      </c>
      <c r="Q172">
        <f t="shared" si="21"/>
        <v>0</v>
      </c>
      <c r="R172" s="15">
        <f t="shared" si="22"/>
        <v>-7.5909090909091201</v>
      </c>
    </row>
    <row r="173" spans="1:18" x14ac:dyDescent="0.25">
      <c r="A173" s="8">
        <f t="shared" si="23"/>
        <v>1</v>
      </c>
      <c r="B173" s="35">
        <f>IF(K173=$P$15,$M$4,IF(K173=$P$13,'Leave Entry'!$B$4,F173-1))</f>
        <v>-1</v>
      </c>
      <c r="C173" s="23">
        <f t="shared" si="18"/>
        <v>-1</v>
      </c>
      <c r="D173" s="42">
        <f t="shared" si="24"/>
        <v>-4.5454545454545456E-2</v>
      </c>
      <c r="E173" s="42">
        <f t="shared" si="25"/>
        <v>-7.636363636363666</v>
      </c>
      <c r="F173" s="8">
        <f>'Leave Record'!A175</f>
        <v>0</v>
      </c>
      <c r="G173" s="8">
        <f>'Leave Record'!B175</f>
        <v>0</v>
      </c>
      <c r="H173" s="23">
        <f t="shared" si="19"/>
        <v>1</v>
      </c>
      <c r="I173" s="23">
        <f t="shared" si="20"/>
        <v>0</v>
      </c>
      <c r="J173" s="42">
        <f t="shared" si="26"/>
        <v>-7.636363636363666</v>
      </c>
      <c r="K173" s="23">
        <f>'Leave Record'!C175</f>
        <v>0</v>
      </c>
      <c r="Q173">
        <f t="shared" si="21"/>
        <v>0</v>
      </c>
      <c r="R173" s="15">
        <f t="shared" si="22"/>
        <v>-7.636363636363666</v>
      </c>
    </row>
    <row r="174" spans="1:18" x14ac:dyDescent="0.25">
      <c r="A174" s="8">
        <f t="shared" si="23"/>
        <v>1</v>
      </c>
      <c r="B174" s="35">
        <f>IF(K174=$P$15,$M$4,IF(K174=$P$13,'Leave Entry'!$B$4,F174-1))</f>
        <v>-1</v>
      </c>
      <c r="C174" s="23">
        <f t="shared" si="18"/>
        <v>-1</v>
      </c>
      <c r="D174" s="42">
        <f t="shared" si="24"/>
        <v>-4.5454545454545456E-2</v>
      </c>
      <c r="E174" s="42">
        <f t="shared" si="25"/>
        <v>-7.6818181818182119</v>
      </c>
      <c r="F174" s="8">
        <f>'Leave Record'!A176</f>
        <v>0</v>
      </c>
      <c r="G174" s="8">
        <f>'Leave Record'!B176</f>
        <v>0</v>
      </c>
      <c r="H174" s="23">
        <f t="shared" si="19"/>
        <v>1</v>
      </c>
      <c r="I174" s="23">
        <f t="shared" si="20"/>
        <v>0</v>
      </c>
      <c r="J174" s="42">
        <f t="shared" si="26"/>
        <v>-7.6818181818182119</v>
      </c>
      <c r="K174" s="23">
        <f>'Leave Record'!C176</f>
        <v>0</v>
      </c>
      <c r="Q174">
        <f t="shared" si="21"/>
        <v>0</v>
      </c>
      <c r="R174" s="15">
        <f t="shared" si="22"/>
        <v>-7.6818181818182119</v>
      </c>
    </row>
    <row r="175" spans="1:18" x14ac:dyDescent="0.25">
      <c r="A175" s="8">
        <f t="shared" si="23"/>
        <v>1</v>
      </c>
      <c r="B175" s="35">
        <f>IF(K175=$P$15,$M$4,IF(K175=$P$13,'Leave Entry'!$B$4,F175-1))</f>
        <v>-1</v>
      </c>
      <c r="C175" s="23">
        <f t="shared" si="18"/>
        <v>-1</v>
      </c>
      <c r="D175" s="42">
        <f t="shared" si="24"/>
        <v>-4.5454545454545456E-2</v>
      </c>
      <c r="E175" s="42">
        <f t="shared" si="25"/>
        <v>-7.7272727272727577</v>
      </c>
      <c r="F175" s="8">
        <f>'Leave Record'!A177</f>
        <v>0</v>
      </c>
      <c r="G175" s="8">
        <f>'Leave Record'!B177</f>
        <v>0</v>
      </c>
      <c r="H175" s="23">
        <f t="shared" si="19"/>
        <v>1</v>
      </c>
      <c r="I175" s="23">
        <f t="shared" si="20"/>
        <v>0</v>
      </c>
      <c r="J175" s="42">
        <f t="shared" si="26"/>
        <v>-7.7272727272727577</v>
      </c>
      <c r="K175" s="23">
        <f>'Leave Record'!C177</f>
        <v>0</v>
      </c>
      <c r="Q175">
        <f t="shared" si="21"/>
        <v>0</v>
      </c>
      <c r="R175" s="15">
        <f t="shared" si="22"/>
        <v>-7.7272727272727577</v>
      </c>
    </row>
    <row r="176" spans="1:18" x14ac:dyDescent="0.25">
      <c r="A176" s="8">
        <f t="shared" si="23"/>
        <v>1</v>
      </c>
      <c r="B176" s="35">
        <f>IF(K176=$P$15,$M$4,IF(K176=$P$13,'Leave Entry'!$B$4,F176-1))</f>
        <v>-1</v>
      </c>
      <c r="C176" s="23">
        <f t="shared" si="18"/>
        <v>-1</v>
      </c>
      <c r="D176" s="42">
        <f t="shared" si="24"/>
        <v>-4.5454545454545456E-2</v>
      </c>
      <c r="E176" s="42">
        <f t="shared" si="25"/>
        <v>-7.7727272727273036</v>
      </c>
      <c r="F176" s="8">
        <f>'Leave Record'!A178</f>
        <v>0</v>
      </c>
      <c r="G176" s="8">
        <f>'Leave Record'!B178</f>
        <v>0</v>
      </c>
      <c r="H176" s="23">
        <f t="shared" si="19"/>
        <v>1</v>
      </c>
      <c r="I176" s="23">
        <f t="shared" si="20"/>
        <v>0</v>
      </c>
      <c r="J176" s="42">
        <f t="shared" si="26"/>
        <v>-7.7727272727273036</v>
      </c>
      <c r="K176" s="23">
        <f>'Leave Record'!C178</f>
        <v>0</v>
      </c>
      <c r="Q176">
        <f t="shared" si="21"/>
        <v>0</v>
      </c>
      <c r="R176" s="15">
        <f t="shared" si="22"/>
        <v>-7.7727272727273036</v>
      </c>
    </row>
    <row r="177" spans="1:18" x14ac:dyDescent="0.25">
      <c r="A177" s="8">
        <f t="shared" si="23"/>
        <v>1</v>
      </c>
      <c r="B177" s="35">
        <f>IF(K177=$P$15,$M$4,IF(K177=$P$13,'Leave Entry'!$B$4,F177-1))</f>
        <v>-1</v>
      </c>
      <c r="C177" s="23">
        <f t="shared" si="18"/>
        <v>-1</v>
      </c>
      <c r="D177" s="42">
        <f t="shared" si="24"/>
        <v>-4.5454545454545456E-2</v>
      </c>
      <c r="E177" s="42">
        <f t="shared" si="25"/>
        <v>-7.8181818181818494</v>
      </c>
      <c r="F177" s="8">
        <f>'Leave Record'!A179</f>
        <v>0</v>
      </c>
      <c r="G177" s="8">
        <f>'Leave Record'!B179</f>
        <v>0</v>
      </c>
      <c r="H177" s="23">
        <f t="shared" si="19"/>
        <v>1</v>
      </c>
      <c r="I177" s="23">
        <f t="shared" si="20"/>
        <v>0</v>
      </c>
      <c r="J177" s="42">
        <f t="shared" si="26"/>
        <v>-7.8181818181818494</v>
      </c>
      <c r="K177" s="23">
        <f>'Leave Record'!C179</f>
        <v>0</v>
      </c>
      <c r="Q177">
        <f t="shared" si="21"/>
        <v>0</v>
      </c>
      <c r="R177" s="15">
        <f t="shared" si="22"/>
        <v>-7.8181818181818494</v>
      </c>
    </row>
    <row r="178" spans="1:18" x14ac:dyDescent="0.25">
      <c r="A178" s="8">
        <f t="shared" si="23"/>
        <v>1</v>
      </c>
      <c r="B178" s="35">
        <f>IF(K178=$P$15,$M$4,IF(K178=$P$13,'Leave Entry'!$B$4,F178-1))</f>
        <v>-1</v>
      </c>
      <c r="C178" s="23">
        <f t="shared" si="18"/>
        <v>-1</v>
      </c>
      <c r="D178" s="42">
        <f t="shared" si="24"/>
        <v>-4.5454545454545456E-2</v>
      </c>
      <c r="E178" s="42">
        <f t="shared" si="25"/>
        <v>-7.8636363636363953</v>
      </c>
      <c r="F178" s="8">
        <f>'Leave Record'!A180</f>
        <v>0</v>
      </c>
      <c r="G178" s="8">
        <f>'Leave Record'!B180</f>
        <v>0</v>
      </c>
      <c r="H178" s="23">
        <f t="shared" si="19"/>
        <v>1</v>
      </c>
      <c r="I178" s="23">
        <f t="shared" si="20"/>
        <v>0</v>
      </c>
      <c r="J178" s="42">
        <f t="shared" si="26"/>
        <v>-7.8636363636363953</v>
      </c>
      <c r="K178" s="23">
        <f>'Leave Record'!C180</f>
        <v>0</v>
      </c>
      <c r="Q178">
        <f t="shared" si="21"/>
        <v>0</v>
      </c>
      <c r="R178" s="15">
        <f t="shared" si="22"/>
        <v>-7.8636363636363953</v>
      </c>
    </row>
    <row r="179" spans="1:18" x14ac:dyDescent="0.25">
      <c r="A179" s="8">
        <f t="shared" si="23"/>
        <v>1</v>
      </c>
      <c r="B179" s="35">
        <f>IF(K179=$P$15,$M$4,IF(K179=$P$13,'Leave Entry'!$B$4,F179-1))</f>
        <v>-1</v>
      </c>
      <c r="C179" s="23">
        <f t="shared" si="18"/>
        <v>-1</v>
      </c>
      <c r="D179" s="42">
        <f t="shared" si="24"/>
        <v>-4.5454545454545456E-2</v>
      </c>
      <c r="E179" s="42">
        <f t="shared" si="25"/>
        <v>-7.9090909090909411</v>
      </c>
      <c r="F179" s="8">
        <f>'Leave Record'!A181</f>
        <v>0</v>
      </c>
      <c r="G179" s="8">
        <f>'Leave Record'!B181</f>
        <v>0</v>
      </c>
      <c r="H179" s="23">
        <f t="shared" si="19"/>
        <v>1</v>
      </c>
      <c r="I179" s="23">
        <f t="shared" si="20"/>
        <v>0</v>
      </c>
      <c r="J179" s="42">
        <f t="shared" si="26"/>
        <v>-7.9090909090909411</v>
      </c>
      <c r="K179" s="23">
        <f>'Leave Record'!C181</f>
        <v>0</v>
      </c>
      <c r="Q179">
        <f t="shared" si="21"/>
        <v>0</v>
      </c>
      <c r="R179" s="15">
        <f t="shared" si="22"/>
        <v>-7.9090909090909411</v>
      </c>
    </row>
    <row r="180" spans="1:18" x14ac:dyDescent="0.25">
      <c r="A180" s="8">
        <f t="shared" si="23"/>
        <v>1</v>
      </c>
      <c r="B180" s="35">
        <f>IF(K180=$P$15,$M$4,IF(K180=$P$13,'Leave Entry'!$B$4,F180-1))</f>
        <v>-1</v>
      </c>
      <c r="C180" s="23">
        <f t="shared" si="18"/>
        <v>-1</v>
      </c>
      <c r="D180" s="42">
        <f t="shared" si="24"/>
        <v>-4.5454545454545456E-2</v>
      </c>
      <c r="E180" s="42">
        <f t="shared" si="25"/>
        <v>-7.954545454545487</v>
      </c>
      <c r="F180" s="8">
        <f>'Leave Record'!A182</f>
        <v>0</v>
      </c>
      <c r="G180" s="8">
        <f>'Leave Record'!B182</f>
        <v>0</v>
      </c>
      <c r="H180" s="23">
        <f t="shared" si="19"/>
        <v>1</v>
      </c>
      <c r="I180" s="23">
        <f t="shared" si="20"/>
        <v>0</v>
      </c>
      <c r="J180" s="42">
        <f t="shared" si="26"/>
        <v>-7.954545454545487</v>
      </c>
      <c r="K180" s="23">
        <f>'Leave Record'!C182</f>
        <v>0</v>
      </c>
      <c r="Q180">
        <f t="shared" si="21"/>
        <v>0</v>
      </c>
      <c r="R180" s="15">
        <f t="shared" si="22"/>
        <v>-7.954545454545487</v>
      </c>
    </row>
    <row r="181" spans="1:18" x14ac:dyDescent="0.25">
      <c r="A181" s="8">
        <f t="shared" si="23"/>
        <v>1</v>
      </c>
      <c r="B181" s="35">
        <f>IF(K181=$P$15,$M$4,IF(K181=$P$13,'Leave Entry'!$B$4,F181-1))</f>
        <v>-1</v>
      </c>
      <c r="C181" s="23">
        <f t="shared" si="18"/>
        <v>-1</v>
      </c>
      <c r="D181" s="42">
        <f t="shared" si="24"/>
        <v>-4.5454545454545456E-2</v>
      </c>
      <c r="E181" s="42">
        <f t="shared" si="25"/>
        <v>-8.000000000000032</v>
      </c>
      <c r="F181" s="8">
        <f>'Leave Record'!A183</f>
        <v>0</v>
      </c>
      <c r="G181" s="8">
        <f>'Leave Record'!B183</f>
        <v>0</v>
      </c>
      <c r="H181" s="23">
        <f t="shared" si="19"/>
        <v>1</v>
      </c>
      <c r="I181" s="23">
        <f t="shared" si="20"/>
        <v>0</v>
      </c>
      <c r="J181" s="42">
        <f t="shared" si="26"/>
        <v>-8.000000000000032</v>
      </c>
      <c r="K181" s="23">
        <f>'Leave Record'!C183</f>
        <v>0</v>
      </c>
      <c r="Q181">
        <f t="shared" si="21"/>
        <v>0</v>
      </c>
      <c r="R181" s="15">
        <f t="shared" si="22"/>
        <v>-8.000000000000032</v>
      </c>
    </row>
    <row r="182" spans="1:18" x14ac:dyDescent="0.25">
      <c r="A182" s="8">
        <f t="shared" si="23"/>
        <v>1</v>
      </c>
      <c r="B182" s="35">
        <f>IF(K182=$P$15,$M$4,IF(K182=$P$13,'Leave Entry'!$B$4,F182-1))</f>
        <v>-1</v>
      </c>
      <c r="C182" s="23">
        <f t="shared" si="18"/>
        <v>-1</v>
      </c>
      <c r="D182" s="42">
        <f t="shared" si="24"/>
        <v>-4.5454545454545456E-2</v>
      </c>
      <c r="E182" s="42">
        <f t="shared" si="25"/>
        <v>-8.0454545454545769</v>
      </c>
      <c r="F182" s="8">
        <f>'Leave Record'!A184</f>
        <v>0</v>
      </c>
      <c r="G182" s="8">
        <f>'Leave Record'!B184</f>
        <v>0</v>
      </c>
      <c r="H182" s="23">
        <f t="shared" si="19"/>
        <v>1</v>
      </c>
      <c r="I182" s="23">
        <f t="shared" si="20"/>
        <v>0</v>
      </c>
      <c r="J182" s="42">
        <f t="shared" si="26"/>
        <v>-8.0454545454545769</v>
      </c>
      <c r="K182" s="23">
        <f>'Leave Record'!C184</f>
        <v>0</v>
      </c>
      <c r="Q182">
        <f t="shared" si="21"/>
        <v>0</v>
      </c>
      <c r="R182" s="15">
        <f t="shared" si="22"/>
        <v>-8.0454545454545769</v>
      </c>
    </row>
    <row r="183" spans="1:18" x14ac:dyDescent="0.25">
      <c r="A183" s="8">
        <f t="shared" si="23"/>
        <v>1</v>
      </c>
      <c r="B183" s="35">
        <f>IF(K183=$P$15,$M$4,IF(K183=$P$13,'Leave Entry'!$B$4,F183-1))</f>
        <v>-1</v>
      </c>
      <c r="C183" s="23">
        <f t="shared" si="18"/>
        <v>-1</v>
      </c>
      <c r="D183" s="42">
        <f t="shared" si="24"/>
        <v>-4.5454545454545456E-2</v>
      </c>
      <c r="E183" s="42">
        <f t="shared" si="25"/>
        <v>-8.0909090909091219</v>
      </c>
      <c r="F183" s="8">
        <f>'Leave Record'!A185</f>
        <v>0</v>
      </c>
      <c r="G183" s="8">
        <f>'Leave Record'!B185</f>
        <v>0</v>
      </c>
      <c r="H183" s="23">
        <f t="shared" si="19"/>
        <v>1</v>
      </c>
      <c r="I183" s="23">
        <f t="shared" si="20"/>
        <v>0</v>
      </c>
      <c r="J183" s="42">
        <f t="shared" si="26"/>
        <v>-8.0909090909091219</v>
      </c>
      <c r="K183" s="23">
        <f>'Leave Record'!C185</f>
        <v>0</v>
      </c>
      <c r="Q183">
        <f t="shared" si="21"/>
        <v>0</v>
      </c>
      <c r="R183" s="15">
        <f t="shared" si="22"/>
        <v>-8.0909090909091219</v>
      </c>
    </row>
    <row r="184" spans="1:18" x14ac:dyDescent="0.25">
      <c r="A184" s="8">
        <f t="shared" si="23"/>
        <v>1</v>
      </c>
      <c r="B184" s="35">
        <f>IF(K184=$P$15,$M$4,IF(K184=$P$13,'Leave Entry'!$B$4,F184-1))</f>
        <v>-1</v>
      </c>
      <c r="C184" s="23">
        <f t="shared" si="18"/>
        <v>-1</v>
      </c>
      <c r="D184" s="42">
        <f t="shared" si="24"/>
        <v>-4.5454545454545456E-2</v>
      </c>
      <c r="E184" s="42">
        <f t="shared" si="25"/>
        <v>-8.1363636363636669</v>
      </c>
      <c r="F184" s="8">
        <f>'Leave Record'!A186</f>
        <v>0</v>
      </c>
      <c r="G184" s="8">
        <f>'Leave Record'!B186</f>
        <v>0</v>
      </c>
      <c r="H184" s="23">
        <f t="shared" si="19"/>
        <v>1</v>
      </c>
      <c r="I184" s="23">
        <f t="shared" si="20"/>
        <v>0</v>
      </c>
      <c r="J184" s="42">
        <f t="shared" si="26"/>
        <v>-8.1363636363636669</v>
      </c>
      <c r="K184" s="23">
        <f>'Leave Record'!C186</f>
        <v>0</v>
      </c>
      <c r="Q184">
        <f t="shared" si="21"/>
        <v>0</v>
      </c>
      <c r="R184" s="15">
        <f t="shared" si="22"/>
        <v>-8.1363636363636669</v>
      </c>
    </row>
    <row r="185" spans="1:18" x14ac:dyDescent="0.25">
      <c r="A185" s="8">
        <f t="shared" si="23"/>
        <v>1</v>
      </c>
      <c r="B185" s="35">
        <f>IF(K185=$P$15,$M$4,IF(K185=$P$13,'Leave Entry'!$B$4,F185-1))</f>
        <v>-1</v>
      </c>
      <c r="C185" s="23">
        <f t="shared" si="18"/>
        <v>-1</v>
      </c>
      <c r="D185" s="42">
        <f t="shared" si="24"/>
        <v>-4.5454545454545456E-2</v>
      </c>
      <c r="E185" s="42">
        <f t="shared" si="25"/>
        <v>-8.1818181818182119</v>
      </c>
      <c r="F185" s="8">
        <f>'Leave Record'!A187</f>
        <v>0</v>
      </c>
      <c r="G185" s="8">
        <f>'Leave Record'!B187</f>
        <v>0</v>
      </c>
      <c r="H185" s="23">
        <f t="shared" si="19"/>
        <v>1</v>
      </c>
      <c r="I185" s="23">
        <f t="shared" si="20"/>
        <v>0</v>
      </c>
      <c r="J185" s="42">
        <f t="shared" si="26"/>
        <v>-8.1818181818182119</v>
      </c>
      <c r="K185" s="23">
        <f>'Leave Record'!C187</f>
        <v>0</v>
      </c>
      <c r="Q185">
        <f t="shared" si="21"/>
        <v>0</v>
      </c>
      <c r="R185" s="15">
        <f t="shared" si="22"/>
        <v>-8.1818181818182119</v>
      </c>
    </row>
    <row r="186" spans="1:18" x14ac:dyDescent="0.25">
      <c r="A186" s="8">
        <f t="shared" si="23"/>
        <v>1</v>
      </c>
      <c r="B186" s="35">
        <f>IF(K186=$P$15,$M$4,IF(K186=$P$13,'Leave Entry'!$B$4,F186-1))</f>
        <v>-1</v>
      </c>
      <c r="C186" s="23">
        <f t="shared" si="18"/>
        <v>-1</v>
      </c>
      <c r="D186" s="42">
        <f t="shared" si="24"/>
        <v>-4.5454545454545456E-2</v>
      </c>
      <c r="E186" s="42">
        <f t="shared" si="25"/>
        <v>-8.2272727272727568</v>
      </c>
      <c r="F186" s="8">
        <f>'Leave Record'!A188</f>
        <v>0</v>
      </c>
      <c r="G186" s="8">
        <f>'Leave Record'!B188</f>
        <v>0</v>
      </c>
      <c r="H186" s="23">
        <f t="shared" si="19"/>
        <v>1</v>
      </c>
      <c r="I186" s="23">
        <f t="shared" si="20"/>
        <v>0</v>
      </c>
      <c r="J186" s="42">
        <f t="shared" si="26"/>
        <v>-8.2272727272727568</v>
      </c>
      <c r="K186" s="23">
        <f>'Leave Record'!C188</f>
        <v>0</v>
      </c>
      <c r="Q186">
        <f t="shared" si="21"/>
        <v>0</v>
      </c>
      <c r="R186" s="15">
        <f t="shared" si="22"/>
        <v>-8.2272727272727568</v>
      </c>
    </row>
    <row r="187" spans="1:18" x14ac:dyDescent="0.25">
      <c r="A187" s="8">
        <f t="shared" si="23"/>
        <v>1</v>
      </c>
      <c r="B187" s="35">
        <f>IF(K187=$P$15,$M$4,IF(K187=$P$13,'Leave Entry'!$B$4,F187-1))</f>
        <v>-1</v>
      </c>
      <c r="C187" s="23">
        <f t="shared" si="18"/>
        <v>-1</v>
      </c>
      <c r="D187" s="42">
        <f t="shared" si="24"/>
        <v>-4.5454545454545456E-2</v>
      </c>
      <c r="E187" s="42">
        <f t="shared" si="25"/>
        <v>-8.2727272727273018</v>
      </c>
      <c r="F187" s="8">
        <f>'Leave Record'!A189</f>
        <v>0</v>
      </c>
      <c r="G187" s="8">
        <f>'Leave Record'!B189</f>
        <v>0</v>
      </c>
      <c r="H187" s="23">
        <f t="shared" si="19"/>
        <v>1</v>
      </c>
      <c r="I187" s="23">
        <f t="shared" si="20"/>
        <v>0</v>
      </c>
      <c r="J187" s="42">
        <f t="shared" si="26"/>
        <v>-8.2727272727273018</v>
      </c>
      <c r="K187" s="23">
        <f>'Leave Record'!C189</f>
        <v>0</v>
      </c>
      <c r="Q187">
        <f t="shared" si="21"/>
        <v>0</v>
      </c>
      <c r="R187" s="15">
        <f t="shared" si="22"/>
        <v>-8.2727272727273018</v>
      </c>
    </row>
    <row r="188" spans="1:18" x14ac:dyDescent="0.25">
      <c r="A188" s="8">
        <f t="shared" si="23"/>
        <v>1</v>
      </c>
      <c r="B188" s="35">
        <f>IF(K188=$P$15,$M$4,IF(K188=$P$13,'Leave Entry'!$B$4,F188-1))</f>
        <v>-1</v>
      </c>
      <c r="C188" s="23">
        <f t="shared" si="18"/>
        <v>-1</v>
      </c>
      <c r="D188" s="42">
        <f t="shared" si="24"/>
        <v>-4.5454545454545456E-2</v>
      </c>
      <c r="E188" s="42">
        <f t="shared" si="25"/>
        <v>-8.3181818181818468</v>
      </c>
      <c r="F188" s="8">
        <f>'Leave Record'!A190</f>
        <v>0</v>
      </c>
      <c r="G188" s="8">
        <f>'Leave Record'!B190</f>
        <v>0</v>
      </c>
      <c r="H188" s="23">
        <f t="shared" si="19"/>
        <v>1</v>
      </c>
      <c r="I188" s="23">
        <f t="shared" si="20"/>
        <v>0</v>
      </c>
      <c r="J188" s="42">
        <f t="shared" si="26"/>
        <v>-8.3181818181818468</v>
      </c>
      <c r="K188" s="23">
        <f>'Leave Record'!C190</f>
        <v>0</v>
      </c>
      <c r="Q188">
        <f t="shared" si="21"/>
        <v>0</v>
      </c>
      <c r="R188" s="15">
        <f t="shared" si="22"/>
        <v>-8.3181818181818468</v>
      </c>
    </row>
    <row r="189" spans="1:18" x14ac:dyDescent="0.25">
      <c r="A189" s="8">
        <f t="shared" si="23"/>
        <v>1</v>
      </c>
      <c r="B189" s="35">
        <f>IF(K189=$P$15,$M$4,IF(K189=$P$13,'Leave Entry'!$B$4,F189-1))</f>
        <v>-1</v>
      </c>
      <c r="C189" s="23">
        <f t="shared" si="18"/>
        <v>-1</v>
      </c>
      <c r="D189" s="42">
        <f t="shared" si="24"/>
        <v>-4.5454545454545456E-2</v>
      </c>
      <c r="E189" s="42">
        <f t="shared" si="25"/>
        <v>-8.3636363636363917</v>
      </c>
      <c r="F189" s="8">
        <f>'Leave Record'!A191</f>
        <v>0</v>
      </c>
      <c r="G189" s="8">
        <f>'Leave Record'!B191</f>
        <v>0</v>
      </c>
      <c r="H189" s="23">
        <f t="shared" si="19"/>
        <v>1</v>
      </c>
      <c r="I189" s="23">
        <f t="shared" si="20"/>
        <v>0</v>
      </c>
      <c r="J189" s="42">
        <f t="shared" si="26"/>
        <v>-8.3636363636363917</v>
      </c>
      <c r="K189" s="23">
        <f>'Leave Record'!C191</f>
        <v>0</v>
      </c>
      <c r="Q189">
        <f t="shared" si="21"/>
        <v>0</v>
      </c>
      <c r="R189" s="15">
        <f t="shared" si="22"/>
        <v>-8.3636363636363917</v>
      </c>
    </row>
    <row r="190" spans="1:18" x14ac:dyDescent="0.25">
      <c r="A190" s="8">
        <f t="shared" si="23"/>
        <v>1</v>
      </c>
      <c r="B190" s="35">
        <f>IF(K190=$P$15,$M$4,IF(K190=$P$13,'Leave Entry'!$B$4,F190-1))</f>
        <v>-1</v>
      </c>
      <c r="C190" s="23">
        <f t="shared" si="18"/>
        <v>-1</v>
      </c>
      <c r="D190" s="42">
        <f t="shared" si="24"/>
        <v>-4.5454545454545456E-2</v>
      </c>
      <c r="E190" s="42">
        <f t="shared" si="25"/>
        <v>-8.4090909090909367</v>
      </c>
      <c r="F190" s="8">
        <f>'Leave Record'!A192</f>
        <v>0</v>
      </c>
      <c r="G190" s="8">
        <f>'Leave Record'!B192</f>
        <v>0</v>
      </c>
      <c r="H190" s="23">
        <f t="shared" si="19"/>
        <v>1</v>
      </c>
      <c r="I190" s="23">
        <f t="shared" si="20"/>
        <v>0</v>
      </c>
      <c r="J190" s="42">
        <f t="shared" si="26"/>
        <v>-8.4090909090909367</v>
      </c>
      <c r="K190" s="23">
        <f>'Leave Record'!C192</f>
        <v>0</v>
      </c>
      <c r="Q190">
        <f t="shared" si="21"/>
        <v>0</v>
      </c>
      <c r="R190" s="15">
        <f t="shared" si="22"/>
        <v>-8.4090909090909367</v>
      </c>
    </row>
    <row r="191" spans="1:18" x14ac:dyDescent="0.25">
      <c r="A191" s="8">
        <f t="shared" si="23"/>
        <v>1</v>
      </c>
      <c r="B191" s="35">
        <f>IF(K191=$P$15,$M$4,IF(K191=$P$13,'Leave Entry'!$B$4,F191-1))</f>
        <v>-1</v>
      </c>
      <c r="C191" s="23">
        <f t="shared" si="18"/>
        <v>-1</v>
      </c>
      <c r="D191" s="42">
        <f t="shared" si="24"/>
        <v>-4.5454545454545456E-2</v>
      </c>
      <c r="E191" s="42">
        <f t="shared" si="25"/>
        <v>-8.4545454545454817</v>
      </c>
      <c r="F191" s="8">
        <f>'Leave Record'!A193</f>
        <v>0</v>
      </c>
      <c r="G191" s="8">
        <f>'Leave Record'!B193</f>
        <v>0</v>
      </c>
      <c r="H191" s="23">
        <f t="shared" si="19"/>
        <v>1</v>
      </c>
      <c r="I191" s="23">
        <f t="shared" si="20"/>
        <v>0</v>
      </c>
      <c r="J191" s="42">
        <f t="shared" si="26"/>
        <v>-8.4545454545454817</v>
      </c>
      <c r="K191" s="23">
        <f>'Leave Record'!C193</f>
        <v>0</v>
      </c>
      <c r="Q191">
        <f t="shared" si="21"/>
        <v>0</v>
      </c>
      <c r="R191" s="15">
        <f t="shared" si="22"/>
        <v>-8.4545454545454817</v>
      </c>
    </row>
    <row r="192" spans="1:18" x14ac:dyDescent="0.25">
      <c r="A192" s="8">
        <f t="shared" si="23"/>
        <v>1</v>
      </c>
      <c r="B192" s="35">
        <f>IF(K192=$P$15,$M$4,IF(K192=$P$13,'Leave Entry'!$B$4,F192-1))</f>
        <v>-1</v>
      </c>
      <c r="C192" s="23">
        <f t="shared" si="18"/>
        <v>-1</v>
      </c>
      <c r="D192" s="42">
        <f t="shared" si="24"/>
        <v>-4.5454545454545456E-2</v>
      </c>
      <c r="E192" s="42">
        <f t="shared" si="25"/>
        <v>-8.5000000000000266</v>
      </c>
      <c r="F192" s="8">
        <f>'Leave Record'!A194</f>
        <v>0</v>
      </c>
      <c r="G192" s="8">
        <f>'Leave Record'!B194</f>
        <v>0</v>
      </c>
      <c r="H192" s="23">
        <f t="shared" si="19"/>
        <v>1</v>
      </c>
      <c r="I192" s="23">
        <f t="shared" si="20"/>
        <v>0</v>
      </c>
      <c r="J192" s="42">
        <f t="shared" si="26"/>
        <v>-8.5000000000000266</v>
      </c>
      <c r="K192" s="23">
        <f>'Leave Record'!C194</f>
        <v>0</v>
      </c>
      <c r="Q192">
        <f t="shared" si="21"/>
        <v>0</v>
      </c>
      <c r="R192" s="15">
        <f t="shared" si="22"/>
        <v>-8.5000000000000266</v>
      </c>
    </row>
    <row r="193" spans="1:18" x14ac:dyDescent="0.25">
      <c r="A193" s="8">
        <f t="shared" si="23"/>
        <v>1</v>
      </c>
      <c r="B193" s="35">
        <f>IF(K193=$P$15,$M$4,IF(K193=$P$13,'Leave Entry'!$B$4,F193-1))</f>
        <v>-1</v>
      </c>
      <c r="C193" s="23">
        <f t="shared" si="18"/>
        <v>-1</v>
      </c>
      <c r="D193" s="42">
        <f t="shared" si="24"/>
        <v>-4.5454545454545456E-2</v>
      </c>
      <c r="E193" s="42">
        <f t="shared" si="25"/>
        <v>-8.5454545454545716</v>
      </c>
      <c r="F193" s="8">
        <f>'Leave Record'!A195</f>
        <v>0</v>
      </c>
      <c r="G193" s="8">
        <f>'Leave Record'!B195</f>
        <v>0</v>
      </c>
      <c r="H193" s="23">
        <f t="shared" si="19"/>
        <v>1</v>
      </c>
      <c r="I193" s="23">
        <f t="shared" si="20"/>
        <v>0</v>
      </c>
      <c r="J193" s="42">
        <f t="shared" si="26"/>
        <v>-8.5454545454545716</v>
      </c>
      <c r="K193" s="23">
        <f>'Leave Record'!C195</f>
        <v>0</v>
      </c>
      <c r="Q193">
        <f t="shared" si="21"/>
        <v>0</v>
      </c>
      <c r="R193" s="15">
        <f t="shared" si="22"/>
        <v>-8.5454545454545716</v>
      </c>
    </row>
    <row r="194" spans="1:18" x14ac:dyDescent="0.25">
      <c r="A194" s="8">
        <f t="shared" si="23"/>
        <v>1</v>
      </c>
      <c r="B194" s="35">
        <f>IF(K194=$P$15,$M$4,IF(K194=$P$13,'Leave Entry'!$B$4,F194-1))</f>
        <v>-1</v>
      </c>
      <c r="C194" s="23">
        <f t="shared" si="18"/>
        <v>-1</v>
      </c>
      <c r="D194" s="42">
        <f t="shared" si="24"/>
        <v>-4.5454545454545456E-2</v>
      </c>
      <c r="E194" s="42">
        <f t="shared" si="25"/>
        <v>-8.5909090909091166</v>
      </c>
      <c r="F194" s="8">
        <f>'Leave Record'!A196</f>
        <v>0</v>
      </c>
      <c r="G194" s="8">
        <f>'Leave Record'!B196</f>
        <v>0</v>
      </c>
      <c r="H194" s="23">
        <f t="shared" si="19"/>
        <v>1</v>
      </c>
      <c r="I194" s="23">
        <f t="shared" si="20"/>
        <v>0</v>
      </c>
      <c r="J194" s="42">
        <f t="shared" si="26"/>
        <v>-8.5909090909091166</v>
      </c>
      <c r="K194" s="23">
        <f>'Leave Record'!C196</f>
        <v>0</v>
      </c>
      <c r="Q194">
        <f t="shared" si="21"/>
        <v>0</v>
      </c>
      <c r="R194" s="15">
        <f t="shared" si="22"/>
        <v>-8.5909090909091166</v>
      </c>
    </row>
    <row r="195" spans="1:18" x14ac:dyDescent="0.25">
      <c r="A195" s="8">
        <f t="shared" si="23"/>
        <v>1</v>
      </c>
      <c r="B195" s="35">
        <f>IF(K195=$P$15,$M$4,IF(K195=$P$13,'Leave Entry'!$B$4,F195-1))</f>
        <v>-1</v>
      </c>
      <c r="C195" s="23">
        <f t="shared" si="18"/>
        <v>-1</v>
      </c>
      <c r="D195" s="42">
        <f t="shared" si="24"/>
        <v>-4.5454545454545456E-2</v>
      </c>
      <c r="E195" s="42">
        <f t="shared" si="25"/>
        <v>-8.6363636363636616</v>
      </c>
      <c r="F195" s="8">
        <f>'Leave Record'!A197</f>
        <v>0</v>
      </c>
      <c r="G195" s="8">
        <f>'Leave Record'!B197</f>
        <v>0</v>
      </c>
      <c r="H195" s="23">
        <f t="shared" si="19"/>
        <v>1</v>
      </c>
      <c r="I195" s="23">
        <f t="shared" si="20"/>
        <v>0</v>
      </c>
      <c r="J195" s="42">
        <f t="shared" si="26"/>
        <v>-8.6363636363636616</v>
      </c>
      <c r="K195" s="23">
        <f>'Leave Record'!C197</f>
        <v>0</v>
      </c>
      <c r="Q195">
        <f t="shared" si="21"/>
        <v>0</v>
      </c>
      <c r="R195" s="15">
        <f t="shared" si="22"/>
        <v>-8.6363636363636616</v>
      </c>
    </row>
    <row r="196" spans="1:18" x14ac:dyDescent="0.25">
      <c r="A196" s="8">
        <f t="shared" si="23"/>
        <v>1</v>
      </c>
      <c r="B196" s="35">
        <f>IF(K196=$P$15,$M$4,IF(K196=$P$13,'Leave Entry'!$B$4,F196-1))</f>
        <v>-1</v>
      </c>
      <c r="C196" s="23">
        <f t="shared" si="18"/>
        <v>-1</v>
      </c>
      <c r="D196" s="42">
        <f t="shared" si="24"/>
        <v>-4.5454545454545456E-2</v>
      </c>
      <c r="E196" s="42">
        <f t="shared" si="25"/>
        <v>-8.6818181818182065</v>
      </c>
      <c r="F196" s="8">
        <f>'Leave Record'!A198</f>
        <v>0</v>
      </c>
      <c r="G196" s="8">
        <f>'Leave Record'!B198</f>
        <v>0</v>
      </c>
      <c r="H196" s="23">
        <f t="shared" si="19"/>
        <v>1</v>
      </c>
      <c r="I196" s="23">
        <f t="shared" si="20"/>
        <v>0</v>
      </c>
      <c r="J196" s="42">
        <f t="shared" si="26"/>
        <v>-8.6818181818182065</v>
      </c>
      <c r="K196" s="23">
        <f>'Leave Record'!C198</f>
        <v>0</v>
      </c>
      <c r="Q196">
        <f t="shared" si="21"/>
        <v>0</v>
      </c>
      <c r="R196" s="15">
        <f t="shared" si="22"/>
        <v>-8.6818181818182065</v>
      </c>
    </row>
    <row r="197" spans="1:18" x14ac:dyDescent="0.25">
      <c r="A197" s="8">
        <f t="shared" si="23"/>
        <v>1</v>
      </c>
      <c r="B197" s="35">
        <f>IF(K197=$P$15,$M$4,IF(K197=$P$13,'Leave Entry'!$B$4,F197-1))</f>
        <v>-1</v>
      </c>
      <c r="C197" s="23">
        <f t="shared" si="18"/>
        <v>-1</v>
      </c>
      <c r="D197" s="42">
        <f t="shared" si="24"/>
        <v>-4.5454545454545456E-2</v>
      </c>
      <c r="E197" s="42">
        <f t="shared" si="25"/>
        <v>-8.7272727272727515</v>
      </c>
      <c r="F197" s="8">
        <f>'Leave Record'!A199</f>
        <v>0</v>
      </c>
      <c r="G197" s="8">
        <f>'Leave Record'!B199</f>
        <v>0</v>
      </c>
      <c r="H197" s="23">
        <f t="shared" si="19"/>
        <v>1</v>
      </c>
      <c r="I197" s="23">
        <f t="shared" si="20"/>
        <v>0</v>
      </c>
      <c r="J197" s="42">
        <f t="shared" si="26"/>
        <v>-8.7272727272727515</v>
      </c>
      <c r="K197" s="23">
        <f>'Leave Record'!C199</f>
        <v>0</v>
      </c>
      <c r="Q197">
        <f t="shared" si="21"/>
        <v>0</v>
      </c>
      <c r="R197" s="15">
        <f t="shared" si="22"/>
        <v>-8.7272727272727515</v>
      </c>
    </row>
    <row r="198" spans="1:18" x14ac:dyDescent="0.25">
      <c r="A198" s="8">
        <f t="shared" si="23"/>
        <v>1</v>
      </c>
      <c r="B198" s="35">
        <f>IF(K198=$P$15,$M$4,IF(K198=$P$13,'Leave Entry'!$B$4,F198-1))</f>
        <v>-1</v>
      </c>
      <c r="C198" s="23">
        <f t="shared" ref="C198:C261" si="27">B198-A198+1</f>
        <v>-1</v>
      </c>
      <c r="D198" s="42">
        <f t="shared" si="24"/>
        <v>-4.5454545454545456E-2</v>
      </c>
      <c r="E198" s="42">
        <f t="shared" si="25"/>
        <v>-8.7727272727272965</v>
      </c>
      <c r="F198" s="8">
        <f>'Leave Record'!A200</f>
        <v>0</v>
      </c>
      <c r="G198" s="8">
        <f>'Leave Record'!B200</f>
        <v>0</v>
      </c>
      <c r="H198" s="23">
        <f t="shared" ref="H198:H261" si="28">G198-F198+1</f>
        <v>1</v>
      </c>
      <c r="I198" s="23">
        <f>IF(K198=$P$14,H198,0)</f>
        <v>0</v>
      </c>
      <c r="J198" s="42">
        <f t="shared" si="26"/>
        <v>-8.7727272727272965</v>
      </c>
      <c r="K198" s="23">
        <f>'Leave Record'!C200</f>
        <v>0</v>
      </c>
      <c r="Q198">
        <f>K198</f>
        <v>0</v>
      </c>
      <c r="R198" s="15">
        <f>J198</f>
        <v>-8.7727272727272965</v>
      </c>
    </row>
    <row r="199" spans="1:18" x14ac:dyDescent="0.25">
      <c r="A199" s="8">
        <f>G198+1</f>
        <v>1</v>
      </c>
      <c r="B199" s="35">
        <f>IF(K199=$P$15,$M$4,IF(K199=$P$13,'Leave Entry'!$B$4,F199-1))</f>
        <v>-1</v>
      </c>
      <c r="C199" s="23">
        <f t="shared" si="27"/>
        <v>-1</v>
      </c>
      <c r="D199" s="42">
        <f t="shared" ref="D199:D262" si="29">C199/22</f>
        <v>-4.5454545454545456E-2</v>
      </c>
      <c r="E199" s="42">
        <f>J198+D199</f>
        <v>-8.8181818181818414</v>
      </c>
      <c r="F199" s="8">
        <f>'Leave Record'!A201</f>
        <v>0</v>
      </c>
      <c r="G199" s="8">
        <f>'Leave Record'!B201</f>
        <v>0</v>
      </c>
      <c r="H199" s="23">
        <f t="shared" si="28"/>
        <v>1</v>
      </c>
      <c r="I199" s="23">
        <f>IF(K199=$P$14,H199,0)</f>
        <v>0</v>
      </c>
      <c r="J199" s="42">
        <f>E199-I199</f>
        <v>-8.8181818181818414</v>
      </c>
      <c r="K199" s="23">
        <f>'Leave Record'!C201</f>
        <v>0</v>
      </c>
      <c r="Q199">
        <f>K199</f>
        <v>0</v>
      </c>
      <c r="R199" s="15">
        <f>J199</f>
        <v>-8.8181818181818414</v>
      </c>
    </row>
    <row r="200" spans="1:18" x14ac:dyDescent="0.25">
      <c r="A200" s="8">
        <f>G199+1</f>
        <v>1</v>
      </c>
      <c r="B200" s="35">
        <f>IF(K200=$P$15,$M$4,IF(K200=$P$13,'Leave Entry'!$B$4,F200-1))</f>
        <v>-1</v>
      </c>
      <c r="C200" s="23">
        <f t="shared" si="27"/>
        <v>-1</v>
      </c>
      <c r="D200" s="42">
        <f t="shared" si="29"/>
        <v>-4.5454545454545456E-2</v>
      </c>
      <c r="E200" s="42">
        <f>J199+D200</f>
        <v>-8.8636363636363864</v>
      </c>
      <c r="F200" s="8">
        <f>'Leave Record'!A202</f>
        <v>0</v>
      </c>
      <c r="G200" s="8">
        <f>'Leave Record'!B202</f>
        <v>0</v>
      </c>
      <c r="H200" s="23">
        <f t="shared" si="28"/>
        <v>1</v>
      </c>
      <c r="I200" s="23">
        <f>IF(K200=$P$14,H200,0)</f>
        <v>0</v>
      </c>
      <c r="J200" s="42">
        <f>E200-I200</f>
        <v>-8.8636363636363864</v>
      </c>
      <c r="K200" s="23">
        <f>'Leave Record'!C202</f>
        <v>0</v>
      </c>
      <c r="Q200">
        <f>K200</f>
        <v>0</v>
      </c>
      <c r="R200" s="15">
        <f>J200</f>
        <v>-8.8636363636363864</v>
      </c>
    </row>
    <row r="201" spans="1:18" x14ac:dyDescent="0.25">
      <c r="A201" s="38">
        <f t="shared" ref="A201:A264" si="30">G200+1</f>
        <v>1</v>
      </c>
      <c r="B201" s="38">
        <f>IF(K201=$P$15,$M$4,IF(K201=$P$13,'Leave Entry'!$B$4,F201-1))</f>
        <v>-1</v>
      </c>
      <c r="C201" s="23">
        <f t="shared" si="27"/>
        <v>-1</v>
      </c>
      <c r="D201" s="42">
        <f t="shared" si="29"/>
        <v>-4.5454545454545456E-2</v>
      </c>
      <c r="E201" s="42">
        <f t="shared" ref="E201:E264" si="31">J200+D201</f>
        <v>-8.9090909090909314</v>
      </c>
      <c r="F201" s="38">
        <f>'Leave Record'!A203</f>
        <v>0</v>
      </c>
      <c r="G201" s="38">
        <f>'Leave Record'!B203</f>
        <v>0</v>
      </c>
      <c r="H201" s="23">
        <f t="shared" si="28"/>
        <v>1</v>
      </c>
      <c r="I201" s="23">
        <f t="shared" ref="I201:I264" si="32">IF(K201=$P$14,H201,0)</f>
        <v>0</v>
      </c>
      <c r="J201" s="42">
        <f t="shared" ref="J201:J264" si="33">E201-I201</f>
        <v>-8.9090909090909314</v>
      </c>
      <c r="K201" s="23">
        <f>'Leave Record'!C203</f>
        <v>0</v>
      </c>
    </row>
    <row r="202" spans="1:18" x14ac:dyDescent="0.25">
      <c r="A202" s="38">
        <f t="shared" si="30"/>
        <v>1</v>
      </c>
      <c r="B202" s="38">
        <f>IF(K202=$P$15,$M$4,IF(K202=$P$13,'Leave Entry'!$B$4,F202-1))</f>
        <v>-1</v>
      </c>
      <c r="C202" s="23">
        <f t="shared" si="27"/>
        <v>-1</v>
      </c>
      <c r="D202" s="42">
        <f t="shared" si="29"/>
        <v>-4.5454545454545456E-2</v>
      </c>
      <c r="E202" s="42">
        <f t="shared" si="31"/>
        <v>-8.9545454545454763</v>
      </c>
      <c r="F202" s="38">
        <f>'Leave Record'!A204</f>
        <v>0</v>
      </c>
      <c r="G202" s="38">
        <f>'Leave Record'!B204</f>
        <v>0</v>
      </c>
      <c r="H202" s="23">
        <f t="shared" si="28"/>
        <v>1</v>
      </c>
      <c r="I202" s="23">
        <f t="shared" si="32"/>
        <v>0</v>
      </c>
      <c r="J202" s="42">
        <f t="shared" si="33"/>
        <v>-8.9545454545454763</v>
      </c>
      <c r="K202" s="23">
        <f>'Leave Record'!C204</f>
        <v>0</v>
      </c>
    </row>
    <row r="203" spans="1:18" x14ac:dyDescent="0.25">
      <c r="A203" s="38">
        <f t="shared" si="30"/>
        <v>1</v>
      </c>
      <c r="B203" s="38">
        <f>IF(K203=$P$15,$M$4,IF(K203=$P$13,'Leave Entry'!$B$4,F203-1))</f>
        <v>-1</v>
      </c>
      <c r="C203" s="23">
        <f t="shared" si="27"/>
        <v>-1</v>
      </c>
      <c r="D203" s="42">
        <f t="shared" si="29"/>
        <v>-4.5454545454545456E-2</v>
      </c>
      <c r="E203" s="42">
        <f t="shared" si="31"/>
        <v>-9.0000000000000213</v>
      </c>
      <c r="F203" s="38">
        <f>'Leave Record'!A205</f>
        <v>0</v>
      </c>
      <c r="G203" s="38">
        <f>'Leave Record'!B205</f>
        <v>0</v>
      </c>
      <c r="H203" s="23">
        <f t="shared" si="28"/>
        <v>1</v>
      </c>
      <c r="I203" s="23">
        <f t="shared" si="32"/>
        <v>0</v>
      </c>
      <c r="J203" s="42">
        <f t="shared" si="33"/>
        <v>-9.0000000000000213</v>
      </c>
      <c r="K203" s="23">
        <f>'Leave Record'!C205</f>
        <v>0</v>
      </c>
    </row>
    <row r="204" spans="1:18" x14ac:dyDescent="0.25">
      <c r="A204" s="38">
        <f t="shared" si="30"/>
        <v>1</v>
      </c>
      <c r="B204" s="38">
        <f>IF(K204=$P$15,$M$4,IF(K204=$P$13,'Leave Entry'!$B$4,F204-1))</f>
        <v>-1</v>
      </c>
      <c r="C204" s="23">
        <f t="shared" si="27"/>
        <v>-1</v>
      </c>
      <c r="D204" s="42">
        <f t="shared" si="29"/>
        <v>-4.5454545454545456E-2</v>
      </c>
      <c r="E204" s="42">
        <f t="shared" si="31"/>
        <v>-9.0454545454545663</v>
      </c>
      <c r="F204" s="38">
        <f>'Leave Record'!A206</f>
        <v>0</v>
      </c>
      <c r="G204" s="38">
        <f>'Leave Record'!B206</f>
        <v>0</v>
      </c>
      <c r="H204" s="23">
        <f t="shared" si="28"/>
        <v>1</v>
      </c>
      <c r="I204" s="23">
        <f t="shared" si="32"/>
        <v>0</v>
      </c>
      <c r="J204" s="42">
        <f t="shared" si="33"/>
        <v>-9.0454545454545663</v>
      </c>
      <c r="K204" s="23">
        <f>'Leave Record'!C206</f>
        <v>0</v>
      </c>
    </row>
    <row r="205" spans="1:18" x14ac:dyDescent="0.25">
      <c r="A205" s="38">
        <f t="shared" si="30"/>
        <v>1</v>
      </c>
      <c r="B205" s="38">
        <f>IF(K205=$P$15,$M$4,IF(K205=$P$13,'Leave Entry'!$B$4,F205-1))</f>
        <v>-1</v>
      </c>
      <c r="C205" s="23">
        <f t="shared" si="27"/>
        <v>-1</v>
      </c>
      <c r="D205" s="42">
        <f t="shared" si="29"/>
        <v>-4.5454545454545456E-2</v>
      </c>
      <c r="E205" s="42">
        <f t="shared" si="31"/>
        <v>-9.0909090909091113</v>
      </c>
      <c r="F205" s="38">
        <f>'Leave Record'!A207</f>
        <v>0</v>
      </c>
      <c r="G205" s="38">
        <f>'Leave Record'!B207</f>
        <v>0</v>
      </c>
      <c r="H205" s="23">
        <f t="shared" si="28"/>
        <v>1</v>
      </c>
      <c r="I205" s="23">
        <f t="shared" si="32"/>
        <v>0</v>
      </c>
      <c r="J205" s="42">
        <f t="shared" si="33"/>
        <v>-9.0909090909091113</v>
      </c>
      <c r="K205" s="23">
        <f>'Leave Record'!C207</f>
        <v>0</v>
      </c>
    </row>
    <row r="206" spans="1:18" x14ac:dyDescent="0.25">
      <c r="A206" s="38">
        <f t="shared" si="30"/>
        <v>1</v>
      </c>
      <c r="B206" s="38">
        <f>IF(K206=$P$15,$M$4,IF(K206=$P$13,'Leave Entry'!$B$4,F206-1))</f>
        <v>-1</v>
      </c>
      <c r="C206" s="23">
        <f t="shared" si="27"/>
        <v>-1</v>
      </c>
      <c r="D206" s="42">
        <f t="shared" si="29"/>
        <v>-4.5454545454545456E-2</v>
      </c>
      <c r="E206" s="42">
        <f t="shared" si="31"/>
        <v>-9.1363636363636562</v>
      </c>
      <c r="F206" s="38">
        <f>'Leave Record'!A208</f>
        <v>0</v>
      </c>
      <c r="G206" s="38">
        <f>'Leave Record'!B208</f>
        <v>0</v>
      </c>
      <c r="H206" s="23">
        <f t="shared" si="28"/>
        <v>1</v>
      </c>
      <c r="I206" s="23">
        <f t="shared" si="32"/>
        <v>0</v>
      </c>
      <c r="J206" s="42">
        <f t="shared" si="33"/>
        <v>-9.1363636363636562</v>
      </c>
      <c r="K206" s="23">
        <f>'Leave Record'!C208</f>
        <v>0</v>
      </c>
    </row>
    <row r="207" spans="1:18" x14ac:dyDescent="0.25">
      <c r="A207" s="38">
        <f t="shared" si="30"/>
        <v>1</v>
      </c>
      <c r="B207" s="38">
        <f>IF(K207=$P$15,$M$4,IF(K207=$P$13,'Leave Entry'!$B$4,F207-1))</f>
        <v>-1</v>
      </c>
      <c r="C207" s="23">
        <f t="shared" si="27"/>
        <v>-1</v>
      </c>
      <c r="D207" s="42">
        <f t="shared" si="29"/>
        <v>-4.5454545454545456E-2</v>
      </c>
      <c r="E207" s="42">
        <f t="shared" si="31"/>
        <v>-9.1818181818182012</v>
      </c>
      <c r="F207" s="38">
        <f>'Leave Record'!A209</f>
        <v>0</v>
      </c>
      <c r="G207" s="38">
        <f>'Leave Record'!B209</f>
        <v>0</v>
      </c>
      <c r="H207" s="23">
        <f t="shared" si="28"/>
        <v>1</v>
      </c>
      <c r="I207" s="23">
        <f t="shared" si="32"/>
        <v>0</v>
      </c>
      <c r="J207" s="42">
        <f t="shared" si="33"/>
        <v>-9.1818181818182012</v>
      </c>
      <c r="K207" s="23">
        <f>'Leave Record'!C209</f>
        <v>0</v>
      </c>
    </row>
    <row r="208" spans="1:18" x14ac:dyDescent="0.25">
      <c r="A208" s="38">
        <f t="shared" si="30"/>
        <v>1</v>
      </c>
      <c r="B208" s="38">
        <f>IF(K208=$P$15,$M$4,IF(K208=$P$13,'Leave Entry'!$B$4,F208-1))</f>
        <v>-1</v>
      </c>
      <c r="C208" s="23">
        <f t="shared" si="27"/>
        <v>-1</v>
      </c>
      <c r="D208" s="42">
        <f t="shared" si="29"/>
        <v>-4.5454545454545456E-2</v>
      </c>
      <c r="E208" s="42">
        <f t="shared" si="31"/>
        <v>-9.2272727272727462</v>
      </c>
      <c r="F208" s="38">
        <f>'Leave Record'!A210</f>
        <v>0</v>
      </c>
      <c r="G208" s="38">
        <f>'Leave Record'!B210</f>
        <v>0</v>
      </c>
      <c r="H208" s="23">
        <f t="shared" si="28"/>
        <v>1</v>
      </c>
      <c r="I208" s="23">
        <f t="shared" si="32"/>
        <v>0</v>
      </c>
      <c r="J208" s="42">
        <f t="shared" si="33"/>
        <v>-9.2272727272727462</v>
      </c>
      <c r="K208" s="23">
        <f>'Leave Record'!C210</f>
        <v>0</v>
      </c>
    </row>
    <row r="209" spans="1:11" x14ac:dyDescent="0.25">
      <c r="A209" s="38">
        <f t="shared" si="30"/>
        <v>1</v>
      </c>
      <c r="B209" s="38">
        <f>IF(K209=$P$15,$M$4,IF(K209=$P$13,'Leave Entry'!$B$4,F209-1))</f>
        <v>-1</v>
      </c>
      <c r="C209" s="23">
        <f t="shared" si="27"/>
        <v>-1</v>
      </c>
      <c r="D209" s="42">
        <f t="shared" si="29"/>
        <v>-4.5454545454545456E-2</v>
      </c>
      <c r="E209" s="42">
        <f t="shared" si="31"/>
        <v>-9.2727272727272911</v>
      </c>
      <c r="F209" s="38">
        <f>'Leave Record'!A211</f>
        <v>0</v>
      </c>
      <c r="G209" s="38">
        <f>'Leave Record'!B211</f>
        <v>0</v>
      </c>
      <c r="H209" s="23">
        <f t="shared" si="28"/>
        <v>1</v>
      </c>
      <c r="I209" s="23">
        <f t="shared" si="32"/>
        <v>0</v>
      </c>
      <c r="J209" s="42">
        <f t="shared" si="33"/>
        <v>-9.2727272727272911</v>
      </c>
      <c r="K209" s="23">
        <f>'Leave Record'!C211</f>
        <v>0</v>
      </c>
    </row>
    <row r="210" spans="1:11" x14ac:dyDescent="0.25">
      <c r="A210" s="38">
        <f t="shared" si="30"/>
        <v>1</v>
      </c>
      <c r="B210" s="38">
        <f>IF(K210=$P$15,$M$4,IF(K210=$P$13,'Leave Entry'!$B$4,F210-1))</f>
        <v>-1</v>
      </c>
      <c r="C210" s="23">
        <f t="shared" si="27"/>
        <v>-1</v>
      </c>
      <c r="D210" s="42">
        <f t="shared" si="29"/>
        <v>-4.5454545454545456E-2</v>
      </c>
      <c r="E210" s="42">
        <f t="shared" si="31"/>
        <v>-9.3181818181818361</v>
      </c>
      <c r="F210" s="38">
        <f>'Leave Record'!A212</f>
        <v>0</v>
      </c>
      <c r="G210" s="38">
        <f>'Leave Record'!B212</f>
        <v>0</v>
      </c>
      <c r="H210" s="23">
        <f t="shared" si="28"/>
        <v>1</v>
      </c>
      <c r="I210" s="23">
        <f t="shared" si="32"/>
        <v>0</v>
      </c>
      <c r="J210" s="42">
        <f t="shared" si="33"/>
        <v>-9.3181818181818361</v>
      </c>
      <c r="K210" s="23">
        <f>'Leave Record'!C212</f>
        <v>0</v>
      </c>
    </row>
    <row r="211" spans="1:11" x14ac:dyDescent="0.25">
      <c r="A211" s="38">
        <f t="shared" si="30"/>
        <v>1</v>
      </c>
      <c r="B211" s="38">
        <f>IF(K211=$P$15,$M$4,IF(K211=$P$13,'Leave Entry'!$B$4,F211-1))</f>
        <v>-1</v>
      </c>
      <c r="C211" s="23">
        <f t="shared" si="27"/>
        <v>-1</v>
      </c>
      <c r="D211" s="42">
        <f t="shared" si="29"/>
        <v>-4.5454545454545456E-2</v>
      </c>
      <c r="E211" s="42">
        <f t="shared" si="31"/>
        <v>-9.3636363636363811</v>
      </c>
      <c r="F211" s="38">
        <f>'Leave Record'!A213</f>
        <v>0</v>
      </c>
      <c r="G211" s="38">
        <f>'Leave Record'!B213</f>
        <v>0</v>
      </c>
      <c r="H211" s="23">
        <f t="shared" si="28"/>
        <v>1</v>
      </c>
      <c r="I211" s="23">
        <f t="shared" si="32"/>
        <v>0</v>
      </c>
      <c r="J211" s="42">
        <f t="shared" si="33"/>
        <v>-9.3636363636363811</v>
      </c>
      <c r="K211" s="23">
        <f>'Leave Record'!C213</f>
        <v>0</v>
      </c>
    </row>
    <row r="212" spans="1:11" x14ac:dyDescent="0.25">
      <c r="A212" s="38">
        <f t="shared" si="30"/>
        <v>1</v>
      </c>
      <c r="B212" s="38">
        <f>IF(K212=$P$15,$M$4,IF(K212=$P$13,'Leave Entry'!$B$4,F212-1))</f>
        <v>-1</v>
      </c>
      <c r="C212" s="23">
        <f t="shared" si="27"/>
        <v>-1</v>
      </c>
      <c r="D212" s="42">
        <f t="shared" si="29"/>
        <v>-4.5454545454545456E-2</v>
      </c>
      <c r="E212" s="42">
        <f t="shared" si="31"/>
        <v>-9.409090909090926</v>
      </c>
      <c r="F212" s="38">
        <f>'Leave Record'!A214</f>
        <v>0</v>
      </c>
      <c r="G212" s="38">
        <f>'Leave Record'!B214</f>
        <v>0</v>
      </c>
      <c r="H212" s="23">
        <f t="shared" si="28"/>
        <v>1</v>
      </c>
      <c r="I212" s="23">
        <f t="shared" si="32"/>
        <v>0</v>
      </c>
      <c r="J212" s="42">
        <f t="shared" si="33"/>
        <v>-9.409090909090926</v>
      </c>
      <c r="K212" s="23">
        <f>'Leave Record'!C214</f>
        <v>0</v>
      </c>
    </row>
    <row r="213" spans="1:11" x14ac:dyDescent="0.25">
      <c r="A213" s="38">
        <f t="shared" si="30"/>
        <v>1</v>
      </c>
      <c r="B213" s="38">
        <f>IF(K213=$P$15,$M$4,IF(K213=$P$13,'Leave Entry'!$B$4,F213-1))</f>
        <v>-1</v>
      </c>
      <c r="C213" s="23">
        <f t="shared" si="27"/>
        <v>-1</v>
      </c>
      <c r="D213" s="42">
        <f t="shared" si="29"/>
        <v>-4.5454545454545456E-2</v>
      </c>
      <c r="E213" s="42">
        <f t="shared" si="31"/>
        <v>-9.454545454545471</v>
      </c>
      <c r="F213" s="38">
        <f>'Leave Record'!A215</f>
        <v>0</v>
      </c>
      <c r="G213" s="38">
        <f>'Leave Record'!B215</f>
        <v>0</v>
      </c>
      <c r="H213" s="23">
        <f t="shared" si="28"/>
        <v>1</v>
      </c>
      <c r="I213" s="23">
        <f t="shared" si="32"/>
        <v>0</v>
      </c>
      <c r="J213" s="42">
        <f t="shared" si="33"/>
        <v>-9.454545454545471</v>
      </c>
      <c r="K213" s="23">
        <f>'Leave Record'!C215</f>
        <v>0</v>
      </c>
    </row>
    <row r="214" spans="1:11" x14ac:dyDescent="0.25">
      <c r="A214" s="38">
        <f t="shared" si="30"/>
        <v>1</v>
      </c>
      <c r="B214" s="38">
        <f>IF(K214=$P$15,$M$4,IF(K214=$P$13,'Leave Entry'!$B$4,F214-1))</f>
        <v>-1</v>
      </c>
      <c r="C214" s="23">
        <f t="shared" si="27"/>
        <v>-1</v>
      </c>
      <c r="D214" s="42">
        <f t="shared" si="29"/>
        <v>-4.5454545454545456E-2</v>
      </c>
      <c r="E214" s="42">
        <f t="shared" si="31"/>
        <v>-9.500000000000016</v>
      </c>
      <c r="F214" s="38">
        <f>'Leave Record'!A216</f>
        <v>0</v>
      </c>
      <c r="G214" s="38">
        <f>'Leave Record'!B216</f>
        <v>0</v>
      </c>
      <c r="H214" s="23">
        <f t="shared" si="28"/>
        <v>1</v>
      </c>
      <c r="I214" s="23">
        <f t="shared" si="32"/>
        <v>0</v>
      </c>
      <c r="J214" s="42">
        <f t="shared" si="33"/>
        <v>-9.500000000000016</v>
      </c>
      <c r="K214" s="23">
        <f>'Leave Record'!C216</f>
        <v>0</v>
      </c>
    </row>
    <row r="215" spans="1:11" x14ac:dyDescent="0.25">
      <c r="A215" s="38">
        <f t="shared" si="30"/>
        <v>1</v>
      </c>
      <c r="B215" s="38">
        <f>IF(K215=$P$15,$M$4,IF(K215=$P$13,'Leave Entry'!$B$4,F215-1))</f>
        <v>-1</v>
      </c>
      <c r="C215" s="23">
        <f t="shared" si="27"/>
        <v>-1</v>
      </c>
      <c r="D215" s="42">
        <f t="shared" si="29"/>
        <v>-4.5454545454545456E-2</v>
      </c>
      <c r="E215" s="42">
        <f t="shared" si="31"/>
        <v>-9.545454545454561</v>
      </c>
      <c r="F215" s="38">
        <f>'Leave Record'!A217</f>
        <v>0</v>
      </c>
      <c r="G215" s="38">
        <f>'Leave Record'!B217</f>
        <v>0</v>
      </c>
      <c r="H215" s="23">
        <f t="shared" si="28"/>
        <v>1</v>
      </c>
      <c r="I215" s="23">
        <f t="shared" si="32"/>
        <v>0</v>
      </c>
      <c r="J215" s="42">
        <f t="shared" si="33"/>
        <v>-9.545454545454561</v>
      </c>
      <c r="K215" s="23">
        <f>'Leave Record'!C217</f>
        <v>0</v>
      </c>
    </row>
    <row r="216" spans="1:11" x14ac:dyDescent="0.25">
      <c r="A216" s="38">
        <f t="shared" si="30"/>
        <v>1</v>
      </c>
      <c r="B216" s="38">
        <f>IF(K216=$P$15,$M$4,IF(K216=$P$13,'Leave Entry'!$B$4,F216-1))</f>
        <v>-1</v>
      </c>
      <c r="C216" s="23">
        <f t="shared" si="27"/>
        <v>-1</v>
      </c>
      <c r="D216" s="42">
        <f t="shared" si="29"/>
        <v>-4.5454545454545456E-2</v>
      </c>
      <c r="E216" s="42">
        <f t="shared" si="31"/>
        <v>-9.5909090909091059</v>
      </c>
      <c r="F216" s="38">
        <f>'Leave Record'!A218</f>
        <v>0</v>
      </c>
      <c r="G216" s="38">
        <f>'Leave Record'!B218</f>
        <v>0</v>
      </c>
      <c r="H216" s="23">
        <f t="shared" si="28"/>
        <v>1</v>
      </c>
      <c r="I216" s="23">
        <f t="shared" si="32"/>
        <v>0</v>
      </c>
      <c r="J216" s="42">
        <f t="shared" si="33"/>
        <v>-9.5909090909091059</v>
      </c>
      <c r="K216" s="23">
        <f>'Leave Record'!C218</f>
        <v>0</v>
      </c>
    </row>
    <row r="217" spans="1:11" x14ac:dyDescent="0.25">
      <c r="A217" s="38">
        <f t="shared" si="30"/>
        <v>1</v>
      </c>
      <c r="B217" s="38">
        <f>IF(K217=$P$15,$M$4,IF(K217=$P$13,'Leave Entry'!$B$4,F217-1))</f>
        <v>-1</v>
      </c>
      <c r="C217" s="23">
        <f t="shared" si="27"/>
        <v>-1</v>
      </c>
      <c r="D217" s="42">
        <f t="shared" si="29"/>
        <v>-4.5454545454545456E-2</v>
      </c>
      <c r="E217" s="42">
        <f t="shared" si="31"/>
        <v>-9.6363636363636509</v>
      </c>
      <c r="F217" s="38">
        <f>'Leave Record'!A219</f>
        <v>0</v>
      </c>
      <c r="G217" s="38">
        <f>'Leave Record'!B219</f>
        <v>0</v>
      </c>
      <c r="H217" s="23">
        <f t="shared" si="28"/>
        <v>1</v>
      </c>
      <c r="I217" s="23">
        <f t="shared" si="32"/>
        <v>0</v>
      </c>
      <c r="J217" s="42">
        <f t="shared" si="33"/>
        <v>-9.6363636363636509</v>
      </c>
      <c r="K217" s="23">
        <f>'Leave Record'!C219</f>
        <v>0</v>
      </c>
    </row>
    <row r="218" spans="1:11" x14ac:dyDescent="0.25">
      <c r="A218" s="38">
        <f t="shared" si="30"/>
        <v>1</v>
      </c>
      <c r="B218" s="38">
        <f>IF(K218=$P$15,$M$4,IF(K218=$P$13,'Leave Entry'!$B$4,F218-1))</f>
        <v>-1</v>
      </c>
      <c r="C218" s="23">
        <f t="shared" si="27"/>
        <v>-1</v>
      </c>
      <c r="D218" s="42">
        <f t="shared" si="29"/>
        <v>-4.5454545454545456E-2</v>
      </c>
      <c r="E218" s="42">
        <f t="shared" si="31"/>
        <v>-9.6818181818181959</v>
      </c>
      <c r="F218" s="38">
        <f>'Leave Record'!A220</f>
        <v>0</v>
      </c>
      <c r="G218" s="38">
        <f>'Leave Record'!B220</f>
        <v>0</v>
      </c>
      <c r="H218" s="23">
        <f t="shared" si="28"/>
        <v>1</v>
      </c>
      <c r="I218" s="23">
        <f t="shared" si="32"/>
        <v>0</v>
      </c>
      <c r="J218" s="42">
        <f t="shared" si="33"/>
        <v>-9.6818181818181959</v>
      </c>
      <c r="K218" s="23">
        <f>'Leave Record'!C220</f>
        <v>0</v>
      </c>
    </row>
    <row r="219" spans="1:11" x14ac:dyDescent="0.25">
      <c r="A219" s="38">
        <f t="shared" si="30"/>
        <v>1</v>
      </c>
      <c r="B219" s="38">
        <f>IF(K219=$P$15,$M$4,IF(K219=$P$13,'Leave Entry'!$B$4,F219-1))</f>
        <v>-1</v>
      </c>
      <c r="C219" s="23">
        <f t="shared" si="27"/>
        <v>-1</v>
      </c>
      <c r="D219" s="42">
        <f t="shared" si="29"/>
        <v>-4.5454545454545456E-2</v>
      </c>
      <c r="E219" s="42">
        <f t="shared" si="31"/>
        <v>-9.7272727272727408</v>
      </c>
      <c r="F219" s="38">
        <f>'Leave Record'!A221</f>
        <v>0</v>
      </c>
      <c r="G219" s="38">
        <f>'Leave Record'!B221</f>
        <v>0</v>
      </c>
      <c r="H219" s="23">
        <f t="shared" si="28"/>
        <v>1</v>
      </c>
      <c r="I219" s="23">
        <f t="shared" si="32"/>
        <v>0</v>
      </c>
      <c r="J219" s="42">
        <f t="shared" si="33"/>
        <v>-9.7272727272727408</v>
      </c>
      <c r="K219" s="23">
        <f>'Leave Record'!C221</f>
        <v>0</v>
      </c>
    </row>
    <row r="220" spans="1:11" x14ac:dyDescent="0.25">
      <c r="A220" s="38">
        <f t="shared" si="30"/>
        <v>1</v>
      </c>
      <c r="B220" s="38">
        <f>IF(K220=$P$15,$M$4,IF(K220=$P$13,'Leave Entry'!$B$4,F220-1))</f>
        <v>-1</v>
      </c>
      <c r="C220" s="23">
        <f t="shared" si="27"/>
        <v>-1</v>
      </c>
      <c r="D220" s="42">
        <f t="shared" si="29"/>
        <v>-4.5454545454545456E-2</v>
      </c>
      <c r="E220" s="42">
        <f t="shared" si="31"/>
        <v>-9.7727272727272858</v>
      </c>
      <c r="F220" s="38">
        <f>'Leave Record'!A222</f>
        <v>0</v>
      </c>
      <c r="G220" s="38">
        <f>'Leave Record'!B222</f>
        <v>0</v>
      </c>
      <c r="H220" s="23">
        <f t="shared" si="28"/>
        <v>1</v>
      </c>
      <c r="I220" s="23">
        <f t="shared" si="32"/>
        <v>0</v>
      </c>
      <c r="J220" s="42">
        <f t="shared" si="33"/>
        <v>-9.7727272727272858</v>
      </c>
      <c r="K220" s="23">
        <f>'Leave Record'!C222</f>
        <v>0</v>
      </c>
    </row>
    <row r="221" spans="1:11" x14ac:dyDescent="0.25">
      <c r="A221" s="38">
        <f t="shared" si="30"/>
        <v>1</v>
      </c>
      <c r="B221" s="38">
        <f>IF(K221=$P$15,$M$4,IF(K221=$P$13,'Leave Entry'!$B$4,F221-1))</f>
        <v>-1</v>
      </c>
      <c r="C221" s="23">
        <f t="shared" si="27"/>
        <v>-1</v>
      </c>
      <c r="D221" s="42">
        <f t="shared" si="29"/>
        <v>-4.5454545454545456E-2</v>
      </c>
      <c r="E221" s="42">
        <f t="shared" si="31"/>
        <v>-9.8181818181818308</v>
      </c>
      <c r="F221" s="38">
        <f>'Leave Record'!A223</f>
        <v>0</v>
      </c>
      <c r="G221" s="38">
        <f>'Leave Record'!B223</f>
        <v>0</v>
      </c>
      <c r="H221" s="23">
        <f t="shared" si="28"/>
        <v>1</v>
      </c>
      <c r="I221" s="23">
        <f t="shared" si="32"/>
        <v>0</v>
      </c>
      <c r="J221" s="42">
        <f t="shared" si="33"/>
        <v>-9.8181818181818308</v>
      </c>
      <c r="K221" s="23">
        <f>'Leave Record'!C223</f>
        <v>0</v>
      </c>
    </row>
    <row r="222" spans="1:11" x14ac:dyDescent="0.25">
      <c r="A222" s="38">
        <f t="shared" si="30"/>
        <v>1</v>
      </c>
      <c r="B222" s="38">
        <f>IF(K222=$P$15,$M$4,IF(K222=$P$13,'Leave Entry'!$B$4,F222-1))</f>
        <v>-1</v>
      </c>
      <c r="C222" s="23">
        <f t="shared" si="27"/>
        <v>-1</v>
      </c>
      <c r="D222" s="42">
        <f t="shared" si="29"/>
        <v>-4.5454545454545456E-2</v>
      </c>
      <c r="E222" s="42">
        <f t="shared" si="31"/>
        <v>-9.8636363636363757</v>
      </c>
      <c r="F222" s="38">
        <f>'Leave Record'!A224</f>
        <v>0</v>
      </c>
      <c r="G222" s="38">
        <f>'Leave Record'!B224</f>
        <v>0</v>
      </c>
      <c r="H222" s="23">
        <f t="shared" si="28"/>
        <v>1</v>
      </c>
      <c r="I222" s="23">
        <f t="shared" si="32"/>
        <v>0</v>
      </c>
      <c r="J222" s="42">
        <f t="shared" si="33"/>
        <v>-9.8636363636363757</v>
      </c>
      <c r="K222" s="23">
        <f>'Leave Record'!C224</f>
        <v>0</v>
      </c>
    </row>
    <row r="223" spans="1:11" x14ac:dyDescent="0.25">
      <c r="A223" s="38">
        <f t="shared" si="30"/>
        <v>1</v>
      </c>
      <c r="B223" s="38">
        <f>IF(K223=$P$15,$M$4,IF(K223=$P$13,'Leave Entry'!$B$4,F223-1))</f>
        <v>-1</v>
      </c>
      <c r="C223" s="23">
        <f t="shared" si="27"/>
        <v>-1</v>
      </c>
      <c r="D223" s="42">
        <f t="shared" si="29"/>
        <v>-4.5454545454545456E-2</v>
      </c>
      <c r="E223" s="42">
        <f t="shared" si="31"/>
        <v>-9.9090909090909207</v>
      </c>
      <c r="F223" s="38">
        <f>'Leave Record'!A225</f>
        <v>0</v>
      </c>
      <c r="G223" s="38">
        <f>'Leave Record'!B225</f>
        <v>0</v>
      </c>
      <c r="H223" s="23">
        <f t="shared" si="28"/>
        <v>1</v>
      </c>
      <c r="I223" s="23">
        <f t="shared" si="32"/>
        <v>0</v>
      </c>
      <c r="J223" s="42">
        <f t="shared" si="33"/>
        <v>-9.9090909090909207</v>
      </c>
      <c r="K223" s="23">
        <f>'Leave Record'!C225</f>
        <v>0</v>
      </c>
    </row>
    <row r="224" spans="1:11" x14ac:dyDescent="0.25">
      <c r="A224" s="38">
        <f t="shared" si="30"/>
        <v>1</v>
      </c>
      <c r="B224" s="38">
        <f>IF(K224=$P$15,$M$4,IF(K224=$P$13,'Leave Entry'!$B$4,F224-1))</f>
        <v>-1</v>
      </c>
      <c r="C224" s="23">
        <f t="shared" si="27"/>
        <v>-1</v>
      </c>
      <c r="D224" s="42">
        <f t="shared" si="29"/>
        <v>-4.5454545454545456E-2</v>
      </c>
      <c r="E224" s="42">
        <f t="shared" si="31"/>
        <v>-9.9545454545454657</v>
      </c>
      <c r="F224" s="38">
        <f>'Leave Record'!A226</f>
        <v>0</v>
      </c>
      <c r="G224" s="38">
        <f>'Leave Record'!B226</f>
        <v>0</v>
      </c>
      <c r="H224" s="23">
        <f t="shared" si="28"/>
        <v>1</v>
      </c>
      <c r="I224" s="23">
        <f t="shared" si="32"/>
        <v>0</v>
      </c>
      <c r="J224" s="42">
        <f t="shared" si="33"/>
        <v>-9.9545454545454657</v>
      </c>
      <c r="K224" s="23">
        <f>'Leave Record'!C226</f>
        <v>0</v>
      </c>
    </row>
    <row r="225" spans="1:11" x14ac:dyDescent="0.25">
      <c r="A225" s="38">
        <f t="shared" si="30"/>
        <v>1</v>
      </c>
      <c r="B225" s="38">
        <f>IF(K225=$P$15,$M$4,IF(K225=$P$13,'Leave Entry'!$B$4,F225-1))</f>
        <v>-1</v>
      </c>
      <c r="C225" s="23">
        <f t="shared" si="27"/>
        <v>-1</v>
      </c>
      <c r="D225" s="42">
        <f t="shared" si="29"/>
        <v>-4.5454545454545456E-2</v>
      </c>
      <c r="E225" s="42">
        <f t="shared" si="31"/>
        <v>-10.000000000000011</v>
      </c>
      <c r="F225" s="38">
        <f>'Leave Record'!A227</f>
        <v>0</v>
      </c>
      <c r="G225" s="38">
        <f>'Leave Record'!B227</f>
        <v>0</v>
      </c>
      <c r="H225" s="23">
        <f t="shared" si="28"/>
        <v>1</v>
      </c>
      <c r="I225" s="23">
        <f t="shared" si="32"/>
        <v>0</v>
      </c>
      <c r="J225" s="42">
        <f t="shared" si="33"/>
        <v>-10.000000000000011</v>
      </c>
      <c r="K225" s="23">
        <f>'Leave Record'!C227</f>
        <v>0</v>
      </c>
    </row>
    <row r="226" spans="1:11" x14ac:dyDescent="0.25">
      <c r="A226" s="38">
        <f t="shared" si="30"/>
        <v>1</v>
      </c>
      <c r="B226" s="38">
        <f>IF(K226=$P$15,$M$4,IF(K226=$P$13,'Leave Entry'!$B$4,F226-1))</f>
        <v>-1</v>
      </c>
      <c r="C226" s="23">
        <f t="shared" si="27"/>
        <v>-1</v>
      </c>
      <c r="D226" s="42">
        <f t="shared" si="29"/>
        <v>-4.5454545454545456E-2</v>
      </c>
      <c r="E226" s="42">
        <f t="shared" si="31"/>
        <v>-10.045454545454556</v>
      </c>
      <c r="F226" s="38">
        <f>'Leave Record'!A228</f>
        <v>0</v>
      </c>
      <c r="G226" s="38">
        <f>'Leave Record'!B228</f>
        <v>0</v>
      </c>
      <c r="H226" s="23">
        <f t="shared" si="28"/>
        <v>1</v>
      </c>
      <c r="I226" s="23">
        <f t="shared" si="32"/>
        <v>0</v>
      </c>
      <c r="J226" s="42">
        <f t="shared" si="33"/>
        <v>-10.045454545454556</v>
      </c>
      <c r="K226" s="23">
        <f>'Leave Record'!C228</f>
        <v>0</v>
      </c>
    </row>
    <row r="227" spans="1:11" x14ac:dyDescent="0.25">
      <c r="A227" s="38">
        <f t="shared" si="30"/>
        <v>1</v>
      </c>
      <c r="B227" s="38">
        <f>IF(K227=$P$15,$M$4,IF(K227=$P$13,'Leave Entry'!$B$4,F227-1))</f>
        <v>-1</v>
      </c>
      <c r="C227" s="23">
        <f t="shared" si="27"/>
        <v>-1</v>
      </c>
      <c r="D227" s="42">
        <f t="shared" si="29"/>
        <v>-4.5454545454545456E-2</v>
      </c>
      <c r="E227" s="42">
        <f t="shared" si="31"/>
        <v>-10.090909090909101</v>
      </c>
      <c r="F227" s="38">
        <f>'Leave Record'!A229</f>
        <v>0</v>
      </c>
      <c r="G227" s="38">
        <f>'Leave Record'!B229</f>
        <v>0</v>
      </c>
      <c r="H227" s="23">
        <f t="shared" si="28"/>
        <v>1</v>
      </c>
      <c r="I227" s="23">
        <f t="shared" si="32"/>
        <v>0</v>
      </c>
      <c r="J227" s="42">
        <f t="shared" si="33"/>
        <v>-10.090909090909101</v>
      </c>
      <c r="K227" s="23">
        <f>'Leave Record'!C229</f>
        <v>0</v>
      </c>
    </row>
    <row r="228" spans="1:11" x14ac:dyDescent="0.25">
      <c r="A228" s="38">
        <f t="shared" si="30"/>
        <v>1</v>
      </c>
      <c r="B228" s="38">
        <f>IF(K228=$P$15,$M$4,IF(K228=$P$13,'Leave Entry'!$B$4,F228-1))</f>
        <v>-1</v>
      </c>
      <c r="C228" s="23">
        <f t="shared" si="27"/>
        <v>-1</v>
      </c>
      <c r="D228" s="42">
        <f t="shared" si="29"/>
        <v>-4.5454545454545456E-2</v>
      </c>
      <c r="E228" s="42">
        <f t="shared" si="31"/>
        <v>-10.136363636363646</v>
      </c>
      <c r="F228" s="38">
        <f>'Leave Record'!A230</f>
        <v>0</v>
      </c>
      <c r="G228" s="38">
        <f>'Leave Record'!B230</f>
        <v>0</v>
      </c>
      <c r="H228" s="23">
        <f t="shared" si="28"/>
        <v>1</v>
      </c>
      <c r="I228" s="23">
        <f t="shared" si="32"/>
        <v>0</v>
      </c>
      <c r="J228" s="42">
        <f t="shared" si="33"/>
        <v>-10.136363636363646</v>
      </c>
      <c r="K228" s="23">
        <f>'Leave Record'!C230</f>
        <v>0</v>
      </c>
    </row>
    <row r="229" spans="1:11" x14ac:dyDescent="0.25">
      <c r="A229" s="38">
        <f t="shared" si="30"/>
        <v>1</v>
      </c>
      <c r="B229" s="38">
        <f>IF(K229=$P$15,$M$4,IF(K229=$P$13,'Leave Entry'!$B$4,F229-1))</f>
        <v>-1</v>
      </c>
      <c r="C229" s="23">
        <f t="shared" si="27"/>
        <v>-1</v>
      </c>
      <c r="D229" s="42">
        <f t="shared" si="29"/>
        <v>-4.5454545454545456E-2</v>
      </c>
      <c r="E229" s="42">
        <f t="shared" si="31"/>
        <v>-10.181818181818191</v>
      </c>
      <c r="F229" s="38">
        <f>'Leave Record'!A231</f>
        <v>0</v>
      </c>
      <c r="G229" s="38">
        <f>'Leave Record'!B231</f>
        <v>0</v>
      </c>
      <c r="H229" s="23">
        <f t="shared" si="28"/>
        <v>1</v>
      </c>
      <c r="I229" s="23">
        <f t="shared" si="32"/>
        <v>0</v>
      </c>
      <c r="J229" s="42">
        <f t="shared" si="33"/>
        <v>-10.181818181818191</v>
      </c>
      <c r="K229" s="23">
        <f>'Leave Record'!C231</f>
        <v>0</v>
      </c>
    </row>
    <row r="230" spans="1:11" x14ac:dyDescent="0.25">
      <c r="A230" s="38">
        <f t="shared" si="30"/>
        <v>1</v>
      </c>
      <c r="B230" s="38">
        <f>IF(K230=$P$15,$M$4,IF(K230=$P$13,'Leave Entry'!$B$4,F230-1))</f>
        <v>-1</v>
      </c>
      <c r="C230" s="23">
        <f t="shared" si="27"/>
        <v>-1</v>
      </c>
      <c r="D230" s="42">
        <f t="shared" si="29"/>
        <v>-4.5454545454545456E-2</v>
      </c>
      <c r="E230" s="42">
        <f t="shared" si="31"/>
        <v>-10.227272727272736</v>
      </c>
      <c r="F230" s="38">
        <f>'Leave Record'!A232</f>
        <v>0</v>
      </c>
      <c r="G230" s="38">
        <f>'Leave Record'!B232</f>
        <v>0</v>
      </c>
      <c r="H230" s="23">
        <f t="shared" si="28"/>
        <v>1</v>
      </c>
      <c r="I230" s="23">
        <f t="shared" si="32"/>
        <v>0</v>
      </c>
      <c r="J230" s="42">
        <f t="shared" si="33"/>
        <v>-10.227272727272736</v>
      </c>
      <c r="K230" s="23">
        <f>'Leave Record'!C232</f>
        <v>0</v>
      </c>
    </row>
    <row r="231" spans="1:11" x14ac:dyDescent="0.25">
      <c r="A231" s="38">
        <f t="shared" si="30"/>
        <v>1</v>
      </c>
      <c r="B231" s="38">
        <f>IF(K231=$P$15,$M$4,IF(K231=$P$13,'Leave Entry'!$B$4,F231-1))</f>
        <v>-1</v>
      </c>
      <c r="C231" s="23">
        <f t="shared" si="27"/>
        <v>-1</v>
      </c>
      <c r="D231" s="42">
        <f t="shared" si="29"/>
        <v>-4.5454545454545456E-2</v>
      </c>
      <c r="E231" s="42">
        <f t="shared" si="31"/>
        <v>-10.27272727272728</v>
      </c>
      <c r="F231" s="38">
        <f>'Leave Record'!A233</f>
        <v>0</v>
      </c>
      <c r="G231" s="38">
        <f>'Leave Record'!B233</f>
        <v>0</v>
      </c>
      <c r="H231" s="23">
        <f t="shared" si="28"/>
        <v>1</v>
      </c>
      <c r="I231" s="23">
        <f t="shared" si="32"/>
        <v>0</v>
      </c>
      <c r="J231" s="42">
        <f t="shared" si="33"/>
        <v>-10.27272727272728</v>
      </c>
      <c r="K231" s="23">
        <f>'Leave Record'!C233</f>
        <v>0</v>
      </c>
    </row>
    <row r="232" spans="1:11" x14ac:dyDescent="0.25">
      <c r="A232" s="38">
        <f t="shared" si="30"/>
        <v>1</v>
      </c>
      <c r="B232" s="38">
        <f>IF(K232=$P$15,$M$4,IF(K232=$P$13,'Leave Entry'!$B$4,F232-1))</f>
        <v>-1</v>
      </c>
      <c r="C232" s="23">
        <f t="shared" si="27"/>
        <v>-1</v>
      </c>
      <c r="D232" s="42">
        <f t="shared" si="29"/>
        <v>-4.5454545454545456E-2</v>
      </c>
      <c r="E232" s="42">
        <f t="shared" si="31"/>
        <v>-10.318181818181825</v>
      </c>
      <c r="F232" s="38">
        <f>'Leave Record'!A234</f>
        <v>0</v>
      </c>
      <c r="G232" s="38">
        <f>'Leave Record'!B234</f>
        <v>0</v>
      </c>
      <c r="H232" s="23">
        <f t="shared" si="28"/>
        <v>1</v>
      </c>
      <c r="I232" s="23">
        <f t="shared" si="32"/>
        <v>0</v>
      </c>
      <c r="J232" s="42">
        <f t="shared" si="33"/>
        <v>-10.318181818181825</v>
      </c>
      <c r="K232" s="23">
        <f>'Leave Record'!C234</f>
        <v>0</v>
      </c>
    </row>
    <row r="233" spans="1:11" x14ac:dyDescent="0.25">
      <c r="A233" s="38">
        <f t="shared" si="30"/>
        <v>1</v>
      </c>
      <c r="B233" s="38">
        <f>IF(K233=$P$15,$M$4,IF(K233=$P$13,'Leave Entry'!$B$4,F233-1))</f>
        <v>-1</v>
      </c>
      <c r="C233" s="23">
        <f t="shared" si="27"/>
        <v>-1</v>
      </c>
      <c r="D233" s="42">
        <f t="shared" si="29"/>
        <v>-4.5454545454545456E-2</v>
      </c>
      <c r="E233" s="42">
        <f t="shared" si="31"/>
        <v>-10.36363636363637</v>
      </c>
      <c r="F233" s="38">
        <f>'Leave Record'!A235</f>
        <v>0</v>
      </c>
      <c r="G233" s="38">
        <f>'Leave Record'!B235</f>
        <v>0</v>
      </c>
      <c r="H233" s="23">
        <f t="shared" si="28"/>
        <v>1</v>
      </c>
      <c r="I233" s="23">
        <f t="shared" si="32"/>
        <v>0</v>
      </c>
      <c r="J233" s="42">
        <f t="shared" si="33"/>
        <v>-10.36363636363637</v>
      </c>
      <c r="K233" s="23">
        <f>'Leave Record'!C235</f>
        <v>0</v>
      </c>
    </row>
    <row r="234" spans="1:11" x14ac:dyDescent="0.25">
      <c r="A234" s="38">
        <f t="shared" si="30"/>
        <v>1</v>
      </c>
      <c r="B234" s="38">
        <f>IF(K234=$P$15,$M$4,IF(K234=$P$13,'Leave Entry'!$B$4,F234-1))</f>
        <v>-1</v>
      </c>
      <c r="C234" s="23">
        <f t="shared" si="27"/>
        <v>-1</v>
      </c>
      <c r="D234" s="42">
        <f t="shared" si="29"/>
        <v>-4.5454545454545456E-2</v>
      </c>
      <c r="E234" s="42">
        <f t="shared" si="31"/>
        <v>-10.409090909090915</v>
      </c>
      <c r="F234" s="38">
        <f>'Leave Record'!A236</f>
        <v>0</v>
      </c>
      <c r="G234" s="38">
        <f>'Leave Record'!B236</f>
        <v>0</v>
      </c>
      <c r="H234" s="23">
        <f t="shared" si="28"/>
        <v>1</v>
      </c>
      <c r="I234" s="23">
        <f t="shared" si="32"/>
        <v>0</v>
      </c>
      <c r="J234" s="42">
        <f t="shared" si="33"/>
        <v>-10.409090909090915</v>
      </c>
      <c r="K234" s="23">
        <f>'Leave Record'!C236</f>
        <v>0</v>
      </c>
    </row>
    <row r="235" spans="1:11" x14ac:dyDescent="0.25">
      <c r="A235" s="38">
        <f t="shared" si="30"/>
        <v>1</v>
      </c>
      <c r="B235" s="38">
        <f>IF(K235=$P$15,$M$4,IF(K235=$P$13,'Leave Entry'!$B$4,F235-1))</f>
        <v>-1</v>
      </c>
      <c r="C235" s="23">
        <f t="shared" si="27"/>
        <v>-1</v>
      </c>
      <c r="D235" s="42">
        <f t="shared" si="29"/>
        <v>-4.5454545454545456E-2</v>
      </c>
      <c r="E235" s="42">
        <f t="shared" si="31"/>
        <v>-10.45454545454546</v>
      </c>
      <c r="F235" s="38">
        <f>'Leave Record'!A237</f>
        <v>0</v>
      </c>
      <c r="G235" s="38">
        <f>'Leave Record'!B237</f>
        <v>0</v>
      </c>
      <c r="H235" s="23">
        <f t="shared" si="28"/>
        <v>1</v>
      </c>
      <c r="I235" s="23">
        <f t="shared" si="32"/>
        <v>0</v>
      </c>
      <c r="J235" s="42">
        <f t="shared" si="33"/>
        <v>-10.45454545454546</v>
      </c>
      <c r="K235" s="23">
        <f>'Leave Record'!C237</f>
        <v>0</v>
      </c>
    </row>
    <row r="236" spans="1:11" x14ac:dyDescent="0.25">
      <c r="A236" s="38">
        <f t="shared" si="30"/>
        <v>1</v>
      </c>
      <c r="B236" s="38">
        <f>IF(K236=$P$15,$M$4,IF(K236=$P$13,'Leave Entry'!$B$4,F236-1))</f>
        <v>-1</v>
      </c>
      <c r="C236" s="23">
        <f t="shared" si="27"/>
        <v>-1</v>
      </c>
      <c r="D236" s="42">
        <f t="shared" si="29"/>
        <v>-4.5454545454545456E-2</v>
      </c>
      <c r="E236" s="42">
        <f t="shared" si="31"/>
        <v>-10.500000000000005</v>
      </c>
      <c r="F236" s="38">
        <f>'Leave Record'!A238</f>
        <v>0</v>
      </c>
      <c r="G236" s="38">
        <f>'Leave Record'!B238</f>
        <v>0</v>
      </c>
      <c r="H236" s="23">
        <f t="shared" si="28"/>
        <v>1</v>
      </c>
      <c r="I236" s="23">
        <f t="shared" si="32"/>
        <v>0</v>
      </c>
      <c r="J236" s="42">
        <f t="shared" si="33"/>
        <v>-10.500000000000005</v>
      </c>
      <c r="K236" s="23">
        <f>'Leave Record'!C238</f>
        <v>0</v>
      </c>
    </row>
    <row r="237" spans="1:11" x14ac:dyDescent="0.25">
      <c r="A237" s="38">
        <f t="shared" si="30"/>
        <v>1</v>
      </c>
      <c r="B237" s="38">
        <f>IF(K237=$P$15,$M$4,IF(K237=$P$13,'Leave Entry'!$B$4,F237-1))</f>
        <v>-1</v>
      </c>
      <c r="C237" s="23">
        <f t="shared" si="27"/>
        <v>-1</v>
      </c>
      <c r="D237" s="42">
        <f t="shared" si="29"/>
        <v>-4.5454545454545456E-2</v>
      </c>
      <c r="E237" s="42">
        <f t="shared" si="31"/>
        <v>-10.54545454545455</v>
      </c>
      <c r="F237" s="38">
        <f>'Leave Record'!A239</f>
        <v>0</v>
      </c>
      <c r="G237" s="38">
        <f>'Leave Record'!B239</f>
        <v>0</v>
      </c>
      <c r="H237" s="23">
        <f t="shared" si="28"/>
        <v>1</v>
      </c>
      <c r="I237" s="23">
        <f t="shared" si="32"/>
        <v>0</v>
      </c>
      <c r="J237" s="42">
        <f t="shared" si="33"/>
        <v>-10.54545454545455</v>
      </c>
      <c r="K237" s="23">
        <f>'Leave Record'!C239</f>
        <v>0</v>
      </c>
    </row>
    <row r="238" spans="1:11" x14ac:dyDescent="0.25">
      <c r="A238" s="38">
        <f t="shared" si="30"/>
        <v>1</v>
      </c>
      <c r="B238" s="38">
        <f>IF(K238=$P$15,$M$4,IF(K238=$P$13,'Leave Entry'!$B$4,F238-1))</f>
        <v>-1</v>
      </c>
      <c r="C238" s="23">
        <f t="shared" si="27"/>
        <v>-1</v>
      </c>
      <c r="D238" s="42">
        <f t="shared" si="29"/>
        <v>-4.5454545454545456E-2</v>
      </c>
      <c r="E238" s="42">
        <f t="shared" si="31"/>
        <v>-10.590909090909095</v>
      </c>
      <c r="F238" s="38">
        <f>'Leave Record'!A240</f>
        <v>0</v>
      </c>
      <c r="G238" s="38">
        <f>'Leave Record'!B240</f>
        <v>0</v>
      </c>
      <c r="H238" s="23">
        <f t="shared" si="28"/>
        <v>1</v>
      </c>
      <c r="I238" s="23">
        <f t="shared" si="32"/>
        <v>0</v>
      </c>
      <c r="J238" s="42">
        <f t="shared" si="33"/>
        <v>-10.590909090909095</v>
      </c>
      <c r="K238" s="23">
        <f>'Leave Record'!C240</f>
        <v>0</v>
      </c>
    </row>
    <row r="239" spans="1:11" x14ac:dyDescent="0.25">
      <c r="A239" s="38">
        <f t="shared" si="30"/>
        <v>1</v>
      </c>
      <c r="B239" s="38">
        <f>IF(K239=$P$15,$M$4,IF(K239=$P$13,'Leave Entry'!$B$4,F239-1))</f>
        <v>-1</v>
      </c>
      <c r="C239" s="23">
        <f t="shared" si="27"/>
        <v>-1</v>
      </c>
      <c r="D239" s="42">
        <f t="shared" si="29"/>
        <v>-4.5454545454545456E-2</v>
      </c>
      <c r="E239" s="42">
        <f t="shared" si="31"/>
        <v>-10.63636363636364</v>
      </c>
      <c r="F239" s="38">
        <f>'Leave Record'!A241</f>
        <v>0</v>
      </c>
      <c r="G239" s="38">
        <f>'Leave Record'!B241</f>
        <v>0</v>
      </c>
      <c r="H239" s="23">
        <f t="shared" si="28"/>
        <v>1</v>
      </c>
      <c r="I239" s="23">
        <f t="shared" si="32"/>
        <v>0</v>
      </c>
      <c r="J239" s="42">
        <f t="shared" si="33"/>
        <v>-10.63636363636364</v>
      </c>
      <c r="K239" s="23">
        <f>'Leave Record'!C241</f>
        <v>0</v>
      </c>
    </row>
    <row r="240" spans="1:11" x14ac:dyDescent="0.25">
      <c r="A240" s="38">
        <f t="shared" si="30"/>
        <v>1</v>
      </c>
      <c r="B240" s="38">
        <f>IF(K240=$P$15,$M$4,IF(K240=$P$13,'Leave Entry'!$B$4,F240-1))</f>
        <v>-1</v>
      </c>
      <c r="C240" s="23">
        <f t="shared" si="27"/>
        <v>-1</v>
      </c>
      <c r="D240" s="42">
        <f t="shared" si="29"/>
        <v>-4.5454545454545456E-2</v>
      </c>
      <c r="E240" s="42">
        <f t="shared" si="31"/>
        <v>-10.681818181818185</v>
      </c>
      <c r="F240" s="38">
        <f>'Leave Record'!A242</f>
        <v>0</v>
      </c>
      <c r="G240" s="38">
        <f>'Leave Record'!B242</f>
        <v>0</v>
      </c>
      <c r="H240" s="23">
        <f t="shared" si="28"/>
        <v>1</v>
      </c>
      <c r="I240" s="23">
        <f t="shared" si="32"/>
        <v>0</v>
      </c>
      <c r="J240" s="42">
        <f t="shared" si="33"/>
        <v>-10.681818181818185</v>
      </c>
      <c r="K240" s="23">
        <f>'Leave Record'!C242</f>
        <v>0</v>
      </c>
    </row>
    <row r="241" spans="1:11" x14ac:dyDescent="0.25">
      <c r="A241" s="38">
        <f t="shared" si="30"/>
        <v>1</v>
      </c>
      <c r="B241" s="38">
        <f>IF(K241=$P$15,$M$4,IF(K241=$P$13,'Leave Entry'!$B$4,F241-1))</f>
        <v>-1</v>
      </c>
      <c r="C241" s="23">
        <f t="shared" si="27"/>
        <v>-1</v>
      </c>
      <c r="D241" s="42">
        <f t="shared" si="29"/>
        <v>-4.5454545454545456E-2</v>
      </c>
      <c r="E241" s="42">
        <f t="shared" si="31"/>
        <v>-10.72727272727273</v>
      </c>
      <c r="F241" s="38">
        <f>'Leave Record'!A243</f>
        <v>0</v>
      </c>
      <c r="G241" s="38">
        <f>'Leave Record'!B243</f>
        <v>0</v>
      </c>
      <c r="H241" s="23">
        <f t="shared" si="28"/>
        <v>1</v>
      </c>
      <c r="I241" s="23">
        <f t="shared" si="32"/>
        <v>0</v>
      </c>
      <c r="J241" s="42">
        <f t="shared" si="33"/>
        <v>-10.72727272727273</v>
      </c>
      <c r="K241" s="23">
        <f>'Leave Record'!C243</f>
        <v>0</v>
      </c>
    </row>
    <row r="242" spans="1:11" x14ac:dyDescent="0.25">
      <c r="A242" s="38">
        <f t="shared" si="30"/>
        <v>1</v>
      </c>
      <c r="B242" s="38">
        <f>IF(K242=$P$15,$M$4,IF(K242=$P$13,'Leave Entry'!$B$4,F242-1))</f>
        <v>-1</v>
      </c>
      <c r="C242" s="23">
        <f t="shared" si="27"/>
        <v>-1</v>
      </c>
      <c r="D242" s="42">
        <f t="shared" si="29"/>
        <v>-4.5454545454545456E-2</v>
      </c>
      <c r="E242" s="42">
        <f t="shared" si="31"/>
        <v>-10.772727272727275</v>
      </c>
      <c r="F242" s="38">
        <f>'Leave Record'!A244</f>
        <v>0</v>
      </c>
      <c r="G242" s="38">
        <f>'Leave Record'!B244</f>
        <v>0</v>
      </c>
      <c r="H242" s="23">
        <f t="shared" si="28"/>
        <v>1</v>
      </c>
      <c r="I242" s="23">
        <f t="shared" si="32"/>
        <v>0</v>
      </c>
      <c r="J242" s="42">
        <f t="shared" si="33"/>
        <v>-10.772727272727275</v>
      </c>
      <c r="K242" s="23">
        <f>'Leave Record'!C244</f>
        <v>0</v>
      </c>
    </row>
    <row r="243" spans="1:11" x14ac:dyDescent="0.25">
      <c r="A243" s="38">
        <f t="shared" si="30"/>
        <v>1</v>
      </c>
      <c r="B243" s="38">
        <f>IF(K243=$P$15,$M$4,IF(K243=$P$13,'Leave Entry'!$B$4,F243-1))</f>
        <v>-1</v>
      </c>
      <c r="C243" s="23">
        <f t="shared" si="27"/>
        <v>-1</v>
      </c>
      <c r="D243" s="42">
        <f t="shared" si="29"/>
        <v>-4.5454545454545456E-2</v>
      </c>
      <c r="E243" s="42">
        <f t="shared" si="31"/>
        <v>-10.81818181818182</v>
      </c>
      <c r="F243" s="38">
        <f>'Leave Record'!A245</f>
        <v>0</v>
      </c>
      <c r="G243" s="38">
        <f>'Leave Record'!B245</f>
        <v>0</v>
      </c>
      <c r="H243" s="23">
        <f t="shared" si="28"/>
        <v>1</v>
      </c>
      <c r="I243" s="23">
        <f t="shared" si="32"/>
        <v>0</v>
      </c>
      <c r="J243" s="42">
        <f t="shared" si="33"/>
        <v>-10.81818181818182</v>
      </c>
      <c r="K243" s="23">
        <f>'Leave Record'!C245</f>
        <v>0</v>
      </c>
    </row>
    <row r="244" spans="1:11" x14ac:dyDescent="0.25">
      <c r="A244" s="38">
        <f t="shared" si="30"/>
        <v>1</v>
      </c>
      <c r="B244" s="38">
        <f>IF(K244=$P$15,$M$4,IF(K244=$P$13,'Leave Entry'!$B$4,F244-1))</f>
        <v>-1</v>
      </c>
      <c r="C244" s="23">
        <f t="shared" si="27"/>
        <v>-1</v>
      </c>
      <c r="D244" s="42">
        <f t="shared" si="29"/>
        <v>-4.5454545454545456E-2</v>
      </c>
      <c r="E244" s="42">
        <f t="shared" si="31"/>
        <v>-10.863636363636365</v>
      </c>
      <c r="F244" s="38">
        <f>'Leave Record'!A246</f>
        <v>0</v>
      </c>
      <c r="G244" s="38">
        <f>'Leave Record'!B246</f>
        <v>0</v>
      </c>
      <c r="H244" s="23">
        <f t="shared" si="28"/>
        <v>1</v>
      </c>
      <c r="I244" s="23">
        <f t="shared" si="32"/>
        <v>0</v>
      </c>
      <c r="J244" s="42">
        <f t="shared" si="33"/>
        <v>-10.863636363636365</v>
      </c>
      <c r="K244" s="23">
        <f>'Leave Record'!C246</f>
        <v>0</v>
      </c>
    </row>
    <row r="245" spans="1:11" x14ac:dyDescent="0.25">
      <c r="A245" s="38">
        <f t="shared" si="30"/>
        <v>1</v>
      </c>
      <c r="B245" s="38">
        <f>IF(K245=$P$15,$M$4,IF(K245=$P$13,'Leave Entry'!$B$4,F245-1))</f>
        <v>-1</v>
      </c>
      <c r="C245" s="23">
        <f t="shared" si="27"/>
        <v>-1</v>
      </c>
      <c r="D245" s="42">
        <f t="shared" si="29"/>
        <v>-4.5454545454545456E-2</v>
      </c>
      <c r="E245" s="42">
        <f t="shared" si="31"/>
        <v>-10.90909090909091</v>
      </c>
      <c r="F245" s="38">
        <f>'Leave Record'!A247</f>
        <v>0</v>
      </c>
      <c r="G245" s="38">
        <f>'Leave Record'!B247</f>
        <v>0</v>
      </c>
      <c r="H245" s="23">
        <f t="shared" si="28"/>
        <v>1</v>
      </c>
      <c r="I245" s="23">
        <f t="shared" si="32"/>
        <v>0</v>
      </c>
      <c r="J245" s="42">
        <f t="shared" si="33"/>
        <v>-10.90909090909091</v>
      </c>
      <c r="K245" s="23">
        <f>'Leave Record'!C247</f>
        <v>0</v>
      </c>
    </row>
    <row r="246" spans="1:11" x14ac:dyDescent="0.25">
      <c r="A246" s="38">
        <f t="shared" si="30"/>
        <v>1</v>
      </c>
      <c r="B246" s="38">
        <f>IF(K246=$P$15,$M$4,IF(K246=$P$13,'Leave Entry'!$B$4,F246-1))</f>
        <v>-1</v>
      </c>
      <c r="C246" s="23">
        <f t="shared" si="27"/>
        <v>-1</v>
      </c>
      <c r="D246" s="42">
        <f t="shared" si="29"/>
        <v>-4.5454545454545456E-2</v>
      </c>
      <c r="E246" s="42">
        <f t="shared" si="31"/>
        <v>-10.954545454545455</v>
      </c>
      <c r="F246" s="38">
        <f>'Leave Record'!A248</f>
        <v>0</v>
      </c>
      <c r="G246" s="38">
        <f>'Leave Record'!B248</f>
        <v>0</v>
      </c>
      <c r="H246" s="23">
        <f t="shared" si="28"/>
        <v>1</v>
      </c>
      <c r="I246" s="23">
        <f t="shared" si="32"/>
        <v>0</v>
      </c>
      <c r="J246" s="42">
        <f t="shared" si="33"/>
        <v>-10.954545454545455</v>
      </c>
      <c r="K246" s="23">
        <f>'Leave Record'!C248</f>
        <v>0</v>
      </c>
    </row>
    <row r="247" spans="1:11" x14ac:dyDescent="0.25">
      <c r="A247" s="38">
        <f t="shared" si="30"/>
        <v>1</v>
      </c>
      <c r="B247" s="38">
        <f>IF(K247=$P$15,$M$4,IF(K247=$P$13,'Leave Entry'!$B$4,F247-1))</f>
        <v>-1</v>
      </c>
      <c r="C247" s="23">
        <f t="shared" si="27"/>
        <v>-1</v>
      </c>
      <c r="D247" s="42">
        <f t="shared" si="29"/>
        <v>-4.5454545454545456E-2</v>
      </c>
      <c r="E247" s="42">
        <f t="shared" si="31"/>
        <v>-11</v>
      </c>
      <c r="F247" s="38">
        <f>'Leave Record'!A249</f>
        <v>0</v>
      </c>
      <c r="G247" s="38">
        <f>'Leave Record'!B249</f>
        <v>0</v>
      </c>
      <c r="H247" s="23">
        <f t="shared" si="28"/>
        <v>1</v>
      </c>
      <c r="I247" s="23">
        <f t="shared" si="32"/>
        <v>0</v>
      </c>
      <c r="J247" s="42">
        <f t="shared" si="33"/>
        <v>-11</v>
      </c>
      <c r="K247" s="23">
        <f>'Leave Record'!C249</f>
        <v>0</v>
      </c>
    </row>
    <row r="248" spans="1:11" x14ac:dyDescent="0.25">
      <c r="A248" s="38">
        <f t="shared" si="30"/>
        <v>1</v>
      </c>
      <c r="B248" s="38">
        <f>IF(K248=$P$15,$M$4,IF(K248=$P$13,'Leave Entry'!$B$4,F248-1))</f>
        <v>-1</v>
      </c>
      <c r="C248" s="23">
        <f t="shared" si="27"/>
        <v>-1</v>
      </c>
      <c r="D248" s="42">
        <f t="shared" si="29"/>
        <v>-4.5454545454545456E-2</v>
      </c>
      <c r="E248" s="42">
        <f t="shared" si="31"/>
        <v>-11.045454545454545</v>
      </c>
      <c r="F248" s="38">
        <f>'Leave Record'!A250</f>
        <v>0</v>
      </c>
      <c r="G248" s="38">
        <f>'Leave Record'!B250</f>
        <v>0</v>
      </c>
      <c r="H248" s="23">
        <f t="shared" si="28"/>
        <v>1</v>
      </c>
      <c r="I248" s="23">
        <f t="shared" si="32"/>
        <v>0</v>
      </c>
      <c r="J248" s="42">
        <f t="shared" si="33"/>
        <v>-11.045454545454545</v>
      </c>
      <c r="K248" s="23">
        <f>'Leave Record'!C250</f>
        <v>0</v>
      </c>
    </row>
    <row r="249" spans="1:11" x14ac:dyDescent="0.25">
      <c r="A249" s="38">
        <f t="shared" si="30"/>
        <v>1</v>
      </c>
      <c r="B249" s="38">
        <f>IF(K249=$P$15,$M$4,IF(K249=$P$13,'Leave Entry'!$B$4,F249-1))</f>
        <v>-1</v>
      </c>
      <c r="C249" s="23">
        <f t="shared" si="27"/>
        <v>-1</v>
      </c>
      <c r="D249" s="42">
        <f t="shared" si="29"/>
        <v>-4.5454545454545456E-2</v>
      </c>
      <c r="E249" s="42">
        <f t="shared" si="31"/>
        <v>-11.09090909090909</v>
      </c>
      <c r="F249" s="38">
        <f>'Leave Record'!A251</f>
        <v>0</v>
      </c>
      <c r="G249" s="38">
        <f>'Leave Record'!B251</f>
        <v>0</v>
      </c>
      <c r="H249" s="23">
        <f t="shared" si="28"/>
        <v>1</v>
      </c>
      <c r="I249" s="23">
        <f t="shared" si="32"/>
        <v>0</v>
      </c>
      <c r="J249" s="42">
        <f t="shared" si="33"/>
        <v>-11.09090909090909</v>
      </c>
      <c r="K249" s="23">
        <f>'Leave Record'!C251</f>
        <v>0</v>
      </c>
    </row>
    <row r="250" spans="1:11" x14ac:dyDescent="0.25">
      <c r="A250" s="38">
        <f t="shared" si="30"/>
        <v>1</v>
      </c>
      <c r="B250" s="38">
        <f>IF(K250=$P$15,$M$4,IF(K250=$P$13,'Leave Entry'!$B$4,F250-1))</f>
        <v>-1</v>
      </c>
      <c r="C250" s="23">
        <f t="shared" si="27"/>
        <v>-1</v>
      </c>
      <c r="D250" s="42">
        <f t="shared" si="29"/>
        <v>-4.5454545454545456E-2</v>
      </c>
      <c r="E250" s="42">
        <f t="shared" si="31"/>
        <v>-11.136363636363635</v>
      </c>
      <c r="F250" s="38">
        <f>'Leave Record'!A252</f>
        <v>0</v>
      </c>
      <c r="G250" s="38">
        <f>'Leave Record'!B252</f>
        <v>0</v>
      </c>
      <c r="H250" s="23">
        <f t="shared" si="28"/>
        <v>1</v>
      </c>
      <c r="I250" s="23">
        <f t="shared" si="32"/>
        <v>0</v>
      </c>
      <c r="J250" s="42">
        <f t="shared" si="33"/>
        <v>-11.136363636363635</v>
      </c>
      <c r="K250" s="23">
        <f>'Leave Record'!C252</f>
        <v>0</v>
      </c>
    </row>
    <row r="251" spans="1:11" x14ac:dyDescent="0.25">
      <c r="A251" s="38">
        <f t="shared" si="30"/>
        <v>1</v>
      </c>
      <c r="B251" s="38">
        <f>IF(K251=$P$15,$M$4,IF(K251=$P$13,'Leave Entry'!$B$4,F251-1))</f>
        <v>-1</v>
      </c>
      <c r="C251" s="23">
        <f t="shared" si="27"/>
        <v>-1</v>
      </c>
      <c r="D251" s="42">
        <f t="shared" si="29"/>
        <v>-4.5454545454545456E-2</v>
      </c>
      <c r="E251" s="42">
        <f t="shared" si="31"/>
        <v>-11.18181818181818</v>
      </c>
      <c r="F251" s="38">
        <f>'Leave Record'!A253</f>
        <v>0</v>
      </c>
      <c r="G251" s="38">
        <f>'Leave Record'!B253</f>
        <v>0</v>
      </c>
      <c r="H251" s="23">
        <f t="shared" si="28"/>
        <v>1</v>
      </c>
      <c r="I251" s="23">
        <f t="shared" si="32"/>
        <v>0</v>
      </c>
      <c r="J251" s="42">
        <f t="shared" si="33"/>
        <v>-11.18181818181818</v>
      </c>
      <c r="K251" s="23">
        <f>'Leave Record'!C253</f>
        <v>0</v>
      </c>
    </row>
    <row r="252" spans="1:11" x14ac:dyDescent="0.25">
      <c r="A252" s="38">
        <f t="shared" si="30"/>
        <v>1</v>
      </c>
      <c r="B252" s="38">
        <f>IF(K252=$P$15,$M$4,IF(K252=$P$13,'Leave Entry'!$B$4,F252-1))</f>
        <v>-1</v>
      </c>
      <c r="C252" s="23">
        <f t="shared" si="27"/>
        <v>-1</v>
      </c>
      <c r="D252" s="42">
        <f t="shared" si="29"/>
        <v>-4.5454545454545456E-2</v>
      </c>
      <c r="E252" s="42">
        <f t="shared" si="31"/>
        <v>-11.227272727272725</v>
      </c>
      <c r="F252" s="38">
        <f>'Leave Record'!A254</f>
        <v>0</v>
      </c>
      <c r="G252" s="38">
        <f>'Leave Record'!B254</f>
        <v>0</v>
      </c>
      <c r="H252" s="23">
        <f t="shared" si="28"/>
        <v>1</v>
      </c>
      <c r="I252" s="23">
        <f t="shared" si="32"/>
        <v>0</v>
      </c>
      <c r="J252" s="42">
        <f t="shared" si="33"/>
        <v>-11.227272727272725</v>
      </c>
      <c r="K252" s="23">
        <f>'Leave Record'!C254</f>
        <v>0</v>
      </c>
    </row>
    <row r="253" spans="1:11" x14ac:dyDescent="0.25">
      <c r="A253" s="38">
        <f t="shared" si="30"/>
        <v>1</v>
      </c>
      <c r="B253" s="38">
        <f>IF(K253=$P$15,$M$4,IF(K253=$P$13,'Leave Entry'!$B$4,F253-1))</f>
        <v>-1</v>
      </c>
      <c r="C253" s="23">
        <f t="shared" si="27"/>
        <v>-1</v>
      </c>
      <c r="D253" s="42">
        <f t="shared" si="29"/>
        <v>-4.5454545454545456E-2</v>
      </c>
      <c r="E253" s="42">
        <f t="shared" si="31"/>
        <v>-11.27272727272727</v>
      </c>
      <c r="F253" s="38">
        <f>'Leave Record'!A255</f>
        <v>0</v>
      </c>
      <c r="G253" s="38">
        <f>'Leave Record'!B255</f>
        <v>0</v>
      </c>
      <c r="H253" s="23">
        <f t="shared" si="28"/>
        <v>1</v>
      </c>
      <c r="I253" s="23">
        <f t="shared" si="32"/>
        <v>0</v>
      </c>
      <c r="J253" s="42">
        <f t="shared" si="33"/>
        <v>-11.27272727272727</v>
      </c>
      <c r="K253" s="23">
        <f>'Leave Record'!C255</f>
        <v>0</v>
      </c>
    </row>
    <row r="254" spans="1:11" x14ac:dyDescent="0.25">
      <c r="A254" s="38">
        <f t="shared" si="30"/>
        <v>1</v>
      </c>
      <c r="B254" s="38">
        <f>IF(K254=$P$15,$M$4,IF(K254=$P$13,'Leave Entry'!$B$4,F254-1))</f>
        <v>-1</v>
      </c>
      <c r="C254" s="23">
        <f t="shared" si="27"/>
        <v>-1</v>
      </c>
      <c r="D254" s="42">
        <f t="shared" si="29"/>
        <v>-4.5454545454545456E-2</v>
      </c>
      <c r="E254" s="42">
        <f t="shared" si="31"/>
        <v>-11.318181818181815</v>
      </c>
      <c r="F254" s="38">
        <f>'Leave Record'!A256</f>
        <v>0</v>
      </c>
      <c r="G254" s="38">
        <f>'Leave Record'!B256</f>
        <v>0</v>
      </c>
      <c r="H254" s="23">
        <f t="shared" si="28"/>
        <v>1</v>
      </c>
      <c r="I254" s="23">
        <f t="shared" si="32"/>
        <v>0</v>
      </c>
      <c r="J254" s="42">
        <f t="shared" si="33"/>
        <v>-11.318181818181815</v>
      </c>
      <c r="K254" s="23">
        <f>'Leave Record'!C256</f>
        <v>0</v>
      </c>
    </row>
    <row r="255" spans="1:11" x14ac:dyDescent="0.25">
      <c r="A255" s="38">
        <f t="shared" si="30"/>
        <v>1</v>
      </c>
      <c r="B255" s="38">
        <f>IF(K255=$P$15,$M$4,IF(K255=$P$13,'Leave Entry'!$B$4,F255-1))</f>
        <v>-1</v>
      </c>
      <c r="C255" s="23">
        <f t="shared" si="27"/>
        <v>-1</v>
      </c>
      <c r="D255" s="42">
        <f t="shared" si="29"/>
        <v>-4.5454545454545456E-2</v>
      </c>
      <c r="E255" s="42">
        <f t="shared" si="31"/>
        <v>-11.36363636363636</v>
      </c>
      <c r="F255" s="38">
        <f>'Leave Record'!A257</f>
        <v>0</v>
      </c>
      <c r="G255" s="38">
        <f>'Leave Record'!B257</f>
        <v>0</v>
      </c>
      <c r="H255" s="23">
        <f t="shared" si="28"/>
        <v>1</v>
      </c>
      <c r="I255" s="23">
        <f t="shared" si="32"/>
        <v>0</v>
      </c>
      <c r="J255" s="42">
        <f t="shared" si="33"/>
        <v>-11.36363636363636</v>
      </c>
      <c r="K255" s="23">
        <f>'Leave Record'!C257</f>
        <v>0</v>
      </c>
    </row>
    <row r="256" spans="1:11" x14ac:dyDescent="0.25">
      <c r="A256" s="38">
        <f t="shared" si="30"/>
        <v>1</v>
      </c>
      <c r="B256" s="38">
        <f>IF(K256=$P$15,$M$4,IF(K256=$P$13,'Leave Entry'!$B$4,F256-1))</f>
        <v>-1</v>
      </c>
      <c r="C256" s="23">
        <f t="shared" si="27"/>
        <v>-1</v>
      </c>
      <c r="D256" s="42">
        <f t="shared" si="29"/>
        <v>-4.5454545454545456E-2</v>
      </c>
      <c r="E256" s="42">
        <f t="shared" si="31"/>
        <v>-11.409090909090905</v>
      </c>
      <c r="F256" s="38">
        <f>'Leave Record'!A258</f>
        <v>0</v>
      </c>
      <c r="G256" s="38">
        <f>'Leave Record'!B258</f>
        <v>0</v>
      </c>
      <c r="H256" s="23">
        <f t="shared" si="28"/>
        <v>1</v>
      </c>
      <c r="I256" s="23">
        <f t="shared" si="32"/>
        <v>0</v>
      </c>
      <c r="J256" s="42">
        <f t="shared" si="33"/>
        <v>-11.409090909090905</v>
      </c>
      <c r="K256" s="23">
        <f>'Leave Record'!C258</f>
        <v>0</v>
      </c>
    </row>
    <row r="257" spans="1:11" x14ac:dyDescent="0.25">
      <c r="A257" s="38">
        <f t="shared" si="30"/>
        <v>1</v>
      </c>
      <c r="B257" s="38">
        <f>IF(K257=$P$15,$M$4,IF(K257=$P$13,'Leave Entry'!$B$4,F257-1))</f>
        <v>-1</v>
      </c>
      <c r="C257" s="23">
        <f t="shared" si="27"/>
        <v>-1</v>
      </c>
      <c r="D257" s="42">
        <f t="shared" si="29"/>
        <v>-4.5454545454545456E-2</v>
      </c>
      <c r="E257" s="42">
        <f t="shared" si="31"/>
        <v>-11.45454545454545</v>
      </c>
      <c r="F257" s="38">
        <f>'Leave Record'!A259</f>
        <v>0</v>
      </c>
      <c r="G257" s="38">
        <f>'Leave Record'!B259</f>
        <v>0</v>
      </c>
      <c r="H257" s="23">
        <f t="shared" si="28"/>
        <v>1</v>
      </c>
      <c r="I257" s="23">
        <f t="shared" si="32"/>
        <v>0</v>
      </c>
      <c r="J257" s="42">
        <f t="shared" si="33"/>
        <v>-11.45454545454545</v>
      </c>
      <c r="K257" s="23">
        <f>'Leave Record'!C259</f>
        <v>0</v>
      </c>
    </row>
    <row r="258" spans="1:11" x14ac:dyDescent="0.25">
      <c r="A258" s="38">
        <f t="shared" si="30"/>
        <v>1</v>
      </c>
      <c r="B258" s="38">
        <f>IF(K258=$P$15,$M$4,IF(K258=$P$13,'Leave Entry'!$B$4,F258-1))</f>
        <v>-1</v>
      </c>
      <c r="C258" s="23">
        <f t="shared" si="27"/>
        <v>-1</v>
      </c>
      <c r="D258" s="42">
        <f t="shared" si="29"/>
        <v>-4.5454545454545456E-2</v>
      </c>
      <c r="E258" s="42">
        <f t="shared" si="31"/>
        <v>-11.499999999999995</v>
      </c>
      <c r="F258" s="38">
        <f>'Leave Record'!A260</f>
        <v>0</v>
      </c>
      <c r="G258" s="38">
        <f>'Leave Record'!B260</f>
        <v>0</v>
      </c>
      <c r="H258" s="23">
        <f t="shared" si="28"/>
        <v>1</v>
      </c>
      <c r="I258" s="23">
        <f t="shared" si="32"/>
        <v>0</v>
      </c>
      <c r="J258" s="42">
        <f t="shared" si="33"/>
        <v>-11.499999999999995</v>
      </c>
      <c r="K258" s="23">
        <f>'Leave Record'!C260</f>
        <v>0</v>
      </c>
    </row>
    <row r="259" spans="1:11" x14ac:dyDescent="0.25">
      <c r="A259" s="38">
        <f t="shared" si="30"/>
        <v>1</v>
      </c>
      <c r="B259" s="38">
        <f>IF(K259=$P$15,$M$4,IF(K259=$P$13,'Leave Entry'!$B$4,F259-1))</f>
        <v>-1</v>
      </c>
      <c r="C259" s="23">
        <f t="shared" si="27"/>
        <v>-1</v>
      </c>
      <c r="D259" s="42">
        <f t="shared" si="29"/>
        <v>-4.5454545454545456E-2</v>
      </c>
      <c r="E259" s="42">
        <f t="shared" si="31"/>
        <v>-11.54545454545454</v>
      </c>
      <c r="F259" s="38">
        <f>'Leave Record'!A261</f>
        <v>0</v>
      </c>
      <c r="G259" s="38">
        <f>'Leave Record'!B261</f>
        <v>0</v>
      </c>
      <c r="H259" s="23">
        <f t="shared" si="28"/>
        <v>1</v>
      </c>
      <c r="I259" s="23">
        <f t="shared" si="32"/>
        <v>0</v>
      </c>
      <c r="J259" s="42">
        <f t="shared" si="33"/>
        <v>-11.54545454545454</v>
      </c>
      <c r="K259" s="23">
        <f>'Leave Record'!C261</f>
        <v>0</v>
      </c>
    </row>
    <row r="260" spans="1:11" x14ac:dyDescent="0.25">
      <c r="A260" s="38">
        <f t="shared" si="30"/>
        <v>1</v>
      </c>
      <c r="B260" s="38">
        <f>IF(K260=$P$15,$M$4,IF(K260=$P$13,'Leave Entry'!$B$4,F260-1))</f>
        <v>-1</v>
      </c>
      <c r="C260" s="23">
        <f t="shared" si="27"/>
        <v>-1</v>
      </c>
      <c r="D260" s="42">
        <f t="shared" si="29"/>
        <v>-4.5454545454545456E-2</v>
      </c>
      <c r="E260" s="42">
        <f t="shared" si="31"/>
        <v>-11.590909090909085</v>
      </c>
      <c r="F260" s="38">
        <f>'Leave Record'!A262</f>
        <v>0</v>
      </c>
      <c r="G260" s="38">
        <f>'Leave Record'!B262</f>
        <v>0</v>
      </c>
      <c r="H260" s="23">
        <f t="shared" si="28"/>
        <v>1</v>
      </c>
      <c r="I260" s="23">
        <f t="shared" si="32"/>
        <v>0</v>
      </c>
      <c r="J260" s="42">
        <f t="shared" si="33"/>
        <v>-11.590909090909085</v>
      </c>
      <c r="K260" s="23">
        <f>'Leave Record'!C262</f>
        <v>0</v>
      </c>
    </row>
    <row r="261" spans="1:11" x14ac:dyDescent="0.25">
      <c r="A261" s="38">
        <f t="shared" si="30"/>
        <v>1</v>
      </c>
      <c r="B261" s="38">
        <f>IF(K261=$P$15,$M$4,IF(K261=$P$13,'Leave Entry'!$B$4,F261-1))</f>
        <v>-1</v>
      </c>
      <c r="C261" s="23">
        <f t="shared" si="27"/>
        <v>-1</v>
      </c>
      <c r="D261" s="42">
        <f t="shared" si="29"/>
        <v>-4.5454545454545456E-2</v>
      </c>
      <c r="E261" s="42">
        <f t="shared" si="31"/>
        <v>-11.63636363636363</v>
      </c>
      <c r="F261" s="38">
        <f>'Leave Record'!A263</f>
        <v>0</v>
      </c>
      <c r="G261" s="38">
        <f>'Leave Record'!B263</f>
        <v>0</v>
      </c>
      <c r="H261" s="23">
        <f t="shared" si="28"/>
        <v>1</v>
      </c>
      <c r="I261" s="23">
        <f t="shared" si="32"/>
        <v>0</v>
      </c>
      <c r="J261" s="42">
        <f t="shared" si="33"/>
        <v>-11.63636363636363</v>
      </c>
      <c r="K261" s="23">
        <f>'Leave Record'!C263</f>
        <v>0</v>
      </c>
    </row>
    <row r="262" spans="1:11" x14ac:dyDescent="0.25">
      <c r="A262" s="38">
        <f t="shared" si="30"/>
        <v>1</v>
      </c>
      <c r="B262" s="38">
        <f>IF(K262=$P$15,$M$4,IF(K262=$P$13,'Leave Entry'!$B$4,F262-1))</f>
        <v>-1</v>
      </c>
      <c r="C262" s="23">
        <f t="shared" ref="C262:C325" si="34">B262-A262+1</f>
        <v>-1</v>
      </c>
      <c r="D262" s="42">
        <f t="shared" si="29"/>
        <v>-4.5454545454545456E-2</v>
      </c>
      <c r="E262" s="42">
        <f t="shared" si="31"/>
        <v>-11.681818181818175</v>
      </c>
      <c r="F262" s="38">
        <f>'Leave Record'!A264</f>
        <v>0</v>
      </c>
      <c r="G262" s="38">
        <f>'Leave Record'!B264</f>
        <v>0</v>
      </c>
      <c r="H262" s="23">
        <f t="shared" ref="H262:H325" si="35">G262-F262+1</f>
        <v>1</v>
      </c>
      <c r="I262" s="23">
        <f t="shared" si="32"/>
        <v>0</v>
      </c>
      <c r="J262" s="42">
        <f t="shared" si="33"/>
        <v>-11.681818181818175</v>
      </c>
      <c r="K262" s="23">
        <f>'Leave Record'!C264</f>
        <v>0</v>
      </c>
    </row>
    <row r="263" spans="1:11" x14ac:dyDescent="0.25">
      <c r="A263" s="38">
        <f t="shared" si="30"/>
        <v>1</v>
      </c>
      <c r="B263" s="38">
        <f>IF(K263=$P$15,$M$4,IF(K263=$P$13,'Leave Entry'!$B$4,F263-1))</f>
        <v>-1</v>
      </c>
      <c r="C263" s="23">
        <f t="shared" si="34"/>
        <v>-1</v>
      </c>
      <c r="D263" s="42">
        <f t="shared" ref="D263:D326" si="36">C263/22</f>
        <v>-4.5454545454545456E-2</v>
      </c>
      <c r="E263" s="42">
        <f t="shared" si="31"/>
        <v>-11.72727272727272</v>
      </c>
      <c r="F263" s="38">
        <f>'Leave Record'!A265</f>
        <v>0</v>
      </c>
      <c r="G263" s="38">
        <f>'Leave Record'!B265</f>
        <v>0</v>
      </c>
      <c r="H263" s="23">
        <f t="shared" si="35"/>
        <v>1</v>
      </c>
      <c r="I263" s="23">
        <f t="shared" si="32"/>
        <v>0</v>
      </c>
      <c r="J263" s="42">
        <f t="shared" si="33"/>
        <v>-11.72727272727272</v>
      </c>
      <c r="K263" s="23">
        <f>'Leave Record'!C265</f>
        <v>0</v>
      </c>
    </row>
    <row r="264" spans="1:11" x14ac:dyDescent="0.25">
      <c r="A264" s="38">
        <f t="shared" si="30"/>
        <v>1</v>
      </c>
      <c r="B264" s="38">
        <f>IF(K264=$P$15,$M$4,IF(K264=$P$13,'Leave Entry'!$B$4,F264-1))</f>
        <v>-1</v>
      </c>
      <c r="C264" s="23">
        <f t="shared" si="34"/>
        <v>-1</v>
      </c>
      <c r="D264" s="42">
        <f t="shared" si="36"/>
        <v>-4.5454545454545456E-2</v>
      </c>
      <c r="E264" s="42">
        <f t="shared" si="31"/>
        <v>-11.772727272727264</v>
      </c>
      <c r="F264" s="38">
        <f>'Leave Record'!A266</f>
        <v>0</v>
      </c>
      <c r="G264" s="38">
        <f>'Leave Record'!B266</f>
        <v>0</v>
      </c>
      <c r="H264" s="23">
        <f t="shared" si="35"/>
        <v>1</v>
      </c>
      <c r="I264" s="23">
        <f t="shared" si="32"/>
        <v>0</v>
      </c>
      <c r="J264" s="42">
        <f t="shared" si="33"/>
        <v>-11.772727272727264</v>
      </c>
      <c r="K264" s="23">
        <f>'Leave Record'!C266</f>
        <v>0</v>
      </c>
    </row>
    <row r="265" spans="1:11" x14ac:dyDescent="0.25">
      <c r="A265" s="38">
        <f t="shared" ref="A265:A328" si="37">G264+1</f>
        <v>1</v>
      </c>
      <c r="B265" s="38">
        <f>IF(K265=$P$15,$M$4,IF(K265=$P$13,'Leave Entry'!$B$4,F265-1))</f>
        <v>-1</v>
      </c>
      <c r="C265" s="23">
        <f t="shared" si="34"/>
        <v>-1</v>
      </c>
      <c r="D265" s="42">
        <f t="shared" si="36"/>
        <v>-4.5454545454545456E-2</v>
      </c>
      <c r="E265" s="42">
        <f t="shared" ref="E265:E328" si="38">J264+D265</f>
        <v>-11.818181818181809</v>
      </c>
      <c r="F265" s="38">
        <f>'Leave Record'!A267</f>
        <v>0</v>
      </c>
      <c r="G265" s="38">
        <f>'Leave Record'!B267</f>
        <v>0</v>
      </c>
      <c r="H265" s="23">
        <f t="shared" si="35"/>
        <v>1</v>
      </c>
      <c r="I265" s="23">
        <f t="shared" ref="I265:I328" si="39">IF(K265=$P$14,H265,0)</f>
        <v>0</v>
      </c>
      <c r="J265" s="42">
        <f t="shared" ref="J265:J328" si="40">E265-I265</f>
        <v>-11.818181818181809</v>
      </c>
      <c r="K265" s="23">
        <f>'Leave Record'!C267</f>
        <v>0</v>
      </c>
    </row>
    <row r="266" spans="1:11" x14ac:dyDescent="0.25">
      <c r="A266" s="38">
        <f t="shared" si="37"/>
        <v>1</v>
      </c>
      <c r="B266" s="38">
        <f>IF(K266=$P$15,$M$4,IF(K266=$P$13,'Leave Entry'!$B$4,F266-1))</f>
        <v>-1</v>
      </c>
      <c r="C266" s="23">
        <f t="shared" si="34"/>
        <v>-1</v>
      </c>
      <c r="D266" s="42">
        <f t="shared" si="36"/>
        <v>-4.5454545454545456E-2</v>
      </c>
      <c r="E266" s="42">
        <f t="shared" si="38"/>
        <v>-11.863636363636354</v>
      </c>
      <c r="F266" s="38">
        <f>'Leave Record'!A268</f>
        <v>0</v>
      </c>
      <c r="G266" s="38">
        <f>'Leave Record'!B268</f>
        <v>0</v>
      </c>
      <c r="H266" s="23">
        <f t="shared" si="35"/>
        <v>1</v>
      </c>
      <c r="I266" s="23">
        <f t="shared" si="39"/>
        <v>0</v>
      </c>
      <c r="J266" s="42">
        <f t="shared" si="40"/>
        <v>-11.863636363636354</v>
      </c>
      <c r="K266" s="23">
        <f>'Leave Record'!C268</f>
        <v>0</v>
      </c>
    </row>
    <row r="267" spans="1:11" x14ac:dyDescent="0.25">
      <c r="A267" s="38">
        <f t="shared" si="37"/>
        <v>1</v>
      </c>
      <c r="B267" s="38">
        <f>IF(K267=$P$15,$M$4,IF(K267=$P$13,'Leave Entry'!$B$4,F267-1))</f>
        <v>-1</v>
      </c>
      <c r="C267" s="23">
        <f t="shared" si="34"/>
        <v>-1</v>
      </c>
      <c r="D267" s="42">
        <f t="shared" si="36"/>
        <v>-4.5454545454545456E-2</v>
      </c>
      <c r="E267" s="42">
        <f t="shared" si="38"/>
        <v>-11.909090909090899</v>
      </c>
      <c r="F267" s="38">
        <f>'Leave Record'!A269</f>
        <v>0</v>
      </c>
      <c r="G267" s="38">
        <f>'Leave Record'!B269</f>
        <v>0</v>
      </c>
      <c r="H267" s="23">
        <f t="shared" si="35"/>
        <v>1</v>
      </c>
      <c r="I267" s="23">
        <f t="shared" si="39"/>
        <v>0</v>
      </c>
      <c r="J267" s="42">
        <f t="shared" si="40"/>
        <v>-11.909090909090899</v>
      </c>
      <c r="K267" s="23">
        <f>'Leave Record'!C269</f>
        <v>0</v>
      </c>
    </row>
    <row r="268" spans="1:11" x14ac:dyDescent="0.25">
      <c r="A268" s="38">
        <f t="shared" si="37"/>
        <v>1</v>
      </c>
      <c r="B268" s="38">
        <f>IF(K268=$P$15,$M$4,IF(K268=$P$13,'Leave Entry'!$B$4,F268-1))</f>
        <v>-1</v>
      </c>
      <c r="C268" s="23">
        <f t="shared" si="34"/>
        <v>-1</v>
      </c>
      <c r="D268" s="42">
        <f t="shared" si="36"/>
        <v>-4.5454545454545456E-2</v>
      </c>
      <c r="E268" s="42">
        <f t="shared" si="38"/>
        <v>-11.954545454545444</v>
      </c>
      <c r="F268" s="38">
        <f>'Leave Record'!A270</f>
        <v>0</v>
      </c>
      <c r="G268" s="38">
        <f>'Leave Record'!B270</f>
        <v>0</v>
      </c>
      <c r="H268" s="23">
        <f t="shared" si="35"/>
        <v>1</v>
      </c>
      <c r="I268" s="23">
        <f t="shared" si="39"/>
        <v>0</v>
      </c>
      <c r="J268" s="42">
        <f t="shared" si="40"/>
        <v>-11.954545454545444</v>
      </c>
      <c r="K268" s="23">
        <f>'Leave Record'!C270</f>
        <v>0</v>
      </c>
    </row>
    <row r="269" spans="1:11" x14ac:dyDescent="0.25">
      <c r="A269" s="38">
        <f t="shared" si="37"/>
        <v>1</v>
      </c>
      <c r="B269" s="38">
        <f>IF(K269=$P$15,$M$4,IF(K269=$P$13,'Leave Entry'!$B$4,F269-1))</f>
        <v>-1</v>
      </c>
      <c r="C269" s="23">
        <f t="shared" si="34"/>
        <v>-1</v>
      </c>
      <c r="D269" s="42">
        <f t="shared" si="36"/>
        <v>-4.5454545454545456E-2</v>
      </c>
      <c r="E269" s="42">
        <f t="shared" si="38"/>
        <v>-11.999999999999989</v>
      </c>
      <c r="F269" s="38">
        <f>'Leave Record'!A271</f>
        <v>0</v>
      </c>
      <c r="G269" s="38">
        <f>'Leave Record'!B271</f>
        <v>0</v>
      </c>
      <c r="H269" s="23">
        <f t="shared" si="35"/>
        <v>1</v>
      </c>
      <c r="I269" s="23">
        <f t="shared" si="39"/>
        <v>0</v>
      </c>
      <c r="J269" s="42">
        <f t="shared" si="40"/>
        <v>-11.999999999999989</v>
      </c>
      <c r="K269" s="23">
        <f>'Leave Record'!C271</f>
        <v>0</v>
      </c>
    </row>
    <row r="270" spans="1:11" x14ac:dyDescent="0.25">
      <c r="A270" s="38">
        <f t="shared" si="37"/>
        <v>1</v>
      </c>
      <c r="B270" s="38">
        <f>IF(K270=$P$15,$M$4,IF(K270=$P$13,'Leave Entry'!$B$4,F270-1))</f>
        <v>-1</v>
      </c>
      <c r="C270" s="23">
        <f t="shared" si="34"/>
        <v>-1</v>
      </c>
      <c r="D270" s="42">
        <f t="shared" si="36"/>
        <v>-4.5454545454545456E-2</v>
      </c>
      <c r="E270" s="42">
        <f t="shared" si="38"/>
        <v>-12.045454545454534</v>
      </c>
      <c r="F270" s="38">
        <f>'Leave Record'!A272</f>
        <v>0</v>
      </c>
      <c r="G270" s="38">
        <f>'Leave Record'!B272</f>
        <v>0</v>
      </c>
      <c r="H270" s="23">
        <f t="shared" si="35"/>
        <v>1</v>
      </c>
      <c r="I270" s="23">
        <f t="shared" si="39"/>
        <v>0</v>
      </c>
      <c r="J270" s="42">
        <f t="shared" si="40"/>
        <v>-12.045454545454534</v>
      </c>
      <c r="K270" s="23">
        <f>'Leave Record'!C272</f>
        <v>0</v>
      </c>
    </row>
    <row r="271" spans="1:11" x14ac:dyDescent="0.25">
      <c r="A271" s="38">
        <f t="shared" si="37"/>
        <v>1</v>
      </c>
      <c r="B271" s="38">
        <f>IF(K271=$P$15,$M$4,IF(K271=$P$13,'Leave Entry'!$B$4,F271-1))</f>
        <v>-1</v>
      </c>
      <c r="C271" s="23">
        <f t="shared" si="34"/>
        <v>-1</v>
      </c>
      <c r="D271" s="42">
        <f t="shared" si="36"/>
        <v>-4.5454545454545456E-2</v>
      </c>
      <c r="E271" s="42">
        <f t="shared" si="38"/>
        <v>-12.090909090909079</v>
      </c>
      <c r="F271" s="38">
        <f>'Leave Record'!A273</f>
        <v>0</v>
      </c>
      <c r="G271" s="38">
        <f>'Leave Record'!B273</f>
        <v>0</v>
      </c>
      <c r="H271" s="23">
        <f t="shared" si="35"/>
        <v>1</v>
      </c>
      <c r="I271" s="23">
        <f t="shared" si="39"/>
        <v>0</v>
      </c>
      <c r="J271" s="42">
        <f t="shared" si="40"/>
        <v>-12.090909090909079</v>
      </c>
      <c r="K271" s="23">
        <f>'Leave Record'!C273</f>
        <v>0</v>
      </c>
    </row>
    <row r="272" spans="1:11" x14ac:dyDescent="0.25">
      <c r="A272" s="38">
        <f t="shared" si="37"/>
        <v>1</v>
      </c>
      <c r="B272" s="38">
        <f>IF(K272=$P$15,$M$4,IF(K272=$P$13,'Leave Entry'!$B$4,F272-1))</f>
        <v>-1</v>
      </c>
      <c r="C272" s="23">
        <f t="shared" si="34"/>
        <v>-1</v>
      </c>
      <c r="D272" s="42">
        <f t="shared" si="36"/>
        <v>-4.5454545454545456E-2</v>
      </c>
      <c r="E272" s="42">
        <f t="shared" si="38"/>
        <v>-12.136363636363624</v>
      </c>
      <c r="F272" s="38">
        <f>'Leave Record'!A274</f>
        <v>0</v>
      </c>
      <c r="G272" s="38">
        <f>'Leave Record'!B274</f>
        <v>0</v>
      </c>
      <c r="H272" s="23">
        <f t="shared" si="35"/>
        <v>1</v>
      </c>
      <c r="I272" s="23">
        <f t="shared" si="39"/>
        <v>0</v>
      </c>
      <c r="J272" s="42">
        <f t="shared" si="40"/>
        <v>-12.136363636363624</v>
      </c>
      <c r="K272" s="23">
        <f>'Leave Record'!C274</f>
        <v>0</v>
      </c>
    </row>
    <row r="273" spans="1:11" x14ac:dyDescent="0.25">
      <c r="A273" s="38">
        <f t="shared" si="37"/>
        <v>1</v>
      </c>
      <c r="B273" s="38">
        <f>IF(K273=$P$15,$M$4,IF(K273=$P$13,'Leave Entry'!$B$4,F273-1))</f>
        <v>-1</v>
      </c>
      <c r="C273" s="23">
        <f t="shared" si="34"/>
        <v>-1</v>
      </c>
      <c r="D273" s="42">
        <f t="shared" si="36"/>
        <v>-4.5454545454545456E-2</v>
      </c>
      <c r="E273" s="42">
        <f t="shared" si="38"/>
        <v>-12.181818181818169</v>
      </c>
      <c r="F273" s="38">
        <f>'Leave Record'!A275</f>
        <v>0</v>
      </c>
      <c r="G273" s="38">
        <f>'Leave Record'!B275</f>
        <v>0</v>
      </c>
      <c r="H273" s="23">
        <f t="shared" si="35"/>
        <v>1</v>
      </c>
      <c r="I273" s="23">
        <f t="shared" si="39"/>
        <v>0</v>
      </c>
      <c r="J273" s="42">
        <f t="shared" si="40"/>
        <v>-12.181818181818169</v>
      </c>
      <c r="K273" s="23">
        <f>'Leave Record'!C275</f>
        <v>0</v>
      </c>
    </row>
    <row r="274" spans="1:11" x14ac:dyDescent="0.25">
      <c r="A274" s="38">
        <f t="shared" si="37"/>
        <v>1</v>
      </c>
      <c r="B274" s="38">
        <f>IF(K274=$P$15,$M$4,IF(K274=$P$13,'Leave Entry'!$B$4,F274-1))</f>
        <v>-1</v>
      </c>
      <c r="C274" s="23">
        <f t="shared" si="34"/>
        <v>-1</v>
      </c>
      <c r="D274" s="42">
        <f t="shared" si="36"/>
        <v>-4.5454545454545456E-2</v>
      </c>
      <c r="E274" s="42">
        <f t="shared" si="38"/>
        <v>-12.227272727272714</v>
      </c>
      <c r="F274" s="38">
        <f>'Leave Record'!A276</f>
        <v>0</v>
      </c>
      <c r="G274" s="38">
        <f>'Leave Record'!B276</f>
        <v>0</v>
      </c>
      <c r="H274" s="23">
        <f t="shared" si="35"/>
        <v>1</v>
      </c>
      <c r="I274" s="23">
        <f t="shared" si="39"/>
        <v>0</v>
      </c>
      <c r="J274" s="42">
        <f t="shared" si="40"/>
        <v>-12.227272727272714</v>
      </c>
      <c r="K274" s="23">
        <f>'Leave Record'!C276</f>
        <v>0</v>
      </c>
    </row>
    <row r="275" spans="1:11" x14ac:dyDescent="0.25">
      <c r="A275" s="38">
        <f t="shared" si="37"/>
        <v>1</v>
      </c>
      <c r="B275" s="38">
        <f>IF(K275=$P$15,$M$4,IF(K275=$P$13,'Leave Entry'!$B$4,F275-1))</f>
        <v>-1</v>
      </c>
      <c r="C275" s="23">
        <f t="shared" si="34"/>
        <v>-1</v>
      </c>
      <c r="D275" s="42">
        <f t="shared" si="36"/>
        <v>-4.5454545454545456E-2</v>
      </c>
      <c r="E275" s="42">
        <f t="shared" si="38"/>
        <v>-12.272727272727259</v>
      </c>
      <c r="F275" s="38">
        <f>'Leave Record'!A277</f>
        <v>0</v>
      </c>
      <c r="G275" s="38">
        <f>'Leave Record'!B277</f>
        <v>0</v>
      </c>
      <c r="H275" s="23">
        <f t="shared" si="35"/>
        <v>1</v>
      </c>
      <c r="I275" s="23">
        <f t="shared" si="39"/>
        <v>0</v>
      </c>
      <c r="J275" s="42">
        <f t="shared" si="40"/>
        <v>-12.272727272727259</v>
      </c>
      <c r="K275" s="23">
        <f>'Leave Record'!C277</f>
        <v>0</v>
      </c>
    </row>
    <row r="276" spans="1:11" x14ac:dyDescent="0.25">
      <c r="A276" s="38">
        <f t="shared" si="37"/>
        <v>1</v>
      </c>
      <c r="B276" s="38">
        <f>IF(K276=$P$15,$M$4,IF(K276=$P$13,'Leave Entry'!$B$4,F276-1))</f>
        <v>-1</v>
      </c>
      <c r="C276" s="23">
        <f t="shared" si="34"/>
        <v>-1</v>
      </c>
      <c r="D276" s="42">
        <f t="shared" si="36"/>
        <v>-4.5454545454545456E-2</v>
      </c>
      <c r="E276" s="42">
        <f t="shared" si="38"/>
        <v>-12.318181818181804</v>
      </c>
      <c r="F276" s="38">
        <f>'Leave Record'!A278</f>
        <v>0</v>
      </c>
      <c r="G276" s="38">
        <f>'Leave Record'!B278</f>
        <v>0</v>
      </c>
      <c r="H276" s="23">
        <f t="shared" si="35"/>
        <v>1</v>
      </c>
      <c r="I276" s="23">
        <f t="shared" si="39"/>
        <v>0</v>
      </c>
      <c r="J276" s="42">
        <f t="shared" si="40"/>
        <v>-12.318181818181804</v>
      </c>
      <c r="K276" s="23">
        <f>'Leave Record'!C278</f>
        <v>0</v>
      </c>
    </row>
    <row r="277" spans="1:11" x14ac:dyDescent="0.25">
      <c r="A277" s="38">
        <f t="shared" si="37"/>
        <v>1</v>
      </c>
      <c r="B277" s="38">
        <f>IF(K277=$P$15,$M$4,IF(K277=$P$13,'Leave Entry'!$B$4,F277-1))</f>
        <v>-1</v>
      </c>
      <c r="C277" s="23">
        <f t="shared" si="34"/>
        <v>-1</v>
      </c>
      <c r="D277" s="42">
        <f t="shared" si="36"/>
        <v>-4.5454545454545456E-2</v>
      </c>
      <c r="E277" s="42">
        <f t="shared" si="38"/>
        <v>-12.363636363636349</v>
      </c>
      <c r="F277" s="38">
        <f>'Leave Record'!A279</f>
        <v>0</v>
      </c>
      <c r="G277" s="38">
        <f>'Leave Record'!B279</f>
        <v>0</v>
      </c>
      <c r="H277" s="23">
        <f t="shared" si="35"/>
        <v>1</v>
      </c>
      <c r="I277" s="23">
        <f t="shared" si="39"/>
        <v>0</v>
      </c>
      <c r="J277" s="42">
        <f t="shared" si="40"/>
        <v>-12.363636363636349</v>
      </c>
      <c r="K277" s="23">
        <f>'Leave Record'!C279</f>
        <v>0</v>
      </c>
    </row>
    <row r="278" spans="1:11" x14ac:dyDescent="0.25">
      <c r="A278" s="38">
        <f t="shared" si="37"/>
        <v>1</v>
      </c>
      <c r="B278" s="38">
        <f>IF(K278=$P$15,$M$4,IF(K278=$P$13,'Leave Entry'!$B$4,F278-1))</f>
        <v>-1</v>
      </c>
      <c r="C278" s="23">
        <f t="shared" si="34"/>
        <v>-1</v>
      </c>
      <c r="D278" s="42">
        <f t="shared" si="36"/>
        <v>-4.5454545454545456E-2</v>
      </c>
      <c r="E278" s="42">
        <f t="shared" si="38"/>
        <v>-12.409090909090894</v>
      </c>
      <c r="F278" s="38">
        <f>'Leave Record'!A280</f>
        <v>0</v>
      </c>
      <c r="G278" s="38">
        <f>'Leave Record'!B280</f>
        <v>0</v>
      </c>
      <c r="H278" s="23">
        <f t="shared" si="35"/>
        <v>1</v>
      </c>
      <c r="I278" s="23">
        <f t="shared" si="39"/>
        <v>0</v>
      </c>
      <c r="J278" s="42">
        <f t="shared" si="40"/>
        <v>-12.409090909090894</v>
      </c>
      <c r="K278" s="23">
        <f>'Leave Record'!C280</f>
        <v>0</v>
      </c>
    </row>
    <row r="279" spans="1:11" x14ac:dyDescent="0.25">
      <c r="A279" s="38">
        <f t="shared" si="37"/>
        <v>1</v>
      </c>
      <c r="B279" s="38">
        <f>IF(K279=$P$15,$M$4,IF(K279=$P$13,'Leave Entry'!$B$4,F279-1))</f>
        <v>-1</v>
      </c>
      <c r="C279" s="23">
        <f t="shared" si="34"/>
        <v>-1</v>
      </c>
      <c r="D279" s="42">
        <f t="shared" si="36"/>
        <v>-4.5454545454545456E-2</v>
      </c>
      <c r="E279" s="42">
        <f t="shared" si="38"/>
        <v>-12.454545454545439</v>
      </c>
      <c r="F279" s="38">
        <f>'Leave Record'!A281</f>
        <v>0</v>
      </c>
      <c r="G279" s="38">
        <f>'Leave Record'!B281</f>
        <v>0</v>
      </c>
      <c r="H279" s="23">
        <f t="shared" si="35"/>
        <v>1</v>
      </c>
      <c r="I279" s="23">
        <f t="shared" si="39"/>
        <v>0</v>
      </c>
      <c r="J279" s="42">
        <f t="shared" si="40"/>
        <v>-12.454545454545439</v>
      </c>
      <c r="K279" s="23">
        <f>'Leave Record'!C281</f>
        <v>0</v>
      </c>
    </row>
    <row r="280" spans="1:11" x14ac:dyDescent="0.25">
      <c r="A280" s="38">
        <f t="shared" si="37"/>
        <v>1</v>
      </c>
      <c r="B280" s="38">
        <f>IF(K280=$P$15,$M$4,IF(K280=$P$13,'Leave Entry'!$B$4,F280-1))</f>
        <v>-1</v>
      </c>
      <c r="C280" s="23">
        <f t="shared" si="34"/>
        <v>-1</v>
      </c>
      <c r="D280" s="42">
        <f t="shared" si="36"/>
        <v>-4.5454545454545456E-2</v>
      </c>
      <c r="E280" s="42">
        <f t="shared" si="38"/>
        <v>-12.499999999999984</v>
      </c>
      <c r="F280" s="38">
        <f>'Leave Record'!A282</f>
        <v>0</v>
      </c>
      <c r="G280" s="38">
        <f>'Leave Record'!B282</f>
        <v>0</v>
      </c>
      <c r="H280" s="23">
        <f t="shared" si="35"/>
        <v>1</v>
      </c>
      <c r="I280" s="23">
        <f t="shared" si="39"/>
        <v>0</v>
      </c>
      <c r="J280" s="42">
        <f t="shared" si="40"/>
        <v>-12.499999999999984</v>
      </c>
      <c r="K280" s="23">
        <f>'Leave Record'!C282</f>
        <v>0</v>
      </c>
    </row>
    <row r="281" spans="1:11" x14ac:dyDescent="0.25">
      <c r="A281" s="38">
        <f t="shared" si="37"/>
        <v>1</v>
      </c>
      <c r="B281" s="38">
        <f>IF(K281=$P$15,$M$4,IF(K281=$P$13,'Leave Entry'!$B$4,F281-1))</f>
        <v>-1</v>
      </c>
      <c r="C281" s="23">
        <f t="shared" si="34"/>
        <v>-1</v>
      </c>
      <c r="D281" s="42">
        <f t="shared" si="36"/>
        <v>-4.5454545454545456E-2</v>
      </c>
      <c r="E281" s="42">
        <f t="shared" si="38"/>
        <v>-12.545454545454529</v>
      </c>
      <c r="F281" s="38">
        <f>'Leave Record'!A283</f>
        <v>0</v>
      </c>
      <c r="G281" s="38">
        <f>'Leave Record'!B283</f>
        <v>0</v>
      </c>
      <c r="H281" s="23">
        <f t="shared" si="35"/>
        <v>1</v>
      </c>
      <c r="I281" s="23">
        <f t="shared" si="39"/>
        <v>0</v>
      </c>
      <c r="J281" s="42">
        <f t="shared" si="40"/>
        <v>-12.545454545454529</v>
      </c>
      <c r="K281" s="23">
        <f>'Leave Record'!C283</f>
        <v>0</v>
      </c>
    </row>
    <row r="282" spans="1:11" x14ac:dyDescent="0.25">
      <c r="A282" s="38">
        <f t="shared" si="37"/>
        <v>1</v>
      </c>
      <c r="B282" s="38">
        <f>IF(K282=$P$15,$M$4,IF(K282=$P$13,'Leave Entry'!$B$4,F282-1))</f>
        <v>-1</v>
      </c>
      <c r="C282" s="23">
        <f t="shared" si="34"/>
        <v>-1</v>
      </c>
      <c r="D282" s="42">
        <f t="shared" si="36"/>
        <v>-4.5454545454545456E-2</v>
      </c>
      <c r="E282" s="42">
        <f t="shared" si="38"/>
        <v>-12.590909090909074</v>
      </c>
      <c r="F282" s="38">
        <f>'Leave Record'!A284</f>
        <v>0</v>
      </c>
      <c r="G282" s="38">
        <f>'Leave Record'!B284</f>
        <v>0</v>
      </c>
      <c r="H282" s="23">
        <f t="shared" si="35"/>
        <v>1</v>
      </c>
      <c r="I282" s="23">
        <f t="shared" si="39"/>
        <v>0</v>
      </c>
      <c r="J282" s="42">
        <f t="shared" si="40"/>
        <v>-12.590909090909074</v>
      </c>
      <c r="K282" s="23">
        <f>'Leave Record'!C284</f>
        <v>0</v>
      </c>
    </row>
    <row r="283" spans="1:11" x14ac:dyDescent="0.25">
      <c r="A283" s="38">
        <f t="shared" si="37"/>
        <v>1</v>
      </c>
      <c r="B283" s="38">
        <f>IF(K283=$P$15,$M$4,IF(K283=$P$13,'Leave Entry'!$B$4,F283-1))</f>
        <v>-1</v>
      </c>
      <c r="C283" s="23">
        <f t="shared" si="34"/>
        <v>-1</v>
      </c>
      <c r="D283" s="42">
        <f t="shared" si="36"/>
        <v>-4.5454545454545456E-2</v>
      </c>
      <c r="E283" s="42">
        <f t="shared" si="38"/>
        <v>-12.636363636363619</v>
      </c>
      <c r="F283" s="38">
        <f>'Leave Record'!A285</f>
        <v>0</v>
      </c>
      <c r="G283" s="38">
        <f>'Leave Record'!B285</f>
        <v>0</v>
      </c>
      <c r="H283" s="23">
        <f t="shared" si="35"/>
        <v>1</v>
      </c>
      <c r="I283" s="23">
        <f t="shared" si="39"/>
        <v>0</v>
      </c>
      <c r="J283" s="42">
        <f t="shared" si="40"/>
        <v>-12.636363636363619</v>
      </c>
      <c r="K283" s="23">
        <f>'Leave Record'!C285</f>
        <v>0</v>
      </c>
    </row>
    <row r="284" spans="1:11" x14ac:dyDescent="0.25">
      <c r="A284" s="38">
        <f t="shared" si="37"/>
        <v>1</v>
      </c>
      <c r="B284" s="38">
        <f>IF(K284=$P$15,$M$4,IF(K284=$P$13,'Leave Entry'!$B$4,F284-1))</f>
        <v>-1</v>
      </c>
      <c r="C284" s="23">
        <f t="shared" si="34"/>
        <v>-1</v>
      </c>
      <c r="D284" s="42">
        <f t="shared" si="36"/>
        <v>-4.5454545454545456E-2</v>
      </c>
      <c r="E284" s="42">
        <f t="shared" si="38"/>
        <v>-12.681818181818164</v>
      </c>
      <c r="F284" s="38">
        <f>'Leave Record'!A286</f>
        <v>0</v>
      </c>
      <c r="G284" s="38">
        <f>'Leave Record'!B286</f>
        <v>0</v>
      </c>
      <c r="H284" s="23">
        <f t="shared" si="35"/>
        <v>1</v>
      </c>
      <c r="I284" s="23">
        <f t="shared" si="39"/>
        <v>0</v>
      </c>
      <c r="J284" s="42">
        <f t="shared" si="40"/>
        <v>-12.681818181818164</v>
      </c>
      <c r="K284" s="23">
        <f>'Leave Record'!C286</f>
        <v>0</v>
      </c>
    </row>
    <row r="285" spans="1:11" x14ac:dyDescent="0.25">
      <c r="A285" s="38">
        <f t="shared" si="37"/>
        <v>1</v>
      </c>
      <c r="B285" s="38">
        <f>IF(K285=$P$15,$M$4,IF(K285=$P$13,'Leave Entry'!$B$4,F285-1))</f>
        <v>-1</v>
      </c>
      <c r="C285" s="23">
        <f t="shared" si="34"/>
        <v>-1</v>
      </c>
      <c r="D285" s="42">
        <f t="shared" si="36"/>
        <v>-4.5454545454545456E-2</v>
      </c>
      <c r="E285" s="42">
        <f t="shared" si="38"/>
        <v>-12.727272727272709</v>
      </c>
      <c r="F285" s="38">
        <f>'Leave Record'!A287</f>
        <v>0</v>
      </c>
      <c r="G285" s="38">
        <f>'Leave Record'!B287</f>
        <v>0</v>
      </c>
      <c r="H285" s="23">
        <f t="shared" si="35"/>
        <v>1</v>
      </c>
      <c r="I285" s="23">
        <f t="shared" si="39"/>
        <v>0</v>
      </c>
      <c r="J285" s="42">
        <f t="shared" si="40"/>
        <v>-12.727272727272709</v>
      </c>
      <c r="K285" s="23">
        <f>'Leave Record'!C287</f>
        <v>0</v>
      </c>
    </row>
    <row r="286" spans="1:11" x14ac:dyDescent="0.25">
      <c r="A286" s="38">
        <f t="shared" si="37"/>
        <v>1</v>
      </c>
      <c r="B286" s="38">
        <f>IF(K286=$P$15,$M$4,IF(K286=$P$13,'Leave Entry'!$B$4,F286-1))</f>
        <v>-1</v>
      </c>
      <c r="C286" s="23">
        <f t="shared" si="34"/>
        <v>-1</v>
      </c>
      <c r="D286" s="42">
        <f t="shared" si="36"/>
        <v>-4.5454545454545456E-2</v>
      </c>
      <c r="E286" s="42">
        <f t="shared" si="38"/>
        <v>-12.772727272727254</v>
      </c>
      <c r="F286" s="38">
        <f>'Leave Record'!A288</f>
        <v>0</v>
      </c>
      <c r="G286" s="38">
        <f>'Leave Record'!B288</f>
        <v>0</v>
      </c>
      <c r="H286" s="23">
        <f t="shared" si="35"/>
        <v>1</v>
      </c>
      <c r="I286" s="23">
        <f t="shared" si="39"/>
        <v>0</v>
      </c>
      <c r="J286" s="42">
        <f t="shared" si="40"/>
        <v>-12.772727272727254</v>
      </c>
      <c r="K286" s="23">
        <f>'Leave Record'!C288</f>
        <v>0</v>
      </c>
    </row>
    <row r="287" spans="1:11" x14ac:dyDescent="0.25">
      <c r="A287" s="38">
        <f t="shared" si="37"/>
        <v>1</v>
      </c>
      <c r="B287" s="38">
        <f>IF(K287=$P$15,$M$4,IF(K287=$P$13,'Leave Entry'!$B$4,F287-1))</f>
        <v>-1</v>
      </c>
      <c r="C287" s="23">
        <f t="shared" si="34"/>
        <v>-1</v>
      </c>
      <c r="D287" s="42">
        <f t="shared" si="36"/>
        <v>-4.5454545454545456E-2</v>
      </c>
      <c r="E287" s="42">
        <f t="shared" si="38"/>
        <v>-12.818181818181799</v>
      </c>
      <c r="F287" s="38">
        <f>'Leave Record'!A289</f>
        <v>0</v>
      </c>
      <c r="G287" s="38">
        <f>'Leave Record'!B289</f>
        <v>0</v>
      </c>
      <c r="H287" s="23">
        <f t="shared" si="35"/>
        <v>1</v>
      </c>
      <c r="I287" s="23">
        <f t="shared" si="39"/>
        <v>0</v>
      </c>
      <c r="J287" s="42">
        <f t="shared" si="40"/>
        <v>-12.818181818181799</v>
      </c>
      <c r="K287" s="23">
        <f>'Leave Record'!C289</f>
        <v>0</v>
      </c>
    </row>
    <row r="288" spans="1:11" x14ac:dyDescent="0.25">
      <c r="A288" s="38">
        <f t="shared" si="37"/>
        <v>1</v>
      </c>
      <c r="B288" s="38">
        <f>IF(K288=$P$15,$M$4,IF(K288=$P$13,'Leave Entry'!$B$4,F288-1))</f>
        <v>-1</v>
      </c>
      <c r="C288" s="23">
        <f t="shared" si="34"/>
        <v>-1</v>
      </c>
      <c r="D288" s="42">
        <f t="shared" si="36"/>
        <v>-4.5454545454545456E-2</v>
      </c>
      <c r="E288" s="42">
        <f t="shared" si="38"/>
        <v>-12.863636363636344</v>
      </c>
      <c r="F288" s="38">
        <f>'Leave Record'!A290</f>
        <v>0</v>
      </c>
      <c r="G288" s="38">
        <f>'Leave Record'!B290</f>
        <v>0</v>
      </c>
      <c r="H288" s="23">
        <f t="shared" si="35"/>
        <v>1</v>
      </c>
      <c r="I288" s="23">
        <f t="shared" si="39"/>
        <v>0</v>
      </c>
      <c r="J288" s="42">
        <f t="shared" si="40"/>
        <v>-12.863636363636344</v>
      </c>
      <c r="K288" s="23">
        <f>'Leave Record'!C290</f>
        <v>0</v>
      </c>
    </row>
    <row r="289" spans="1:11" x14ac:dyDescent="0.25">
      <c r="A289" s="38">
        <f t="shared" si="37"/>
        <v>1</v>
      </c>
      <c r="B289" s="38">
        <f>IF(K289=$P$15,$M$4,IF(K289=$P$13,'Leave Entry'!$B$4,F289-1))</f>
        <v>-1</v>
      </c>
      <c r="C289" s="23">
        <f t="shared" si="34"/>
        <v>-1</v>
      </c>
      <c r="D289" s="42">
        <f t="shared" si="36"/>
        <v>-4.5454545454545456E-2</v>
      </c>
      <c r="E289" s="42">
        <f t="shared" si="38"/>
        <v>-12.909090909090889</v>
      </c>
      <c r="F289" s="38">
        <f>'Leave Record'!A291</f>
        <v>0</v>
      </c>
      <c r="G289" s="38">
        <f>'Leave Record'!B291</f>
        <v>0</v>
      </c>
      <c r="H289" s="23">
        <f t="shared" si="35"/>
        <v>1</v>
      </c>
      <c r="I289" s="23">
        <f t="shared" si="39"/>
        <v>0</v>
      </c>
      <c r="J289" s="42">
        <f t="shared" si="40"/>
        <v>-12.909090909090889</v>
      </c>
      <c r="K289" s="23">
        <f>'Leave Record'!C291</f>
        <v>0</v>
      </c>
    </row>
    <row r="290" spans="1:11" x14ac:dyDescent="0.25">
      <c r="A290" s="38">
        <f t="shared" si="37"/>
        <v>1</v>
      </c>
      <c r="B290" s="38">
        <f>IF(K290=$P$15,$M$4,IF(K290=$P$13,'Leave Entry'!$B$4,F290-1))</f>
        <v>-1</v>
      </c>
      <c r="C290" s="23">
        <f t="shared" si="34"/>
        <v>-1</v>
      </c>
      <c r="D290" s="42">
        <f t="shared" si="36"/>
        <v>-4.5454545454545456E-2</v>
      </c>
      <c r="E290" s="42">
        <f t="shared" si="38"/>
        <v>-12.954545454545434</v>
      </c>
      <c r="F290" s="38">
        <f>'Leave Record'!A292</f>
        <v>0</v>
      </c>
      <c r="G290" s="38">
        <f>'Leave Record'!B292</f>
        <v>0</v>
      </c>
      <c r="H290" s="23">
        <f t="shared" si="35"/>
        <v>1</v>
      </c>
      <c r="I290" s="23">
        <f t="shared" si="39"/>
        <v>0</v>
      </c>
      <c r="J290" s="42">
        <f t="shared" si="40"/>
        <v>-12.954545454545434</v>
      </c>
      <c r="K290" s="23">
        <f>'Leave Record'!C292</f>
        <v>0</v>
      </c>
    </row>
    <row r="291" spans="1:11" x14ac:dyDescent="0.25">
      <c r="A291" s="38">
        <f t="shared" si="37"/>
        <v>1</v>
      </c>
      <c r="B291" s="38">
        <f>IF(K291=$P$15,$M$4,IF(K291=$P$13,'Leave Entry'!$B$4,F291-1))</f>
        <v>-1</v>
      </c>
      <c r="C291" s="23">
        <f t="shared" si="34"/>
        <v>-1</v>
      </c>
      <c r="D291" s="42">
        <f t="shared" si="36"/>
        <v>-4.5454545454545456E-2</v>
      </c>
      <c r="E291" s="42">
        <f t="shared" si="38"/>
        <v>-12.999999999999979</v>
      </c>
      <c r="F291" s="38">
        <f>'Leave Record'!A293</f>
        <v>0</v>
      </c>
      <c r="G291" s="38">
        <f>'Leave Record'!B293</f>
        <v>0</v>
      </c>
      <c r="H291" s="23">
        <f t="shared" si="35"/>
        <v>1</v>
      </c>
      <c r="I291" s="23">
        <f t="shared" si="39"/>
        <v>0</v>
      </c>
      <c r="J291" s="42">
        <f t="shared" si="40"/>
        <v>-12.999999999999979</v>
      </c>
      <c r="K291" s="23">
        <f>'Leave Record'!C293</f>
        <v>0</v>
      </c>
    </row>
    <row r="292" spans="1:11" x14ac:dyDescent="0.25">
      <c r="A292" s="38">
        <f t="shared" si="37"/>
        <v>1</v>
      </c>
      <c r="B292" s="38">
        <f>IF(K292=$P$15,$M$4,IF(K292=$P$13,'Leave Entry'!$B$4,F292-1))</f>
        <v>-1</v>
      </c>
      <c r="C292" s="23">
        <f t="shared" si="34"/>
        <v>-1</v>
      </c>
      <c r="D292" s="42">
        <f t="shared" si="36"/>
        <v>-4.5454545454545456E-2</v>
      </c>
      <c r="E292" s="42">
        <f t="shared" si="38"/>
        <v>-13.045454545454524</v>
      </c>
      <c r="F292" s="38">
        <f>'Leave Record'!A294</f>
        <v>0</v>
      </c>
      <c r="G292" s="38">
        <f>'Leave Record'!B294</f>
        <v>0</v>
      </c>
      <c r="H292" s="23">
        <f t="shared" si="35"/>
        <v>1</v>
      </c>
      <c r="I292" s="23">
        <f t="shared" si="39"/>
        <v>0</v>
      </c>
      <c r="J292" s="42">
        <f t="shared" si="40"/>
        <v>-13.045454545454524</v>
      </c>
      <c r="K292" s="23">
        <f>'Leave Record'!C294</f>
        <v>0</v>
      </c>
    </row>
    <row r="293" spans="1:11" x14ac:dyDescent="0.25">
      <c r="A293" s="38">
        <f t="shared" si="37"/>
        <v>1</v>
      </c>
      <c r="B293" s="38">
        <f>IF(K293=$P$15,$M$4,IF(K293=$P$13,'Leave Entry'!$B$4,F293-1))</f>
        <v>-1</v>
      </c>
      <c r="C293" s="23">
        <f t="shared" si="34"/>
        <v>-1</v>
      </c>
      <c r="D293" s="42">
        <f t="shared" si="36"/>
        <v>-4.5454545454545456E-2</v>
      </c>
      <c r="E293" s="42">
        <f t="shared" si="38"/>
        <v>-13.090909090909069</v>
      </c>
      <c r="F293" s="38">
        <f>'Leave Record'!A295</f>
        <v>0</v>
      </c>
      <c r="G293" s="38">
        <f>'Leave Record'!B295</f>
        <v>0</v>
      </c>
      <c r="H293" s="23">
        <f t="shared" si="35"/>
        <v>1</v>
      </c>
      <c r="I293" s="23">
        <f t="shared" si="39"/>
        <v>0</v>
      </c>
      <c r="J293" s="42">
        <f t="shared" si="40"/>
        <v>-13.090909090909069</v>
      </c>
      <c r="K293" s="23">
        <f>'Leave Record'!C295</f>
        <v>0</v>
      </c>
    </row>
    <row r="294" spans="1:11" x14ac:dyDescent="0.25">
      <c r="A294" s="38">
        <f t="shared" si="37"/>
        <v>1</v>
      </c>
      <c r="B294" s="38">
        <f>IF(K294=$P$15,$M$4,IF(K294=$P$13,'Leave Entry'!$B$4,F294-1))</f>
        <v>-1</v>
      </c>
      <c r="C294" s="23">
        <f t="shared" si="34"/>
        <v>-1</v>
      </c>
      <c r="D294" s="42">
        <f t="shared" si="36"/>
        <v>-4.5454545454545456E-2</v>
      </c>
      <c r="E294" s="42">
        <f t="shared" si="38"/>
        <v>-13.136363636363614</v>
      </c>
      <c r="F294" s="38">
        <f>'Leave Record'!A296</f>
        <v>0</v>
      </c>
      <c r="G294" s="38">
        <f>'Leave Record'!B296</f>
        <v>0</v>
      </c>
      <c r="H294" s="23">
        <f t="shared" si="35"/>
        <v>1</v>
      </c>
      <c r="I294" s="23">
        <f t="shared" si="39"/>
        <v>0</v>
      </c>
      <c r="J294" s="42">
        <f t="shared" si="40"/>
        <v>-13.136363636363614</v>
      </c>
      <c r="K294" s="23">
        <f>'Leave Record'!C296</f>
        <v>0</v>
      </c>
    </row>
    <row r="295" spans="1:11" x14ac:dyDescent="0.25">
      <c r="A295" s="38">
        <f t="shared" si="37"/>
        <v>1</v>
      </c>
      <c r="B295" s="38">
        <f>IF(K295=$P$15,$M$4,IF(K295=$P$13,'Leave Entry'!$B$4,F295-1))</f>
        <v>-1</v>
      </c>
      <c r="C295" s="23">
        <f t="shared" si="34"/>
        <v>-1</v>
      </c>
      <c r="D295" s="42">
        <f t="shared" si="36"/>
        <v>-4.5454545454545456E-2</v>
      </c>
      <c r="E295" s="42">
        <f t="shared" si="38"/>
        <v>-13.181818181818159</v>
      </c>
      <c r="F295" s="38">
        <f>'Leave Record'!A297</f>
        <v>0</v>
      </c>
      <c r="G295" s="38">
        <f>'Leave Record'!B297</f>
        <v>0</v>
      </c>
      <c r="H295" s="23">
        <f t="shared" si="35"/>
        <v>1</v>
      </c>
      <c r="I295" s="23">
        <f t="shared" si="39"/>
        <v>0</v>
      </c>
      <c r="J295" s="42">
        <f t="shared" si="40"/>
        <v>-13.181818181818159</v>
      </c>
      <c r="K295" s="23">
        <f>'Leave Record'!C297</f>
        <v>0</v>
      </c>
    </row>
    <row r="296" spans="1:11" x14ac:dyDescent="0.25">
      <c r="A296" s="38">
        <f t="shared" si="37"/>
        <v>1</v>
      </c>
      <c r="B296" s="38">
        <f>IF(K296=$P$15,$M$4,IF(K296=$P$13,'Leave Entry'!$B$4,F296-1))</f>
        <v>-1</v>
      </c>
      <c r="C296" s="23">
        <f t="shared" si="34"/>
        <v>-1</v>
      </c>
      <c r="D296" s="42">
        <f t="shared" si="36"/>
        <v>-4.5454545454545456E-2</v>
      </c>
      <c r="E296" s="42">
        <f t="shared" si="38"/>
        <v>-13.227272727272704</v>
      </c>
      <c r="F296" s="38">
        <f>'Leave Record'!A298</f>
        <v>0</v>
      </c>
      <c r="G296" s="38">
        <f>'Leave Record'!B298</f>
        <v>0</v>
      </c>
      <c r="H296" s="23">
        <f t="shared" si="35"/>
        <v>1</v>
      </c>
      <c r="I296" s="23">
        <f t="shared" si="39"/>
        <v>0</v>
      </c>
      <c r="J296" s="42">
        <f t="shared" si="40"/>
        <v>-13.227272727272704</v>
      </c>
      <c r="K296" s="23">
        <f>'Leave Record'!C298</f>
        <v>0</v>
      </c>
    </row>
    <row r="297" spans="1:11" x14ac:dyDescent="0.25">
      <c r="A297" s="38">
        <f t="shared" si="37"/>
        <v>1</v>
      </c>
      <c r="B297" s="38">
        <f>IF(K297=$P$15,$M$4,IF(K297=$P$13,'Leave Entry'!$B$4,F297-1))</f>
        <v>-1</v>
      </c>
      <c r="C297" s="23">
        <f t="shared" si="34"/>
        <v>-1</v>
      </c>
      <c r="D297" s="42">
        <f t="shared" si="36"/>
        <v>-4.5454545454545456E-2</v>
      </c>
      <c r="E297" s="42">
        <f t="shared" si="38"/>
        <v>-13.272727272727249</v>
      </c>
      <c r="F297" s="38">
        <f>'Leave Record'!A299</f>
        <v>0</v>
      </c>
      <c r="G297" s="38">
        <f>'Leave Record'!B299</f>
        <v>0</v>
      </c>
      <c r="H297" s="23">
        <f t="shared" si="35"/>
        <v>1</v>
      </c>
      <c r="I297" s="23">
        <f t="shared" si="39"/>
        <v>0</v>
      </c>
      <c r="J297" s="42">
        <f t="shared" si="40"/>
        <v>-13.272727272727249</v>
      </c>
      <c r="K297" s="23">
        <f>'Leave Record'!C299</f>
        <v>0</v>
      </c>
    </row>
    <row r="298" spans="1:11" x14ac:dyDescent="0.25">
      <c r="A298" s="38">
        <f t="shared" si="37"/>
        <v>1</v>
      </c>
      <c r="B298" s="38">
        <f>IF(K298=$P$15,$M$4,IF(K298=$P$13,'Leave Entry'!$B$4,F298-1))</f>
        <v>-1</v>
      </c>
      <c r="C298" s="23">
        <f t="shared" si="34"/>
        <v>-1</v>
      </c>
      <c r="D298" s="42">
        <f t="shared" si="36"/>
        <v>-4.5454545454545456E-2</v>
      </c>
      <c r="E298" s="42">
        <f t="shared" si="38"/>
        <v>-13.318181818181793</v>
      </c>
      <c r="F298" s="38">
        <f>'Leave Record'!A300</f>
        <v>0</v>
      </c>
      <c r="G298" s="38">
        <f>'Leave Record'!B300</f>
        <v>0</v>
      </c>
      <c r="H298" s="23">
        <f t="shared" si="35"/>
        <v>1</v>
      </c>
      <c r="I298" s="23">
        <f t="shared" si="39"/>
        <v>0</v>
      </c>
      <c r="J298" s="42">
        <f t="shared" si="40"/>
        <v>-13.318181818181793</v>
      </c>
      <c r="K298" s="23">
        <f>'Leave Record'!C300</f>
        <v>0</v>
      </c>
    </row>
    <row r="299" spans="1:11" x14ac:dyDescent="0.25">
      <c r="A299" s="38">
        <f t="shared" si="37"/>
        <v>1</v>
      </c>
      <c r="B299" s="38">
        <f>IF(K299=$P$15,$M$4,IF(K299=$P$13,'Leave Entry'!$B$4,F299-1))</f>
        <v>-1</v>
      </c>
      <c r="C299" s="23">
        <f t="shared" si="34"/>
        <v>-1</v>
      </c>
      <c r="D299" s="42">
        <f t="shared" si="36"/>
        <v>-4.5454545454545456E-2</v>
      </c>
      <c r="E299" s="42">
        <f t="shared" si="38"/>
        <v>-13.363636363636338</v>
      </c>
      <c r="F299" s="38">
        <f>'Leave Record'!A301</f>
        <v>0</v>
      </c>
      <c r="G299" s="38">
        <f>'Leave Record'!B301</f>
        <v>0</v>
      </c>
      <c r="H299" s="23">
        <f t="shared" si="35"/>
        <v>1</v>
      </c>
      <c r="I299" s="23">
        <f t="shared" si="39"/>
        <v>0</v>
      </c>
      <c r="J299" s="42">
        <f t="shared" si="40"/>
        <v>-13.363636363636338</v>
      </c>
      <c r="K299" s="23">
        <f>'Leave Record'!C301</f>
        <v>0</v>
      </c>
    </row>
    <row r="300" spans="1:11" x14ac:dyDescent="0.25">
      <c r="A300" s="38">
        <f t="shared" si="37"/>
        <v>1</v>
      </c>
      <c r="B300" s="38">
        <f>IF(K300=$P$15,$M$4,IF(K300=$P$13,'Leave Entry'!$B$4,F300-1))</f>
        <v>-1</v>
      </c>
      <c r="C300" s="23">
        <f t="shared" si="34"/>
        <v>-1</v>
      </c>
      <c r="D300" s="42">
        <f t="shared" si="36"/>
        <v>-4.5454545454545456E-2</v>
      </c>
      <c r="E300" s="42">
        <f t="shared" si="38"/>
        <v>-13.409090909090883</v>
      </c>
      <c r="F300" s="38">
        <f>'Leave Record'!A302</f>
        <v>0</v>
      </c>
      <c r="G300" s="38">
        <f>'Leave Record'!B302</f>
        <v>0</v>
      </c>
      <c r="H300" s="23">
        <f t="shared" si="35"/>
        <v>1</v>
      </c>
      <c r="I300" s="23">
        <f t="shared" si="39"/>
        <v>0</v>
      </c>
      <c r="J300" s="42">
        <f t="shared" si="40"/>
        <v>-13.409090909090883</v>
      </c>
      <c r="K300" s="23">
        <f>'Leave Record'!C302</f>
        <v>0</v>
      </c>
    </row>
    <row r="301" spans="1:11" x14ac:dyDescent="0.25">
      <c r="A301" s="38">
        <f t="shared" si="37"/>
        <v>1</v>
      </c>
      <c r="B301" s="38">
        <f>IF(K301=$P$15,$M$4,IF(K301=$P$13,'Leave Entry'!$B$4,F301-1))</f>
        <v>-1</v>
      </c>
      <c r="C301" s="23">
        <f t="shared" si="34"/>
        <v>-1</v>
      </c>
      <c r="D301" s="42">
        <f t="shared" si="36"/>
        <v>-4.5454545454545456E-2</v>
      </c>
      <c r="E301" s="42">
        <f t="shared" si="38"/>
        <v>-13.454545454545428</v>
      </c>
      <c r="F301" s="38">
        <f>'Leave Record'!A303</f>
        <v>0</v>
      </c>
      <c r="G301" s="38">
        <f>'Leave Record'!B303</f>
        <v>0</v>
      </c>
      <c r="H301" s="23">
        <f t="shared" si="35"/>
        <v>1</v>
      </c>
      <c r="I301" s="23">
        <f t="shared" si="39"/>
        <v>0</v>
      </c>
      <c r="J301" s="42">
        <f t="shared" si="40"/>
        <v>-13.454545454545428</v>
      </c>
      <c r="K301" s="23">
        <f>'Leave Record'!C303</f>
        <v>0</v>
      </c>
    </row>
    <row r="302" spans="1:11" x14ac:dyDescent="0.25">
      <c r="A302" s="38">
        <f t="shared" si="37"/>
        <v>1</v>
      </c>
      <c r="B302" s="38">
        <f>IF(K302=$P$15,$M$4,IF(K302=$P$13,'Leave Entry'!$B$4,F302-1))</f>
        <v>-1</v>
      </c>
      <c r="C302" s="23">
        <f t="shared" si="34"/>
        <v>-1</v>
      </c>
      <c r="D302" s="42">
        <f t="shared" si="36"/>
        <v>-4.5454545454545456E-2</v>
      </c>
      <c r="E302" s="42">
        <f t="shared" si="38"/>
        <v>-13.499999999999973</v>
      </c>
      <c r="F302" s="38">
        <f>'Leave Record'!A304</f>
        <v>0</v>
      </c>
      <c r="G302" s="38">
        <f>'Leave Record'!B304</f>
        <v>0</v>
      </c>
      <c r="H302" s="23">
        <f t="shared" si="35"/>
        <v>1</v>
      </c>
      <c r="I302" s="23">
        <f t="shared" si="39"/>
        <v>0</v>
      </c>
      <c r="J302" s="42">
        <f t="shared" si="40"/>
        <v>-13.499999999999973</v>
      </c>
      <c r="K302" s="23">
        <f>'Leave Record'!C304</f>
        <v>0</v>
      </c>
    </row>
    <row r="303" spans="1:11" x14ac:dyDescent="0.25">
      <c r="A303" s="38">
        <f t="shared" si="37"/>
        <v>1</v>
      </c>
      <c r="B303" s="38">
        <f>IF(K303=$P$15,$M$4,IF(K303=$P$13,'Leave Entry'!$B$4,F303-1))</f>
        <v>-1</v>
      </c>
      <c r="C303" s="23">
        <f t="shared" si="34"/>
        <v>-1</v>
      </c>
      <c r="D303" s="42">
        <f t="shared" si="36"/>
        <v>-4.5454545454545456E-2</v>
      </c>
      <c r="E303" s="42">
        <f t="shared" si="38"/>
        <v>-13.545454545454518</v>
      </c>
      <c r="F303" s="38">
        <f>'Leave Record'!A305</f>
        <v>0</v>
      </c>
      <c r="G303" s="38">
        <f>'Leave Record'!B305</f>
        <v>0</v>
      </c>
      <c r="H303" s="23">
        <f t="shared" si="35"/>
        <v>1</v>
      </c>
      <c r="I303" s="23">
        <f t="shared" si="39"/>
        <v>0</v>
      </c>
      <c r="J303" s="42">
        <f t="shared" si="40"/>
        <v>-13.545454545454518</v>
      </c>
      <c r="K303" s="23">
        <f>'Leave Record'!C305</f>
        <v>0</v>
      </c>
    </row>
    <row r="304" spans="1:11" x14ac:dyDescent="0.25">
      <c r="A304" s="38">
        <f t="shared" si="37"/>
        <v>1</v>
      </c>
      <c r="B304" s="38">
        <f>IF(K304=$P$15,$M$4,IF(K304=$P$13,'Leave Entry'!$B$4,F304-1))</f>
        <v>-1</v>
      </c>
      <c r="C304" s="23">
        <f t="shared" si="34"/>
        <v>-1</v>
      </c>
      <c r="D304" s="42">
        <f t="shared" si="36"/>
        <v>-4.5454545454545456E-2</v>
      </c>
      <c r="E304" s="42">
        <f t="shared" si="38"/>
        <v>-13.590909090909063</v>
      </c>
      <c r="F304" s="38">
        <f>'Leave Record'!A306</f>
        <v>0</v>
      </c>
      <c r="G304" s="38">
        <f>'Leave Record'!B306</f>
        <v>0</v>
      </c>
      <c r="H304" s="23">
        <f t="shared" si="35"/>
        <v>1</v>
      </c>
      <c r="I304" s="23">
        <f t="shared" si="39"/>
        <v>0</v>
      </c>
      <c r="J304" s="42">
        <f t="shared" si="40"/>
        <v>-13.590909090909063</v>
      </c>
      <c r="K304" s="23">
        <f>'Leave Record'!C306</f>
        <v>0</v>
      </c>
    </row>
    <row r="305" spans="1:11" x14ac:dyDescent="0.25">
      <c r="A305" s="38">
        <f t="shared" si="37"/>
        <v>1</v>
      </c>
      <c r="B305" s="38">
        <f>IF(K305=$P$15,$M$4,IF(K305=$P$13,'Leave Entry'!$B$4,F305-1))</f>
        <v>-1</v>
      </c>
      <c r="C305" s="23">
        <f t="shared" si="34"/>
        <v>-1</v>
      </c>
      <c r="D305" s="42">
        <f t="shared" si="36"/>
        <v>-4.5454545454545456E-2</v>
      </c>
      <c r="E305" s="42">
        <f t="shared" si="38"/>
        <v>-13.636363636363608</v>
      </c>
      <c r="F305" s="38">
        <f>'Leave Record'!A307</f>
        <v>0</v>
      </c>
      <c r="G305" s="38">
        <f>'Leave Record'!B307</f>
        <v>0</v>
      </c>
      <c r="H305" s="23">
        <f t="shared" si="35"/>
        <v>1</v>
      </c>
      <c r="I305" s="23">
        <f t="shared" si="39"/>
        <v>0</v>
      </c>
      <c r="J305" s="42">
        <f t="shared" si="40"/>
        <v>-13.636363636363608</v>
      </c>
      <c r="K305" s="23">
        <f>'Leave Record'!C307</f>
        <v>0</v>
      </c>
    </row>
    <row r="306" spans="1:11" x14ac:dyDescent="0.25">
      <c r="A306" s="38">
        <f t="shared" si="37"/>
        <v>1</v>
      </c>
      <c r="B306" s="38">
        <f>IF(K306=$P$15,$M$4,IF(K306=$P$13,'Leave Entry'!$B$4,F306-1))</f>
        <v>-1</v>
      </c>
      <c r="C306" s="23">
        <f t="shared" si="34"/>
        <v>-1</v>
      </c>
      <c r="D306" s="42">
        <f t="shared" si="36"/>
        <v>-4.5454545454545456E-2</v>
      </c>
      <c r="E306" s="42">
        <f t="shared" si="38"/>
        <v>-13.681818181818153</v>
      </c>
      <c r="F306" s="38">
        <f>'Leave Record'!A308</f>
        <v>0</v>
      </c>
      <c r="G306" s="38">
        <f>'Leave Record'!B308</f>
        <v>0</v>
      </c>
      <c r="H306" s="23">
        <f t="shared" si="35"/>
        <v>1</v>
      </c>
      <c r="I306" s="23">
        <f t="shared" si="39"/>
        <v>0</v>
      </c>
      <c r="J306" s="42">
        <f t="shared" si="40"/>
        <v>-13.681818181818153</v>
      </c>
      <c r="K306" s="23">
        <f>'Leave Record'!C308</f>
        <v>0</v>
      </c>
    </row>
    <row r="307" spans="1:11" x14ac:dyDescent="0.25">
      <c r="A307" s="38">
        <f t="shared" si="37"/>
        <v>1</v>
      </c>
      <c r="B307" s="38">
        <f>IF(K307=$P$15,$M$4,IF(K307=$P$13,'Leave Entry'!$B$4,F307-1))</f>
        <v>-1</v>
      </c>
      <c r="C307" s="23">
        <f t="shared" si="34"/>
        <v>-1</v>
      </c>
      <c r="D307" s="42">
        <f t="shared" si="36"/>
        <v>-4.5454545454545456E-2</v>
      </c>
      <c r="E307" s="42">
        <f t="shared" si="38"/>
        <v>-13.727272727272698</v>
      </c>
      <c r="F307" s="38">
        <f>'Leave Record'!A309</f>
        <v>0</v>
      </c>
      <c r="G307" s="38">
        <f>'Leave Record'!B309</f>
        <v>0</v>
      </c>
      <c r="H307" s="23">
        <f t="shared" si="35"/>
        <v>1</v>
      </c>
      <c r="I307" s="23">
        <f t="shared" si="39"/>
        <v>0</v>
      </c>
      <c r="J307" s="42">
        <f t="shared" si="40"/>
        <v>-13.727272727272698</v>
      </c>
      <c r="K307" s="23">
        <f>'Leave Record'!C309</f>
        <v>0</v>
      </c>
    </row>
    <row r="308" spans="1:11" x14ac:dyDescent="0.25">
      <c r="A308" s="38">
        <f t="shared" si="37"/>
        <v>1</v>
      </c>
      <c r="B308" s="38">
        <f>IF(K308=$P$15,$M$4,IF(K308=$P$13,'Leave Entry'!$B$4,F308-1))</f>
        <v>-1</v>
      </c>
      <c r="C308" s="23">
        <f t="shared" si="34"/>
        <v>-1</v>
      </c>
      <c r="D308" s="42">
        <f t="shared" si="36"/>
        <v>-4.5454545454545456E-2</v>
      </c>
      <c r="E308" s="42">
        <f t="shared" si="38"/>
        <v>-13.772727272727243</v>
      </c>
      <c r="F308" s="38">
        <f>'Leave Record'!A310</f>
        <v>0</v>
      </c>
      <c r="G308" s="38">
        <f>'Leave Record'!B310</f>
        <v>0</v>
      </c>
      <c r="H308" s="23">
        <f t="shared" si="35"/>
        <v>1</v>
      </c>
      <c r="I308" s="23">
        <f t="shared" si="39"/>
        <v>0</v>
      </c>
      <c r="J308" s="42">
        <f t="shared" si="40"/>
        <v>-13.772727272727243</v>
      </c>
      <c r="K308" s="23">
        <f>'Leave Record'!C310</f>
        <v>0</v>
      </c>
    </row>
    <row r="309" spans="1:11" x14ac:dyDescent="0.25">
      <c r="A309" s="38">
        <f t="shared" si="37"/>
        <v>1</v>
      </c>
      <c r="B309" s="38">
        <f>IF(K309=$P$15,$M$4,IF(K309=$P$13,'Leave Entry'!$B$4,F309-1))</f>
        <v>-1</v>
      </c>
      <c r="C309" s="23">
        <f t="shared" si="34"/>
        <v>-1</v>
      </c>
      <c r="D309" s="42">
        <f t="shared" si="36"/>
        <v>-4.5454545454545456E-2</v>
      </c>
      <c r="E309" s="42">
        <f t="shared" si="38"/>
        <v>-13.818181818181788</v>
      </c>
      <c r="F309" s="38">
        <f>'Leave Record'!A311</f>
        <v>0</v>
      </c>
      <c r="G309" s="38">
        <f>'Leave Record'!B311</f>
        <v>0</v>
      </c>
      <c r="H309" s="23">
        <f t="shared" si="35"/>
        <v>1</v>
      </c>
      <c r="I309" s="23">
        <f t="shared" si="39"/>
        <v>0</v>
      </c>
      <c r="J309" s="42">
        <f t="shared" si="40"/>
        <v>-13.818181818181788</v>
      </c>
      <c r="K309" s="23">
        <f>'Leave Record'!C311</f>
        <v>0</v>
      </c>
    </row>
    <row r="310" spans="1:11" x14ac:dyDescent="0.25">
      <c r="A310" s="38">
        <f t="shared" si="37"/>
        <v>1</v>
      </c>
      <c r="B310" s="38">
        <f>IF(K310=$P$15,$M$4,IF(K310=$P$13,'Leave Entry'!$B$4,F310-1))</f>
        <v>-1</v>
      </c>
      <c r="C310" s="23">
        <f t="shared" si="34"/>
        <v>-1</v>
      </c>
      <c r="D310" s="42">
        <f t="shared" si="36"/>
        <v>-4.5454545454545456E-2</v>
      </c>
      <c r="E310" s="42">
        <f t="shared" si="38"/>
        <v>-13.863636363636333</v>
      </c>
      <c r="F310" s="38">
        <f>'Leave Record'!A312</f>
        <v>0</v>
      </c>
      <c r="G310" s="38">
        <f>'Leave Record'!B312</f>
        <v>0</v>
      </c>
      <c r="H310" s="23">
        <f t="shared" si="35"/>
        <v>1</v>
      </c>
      <c r="I310" s="23">
        <f t="shared" si="39"/>
        <v>0</v>
      </c>
      <c r="J310" s="42">
        <f t="shared" si="40"/>
        <v>-13.863636363636333</v>
      </c>
      <c r="K310" s="23">
        <f>'Leave Record'!C312</f>
        <v>0</v>
      </c>
    </row>
    <row r="311" spans="1:11" x14ac:dyDescent="0.25">
      <c r="A311" s="38">
        <f t="shared" si="37"/>
        <v>1</v>
      </c>
      <c r="B311" s="38">
        <f>IF(K311=$P$15,$M$4,IF(K311=$P$13,'Leave Entry'!$B$4,F311-1))</f>
        <v>-1</v>
      </c>
      <c r="C311" s="23">
        <f t="shared" si="34"/>
        <v>-1</v>
      </c>
      <c r="D311" s="42">
        <f t="shared" si="36"/>
        <v>-4.5454545454545456E-2</v>
      </c>
      <c r="E311" s="42">
        <f t="shared" si="38"/>
        <v>-13.909090909090878</v>
      </c>
      <c r="F311" s="38">
        <f>'Leave Record'!A313</f>
        <v>0</v>
      </c>
      <c r="G311" s="38">
        <f>'Leave Record'!B313</f>
        <v>0</v>
      </c>
      <c r="H311" s="23">
        <f t="shared" si="35"/>
        <v>1</v>
      </c>
      <c r="I311" s="23">
        <f t="shared" si="39"/>
        <v>0</v>
      </c>
      <c r="J311" s="42">
        <f t="shared" si="40"/>
        <v>-13.909090909090878</v>
      </c>
      <c r="K311" s="23">
        <f>'Leave Record'!C313</f>
        <v>0</v>
      </c>
    </row>
    <row r="312" spans="1:11" x14ac:dyDescent="0.25">
      <c r="A312" s="38">
        <f t="shared" si="37"/>
        <v>1</v>
      </c>
      <c r="B312" s="38">
        <f>IF(K312=$P$15,$M$4,IF(K312=$P$13,'Leave Entry'!$B$4,F312-1))</f>
        <v>-1</v>
      </c>
      <c r="C312" s="23">
        <f t="shared" si="34"/>
        <v>-1</v>
      </c>
      <c r="D312" s="42">
        <f t="shared" si="36"/>
        <v>-4.5454545454545456E-2</v>
      </c>
      <c r="E312" s="42">
        <f t="shared" si="38"/>
        <v>-13.954545454545423</v>
      </c>
      <c r="F312" s="38">
        <f>'Leave Record'!A314</f>
        <v>0</v>
      </c>
      <c r="G312" s="38">
        <f>'Leave Record'!B314</f>
        <v>0</v>
      </c>
      <c r="H312" s="23">
        <f t="shared" si="35"/>
        <v>1</v>
      </c>
      <c r="I312" s="23">
        <f t="shared" si="39"/>
        <v>0</v>
      </c>
      <c r="J312" s="42">
        <f t="shared" si="40"/>
        <v>-13.954545454545423</v>
      </c>
      <c r="K312" s="23">
        <f>'Leave Record'!C314</f>
        <v>0</v>
      </c>
    </row>
    <row r="313" spans="1:11" x14ac:dyDescent="0.25">
      <c r="A313" s="38">
        <f t="shared" si="37"/>
        <v>1</v>
      </c>
      <c r="B313" s="38">
        <f>IF(K313=$P$15,$M$4,IF(K313=$P$13,'Leave Entry'!$B$4,F313-1))</f>
        <v>-1</v>
      </c>
      <c r="C313" s="23">
        <f t="shared" si="34"/>
        <v>-1</v>
      </c>
      <c r="D313" s="42">
        <f t="shared" si="36"/>
        <v>-4.5454545454545456E-2</v>
      </c>
      <c r="E313" s="42">
        <f t="shared" si="38"/>
        <v>-13.999999999999968</v>
      </c>
      <c r="F313" s="38">
        <f>'Leave Record'!A315</f>
        <v>0</v>
      </c>
      <c r="G313" s="38">
        <f>'Leave Record'!B315</f>
        <v>0</v>
      </c>
      <c r="H313" s="23">
        <f t="shared" si="35"/>
        <v>1</v>
      </c>
      <c r="I313" s="23">
        <f t="shared" si="39"/>
        <v>0</v>
      </c>
      <c r="J313" s="42">
        <f t="shared" si="40"/>
        <v>-13.999999999999968</v>
      </c>
      <c r="K313" s="23">
        <f>'Leave Record'!C315</f>
        <v>0</v>
      </c>
    </row>
    <row r="314" spans="1:11" x14ac:dyDescent="0.25">
      <c r="A314" s="38">
        <f t="shared" si="37"/>
        <v>1</v>
      </c>
      <c r="B314" s="38">
        <f>IF(K314=$P$15,$M$4,IF(K314=$P$13,'Leave Entry'!$B$4,F314-1))</f>
        <v>-1</v>
      </c>
      <c r="C314" s="23">
        <f t="shared" si="34"/>
        <v>-1</v>
      </c>
      <c r="D314" s="42">
        <f t="shared" si="36"/>
        <v>-4.5454545454545456E-2</v>
      </c>
      <c r="E314" s="42">
        <f t="shared" si="38"/>
        <v>-14.045454545454513</v>
      </c>
      <c r="F314" s="38">
        <f>'Leave Record'!A316</f>
        <v>0</v>
      </c>
      <c r="G314" s="38">
        <f>'Leave Record'!B316</f>
        <v>0</v>
      </c>
      <c r="H314" s="23">
        <f t="shared" si="35"/>
        <v>1</v>
      </c>
      <c r="I314" s="23">
        <f t="shared" si="39"/>
        <v>0</v>
      </c>
      <c r="J314" s="42">
        <f t="shared" si="40"/>
        <v>-14.045454545454513</v>
      </c>
      <c r="K314" s="23">
        <f>'Leave Record'!C316</f>
        <v>0</v>
      </c>
    </row>
    <row r="315" spans="1:11" x14ac:dyDescent="0.25">
      <c r="A315" s="38">
        <f t="shared" si="37"/>
        <v>1</v>
      </c>
      <c r="B315" s="38">
        <f>IF(K315=$P$15,$M$4,IF(K315=$P$13,'Leave Entry'!$B$4,F315-1))</f>
        <v>-1</v>
      </c>
      <c r="C315" s="23">
        <f t="shared" si="34"/>
        <v>-1</v>
      </c>
      <c r="D315" s="42">
        <f t="shared" si="36"/>
        <v>-4.5454545454545456E-2</v>
      </c>
      <c r="E315" s="42">
        <f t="shared" si="38"/>
        <v>-14.090909090909058</v>
      </c>
      <c r="F315" s="38">
        <f>'Leave Record'!A317</f>
        <v>0</v>
      </c>
      <c r="G315" s="38">
        <f>'Leave Record'!B317</f>
        <v>0</v>
      </c>
      <c r="H315" s="23">
        <f t="shared" si="35"/>
        <v>1</v>
      </c>
      <c r="I315" s="23">
        <f t="shared" si="39"/>
        <v>0</v>
      </c>
      <c r="J315" s="42">
        <f t="shared" si="40"/>
        <v>-14.090909090909058</v>
      </c>
      <c r="K315" s="23">
        <f>'Leave Record'!C317</f>
        <v>0</v>
      </c>
    </row>
    <row r="316" spans="1:11" x14ac:dyDescent="0.25">
      <c r="A316" s="38">
        <f t="shared" si="37"/>
        <v>1</v>
      </c>
      <c r="B316" s="38">
        <f>IF(K316=$P$15,$M$4,IF(K316=$P$13,'Leave Entry'!$B$4,F316-1))</f>
        <v>-1</v>
      </c>
      <c r="C316" s="23">
        <f t="shared" si="34"/>
        <v>-1</v>
      </c>
      <c r="D316" s="42">
        <f t="shared" si="36"/>
        <v>-4.5454545454545456E-2</v>
      </c>
      <c r="E316" s="42">
        <f t="shared" si="38"/>
        <v>-14.136363636363603</v>
      </c>
      <c r="F316" s="38">
        <f>'Leave Record'!A318</f>
        <v>0</v>
      </c>
      <c r="G316" s="38">
        <f>'Leave Record'!B318</f>
        <v>0</v>
      </c>
      <c r="H316" s="23">
        <f t="shared" si="35"/>
        <v>1</v>
      </c>
      <c r="I316" s="23">
        <f t="shared" si="39"/>
        <v>0</v>
      </c>
      <c r="J316" s="42">
        <f t="shared" si="40"/>
        <v>-14.136363636363603</v>
      </c>
      <c r="K316" s="23">
        <f>'Leave Record'!C318</f>
        <v>0</v>
      </c>
    </row>
    <row r="317" spans="1:11" x14ac:dyDescent="0.25">
      <c r="A317" s="38">
        <f t="shared" si="37"/>
        <v>1</v>
      </c>
      <c r="B317" s="38">
        <f>IF(K317=$P$15,$M$4,IF(K317=$P$13,'Leave Entry'!$B$4,F317-1))</f>
        <v>-1</v>
      </c>
      <c r="C317" s="23">
        <f t="shared" si="34"/>
        <v>-1</v>
      </c>
      <c r="D317" s="42">
        <f t="shared" si="36"/>
        <v>-4.5454545454545456E-2</v>
      </c>
      <c r="E317" s="42">
        <f t="shared" si="38"/>
        <v>-14.181818181818148</v>
      </c>
      <c r="F317" s="38">
        <f>'Leave Record'!A319</f>
        <v>0</v>
      </c>
      <c r="G317" s="38">
        <f>'Leave Record'!B319</f>
        <v>0</v>
      </c>
      <c r="H317" s="23">
        <f t="shared" si="35"/>
        <v>1</v>
      </c>
      <c r="I317" s="23">
        <f t="shared" si="39"/>
        <v>0</v>
      </c>
      <c r="J317" s="42">
        <f t="shared" si="40"/>
        <v>-14.181818181818148</v>
      </c>
      <c r="K317" s="23">
        <f>'Leave Record'!C319</f>
        <v>0</v>
      </c>
    </row>
    <row r="318" spans="1:11" x14ac:dyDescent="0.25">
      <c r="A318" s="38">
        <f t="shared" si="37"/>
        <v>1</v>
      </c>
      <c r="B318" s="38">
        <f>IF(K318=$P$15,$M$4,IF(K318=$P$13,'Leave Entry'!$B$4,F318-1))</f>
        <v>-1</v>
      </c>
      <c r="C318" s="23">
        <f t="shared" si="34"/>
        <v>-1</v>
      </c>
      <c r="D318" s="42">
        <f t="shared" si="36"/>
        <v>-4.5454545454545456E-2</v>
      </c>
      <c r="E318" s="42">
        <f t="shared" si="38"/>
        <v>-14.227272727272693</v>
      </c>
      <c r="F318" s="38">
        <f>'Leave Record'!A320</f>
        <v>0</v>
      </c>
      <c r="G318" s="38">
        <f>'Leave Record'!B320</f>
        <v>0</v>
      </c>
      <c r="H318" s="23">
        <f t="shared" si="35"/>
        <v>1</v>
      </c>
      <c r="I318" s="23">
        <f t="shared" si="39"/>
        <v>0</v>
      </c>
      <c r="J318" s="42">
        <f t="shared" si="40"/>
        <v>-14.227272727272693</v>
      </c>
      <c r="K318" s="23">
        <f>'Leave Record'!C320</f>
        <v>0</v>
      </c>
    </row>
    <row r="319" spans="1:11" x14ac:dyDescent="0.25">
      <c r="A319" s="38">
        <f t="shared" si="37"/>
        <v>1</v>
      </c>
      <c r="B319" s="38">
        <f>IF(K319=$P$15,$M$4,IF(K319=$P$13,'Leave Entry'!$B$4,F319-1))</f>
        <v>-1</v>
      </c>
      <c r="C319" s="23">
        <f t="shared" si="34"/>
        <v>-1</v>
      </c>
      <c r="D319" s="42">
        <f t="shared" si="36"/>
        <v>-4.5454545454545456E-2</v>
      </c>
      <c r="E319" s="42">
        <f t="shared" si="38"/>
        <v>-14.272727272727238</v>
      </c>
      <c r="F319" s="38">
        <f>'Leave Record'!A321</f>
        <v>0</v>
      </c>
      <c r="G319" s="38">
        <f>'Leave Record'!B321</f>
        <v>0</v>
      </c>
      <c r="H319" s="23">
        <f t="shared" si="35"/>
        <v>1</v>
      </c>
      <c r="I319" s="23">
        <f t="shared" si="39"/>
        <v>0</v>
      </c>
      <c r="J319" s="42">
        <f t="shared" si="40"/>
        <v>-14.272727272727238</v>
      </c>
      <c r="K319" s="23">
        <f>'Leave Record'!C321</f>
        <v>0</v>
      </c>
    </row>
    <row r="320" spans="1:11" x14ac:dyDescent="0.25">
      <c r="A320" s="38">
        <f t="shared" si="37"/>
        <v>1</v>
      </c>
      <c r="B320" s="38">
        <f>IF(K320=$P$15,$M$4,IF(K320=$P$13,'Leave Entry'!$B$4,F320-1))</f>
        <v>-1</v>
      </c>
      <c r="C320" s="23">
        <f t="shared" si="34"/>
        <v>-1</v>
      </c>
      <c r="D320" s="42">
        <f t="shared" si="36"/>
        <v>-4.5454545454545456E-2</v>
      </c>
      <c r="E320" s="42">
        <f t="shared" si="38"/>
        <v>-14.318181818181783</v>
      </c>
      <c r="F320" s="38">
        <f>'Leave Record'!A322</f>
        <v>0</v>
      </c>
      <c r="G320" s="38">
        <f>'Leave Record'!B322</f>
        <v>0</v>
      </c>
      <c r="H320" s="23">
        <f t="shared" si="35"/>
        <v>1</v>
      </c>
      <c r="I320" s="23">
        <f t="shared" si="39"/>
        <v>0</v>
      </c>
      <c r="J320" s="42">
        <f t="shared" si="40"/>
        <v>-14.318181818181783</v>
      </c>
      <c r="K320" s="23">
        <f>'Leave Record'!C322</f>
        <v>0</v>
      </c>
    </row>
    <row r="321" spans="1:11" x14ac:dyDescent="0.25">
      <c r="A321" s="38">
        <f t="shared" si="37"/>
        <v>1</v>
      </c>
      <c r="B321" s="38">
        <f>IF(K321=$P$15,$M$4,IF(K321=$P$13,'Leave Entry'!$B$4,F321-1))</f>
        <v>-1</v>
      </c>
      <c r="C321" s="23">
        <f t="shared" si="34"/>
        <v>-1</v>
      </c>
      <c r="D321" s="42">
        <f t="shared" si="36"/>
        <v>-4.5454545454545456E-2</v>
      </c>
      <c r="E321" s="42">
        <f t="shared" si="38"/>
        <v>-14.363636363636328</v>
      </c>
      <c r="F321" s="38">
        <f>'Leave Record'!A323</f>
        <v>0</v>
      </c>
      <c r="G321" s="38">
        <f>'Leave Record'!B323</f>
        <v>0</v>
      </c>
      <c r="H321" s="23">
        <f t="shared" si="35"/>
        <v>1</v>
      </c>
      <c r="I321" s="23">
        <f t="shared" si="39"/>
        <v>0</v>
      </c>
      <c r="J321" s="42">
        <f t="shared" si="40"/>
        <v>-14.363636363636328</v>
      </c>
      <c r="K321" s="23">
        <f>'Leave Record'!C323</f>
        <v>0</v>
      </c>
    </row>
    <row r="322" spans="1:11" x14ac:dyDescent="0.25">
      <c r="A322" s="38">
        <f t="shared" si="37"/>
        <v>1</v>
      </c>
      <c r="B322" s="38">
        <f>IF(K322=$P$15,$M$4,IF(K322=$P$13,'Leave Entry'!$B$4,F322-1))</f>
        <v>-1</v>
      </c>
      <c r="C322" s="23">
        <f t="shared" si="34"/>
        <v>-1</v>
      </c>
      <c r="D322" s="42">
        <f t="shared" si="36"/>
        <v>-4.5454545454545456E-2</v>
      </c>
      <c r="E322" s="42">
        <f t="shared" si="38"/>
        <v>-14.409090909090873</v>
      </c>
      <c r="F322" s="38">
        <f>'Leave Record'!A324</f>
        <v>0</v>
      </c>
      <c r="G322" s="38">
        <f>'Leave Record'!B324</f>
        <v>0</v>
      </c>
      <c r="H322" s="23">
        <f t="shared" si="35"/>
        <v>1</v>
      </c>
      <c r="I322" s="23">
        <f t="shared" si="39"/>
        <v>0</v>
      </c>
      <c r="J322" s="42">
        <f t="shared" si="40"/>
        <v>-14.409090909090873</v>
      </c>
      <c r="K322" s="23">
        <f>'Leave Record'!C324</f>
        <v>0</v>
      </c>
    </row>
    <row r="323" spans="1:11" x14ac:dyDescent="0.25">
      <c r="A323" s="38">
        <f t="shared" si="37"/>
        <v>1</v>
      </c>
      <c r="B323" s="38">
        <f>IF(K323=$P$15,$M$4,IF(K323=$P$13,'Leave Entry'!$B$4,F323-1))</f>
        <v>-1</v>
      </c>
      <c r="C323" s="23">
        <f t="shared" si="34"/>
        <v>-1</v>
      </c>
      <c r="D323" s="42">
        <f t="shared" si="36"/>
        <v>-4.5454545454545456E-2</v>
      </c>
      <c r="E323" s="42">
        <f t="shared" si="38"/>
        <v>-14.454545454545418</v>
      </c>
      <c r="F323" s="38">
        <f>'Leave Record'!A325</f>
        <v>0</v>
      </c>
      <c r="G323" s="38">
        <f>'Leave Record'!B325</f>
        <v>0</v>
      </c>
      <c r="H323" s="23">
        <f t="shared" si="35"/>
        <v>1</v>
      </c>
      <c r="I323" s="23">
        <f t="shared" si="39"/>
        <v>0</v>
      </c>
      <c r="J323" s="42">
        <f t="shared" si="40"/>
        <v>-14.454545454545418</v>
      </c>
      <c r="K323" s="23">
        <f>'Leave Record'!C325</f>
        <v>0</v>
      </c>
    </row>
    <row r="324" spans="1:11" x14ac:dyDescent="0.25">
      <c r="A324" s="38">
        <f t="shared" si="37"/>
        <v>1</v>
      </c>
      <c r="B324" s="38">
        <f>IF(K324=$P$15,$M$4,IF(K324=$P$13,'Leave Entry'!$B$4,F324-1))</f>
        <v>-1</v>
      </c>
      <c r="C324" s="23">
        <f t="shared" si="34"/>
        <v>-1</v>
      </c>
      <c r="D324" s="42">
        <f t="shared" si="36"/>
        <v>-4.5454545454545456E-2</v>
      </c>
      <c r="E324" s="42">
        <f t="shared" si="38"/>
        <v>-14.499999999999963</v>
      </c>
      <c r="F324" s="38">
        <f>'Leave Record'!A326</f>
        <v>0</v>
      </c>
      <c r="G324" s="38">
        <f>'Leave Record'!B326</f>
        <v>0</v>
      </c>
      <c r="H324" s="23">
        <f t="shared" si="35"/>
        <v>1</v>
      </c>
      <c r="I324" s="23">
        <f t="shared" si="39"/>
        <v>0</v>
      </c>
      <c r="J324" s="42">
        <f t="shared" si="40"/>
        <v>-14.499999999999963</v>
      </c>
      <c r="K324" s="23">
        <f>'Leave Record'!C326</f>
        <v>0</v>
      </c>
    </row>
    <row r="325" spans="1:11" x14ac:dyDescent="0.25">
      <c r="A325" s="38">
        <f t="shared" si="37"/>
        <v>1</v>
      </c>
      <c r="B325" s="38">
        <f>IF(K325=$P$15,$M$4,IF(K325=$P$13,'Leave Entry'!$B$4,F325-1))</f>
        <v>-1</v>
      </c>
      <c r="C325" s="23">
        <f t="shared" si="34"/>
        <v>-1</v>
      </c>
      <c r="D325" s="42">
        <f t="shared" si="36"/>
        <v>-4.5454545454545456E-2</v>
      </c>
      <c r="E325" s="42">
        <f t="shared" si="38"/>
        <v>-14.545454545454508</v>
      </c>
      <c r="F325" s="38">
        <f>'Leave Record'!A327</f>
        <v>0</v>
      </c>
      <c r="G325" s="38">
        <f>'Leave Record'!B327</f>
        <v>0</v>
      </c>
      <c r="H325" s="23">
        <f t="shared" si="35"/>
        <v>1</v>
      </c>
      <c r="I325" s="23">
        <f t="shared" si="39"/>
        <v>0</v>
      </c>
      <c r="J325" s="42">
        <f t="shared" si="40"/>
        <v>-14.545454545454508</v>
      </c>
      <c r="K325" s="23">
        <f>'Leave Record'!C327</f>
        <v>0</v>
      </c>
    </row>
    <row r="326" spans="1:11" x14ac:dyDescent="0.25">
      <c r="A326" s="38">
        <f t="shared" si="37"/>
        <v>1</v>
      </c>
      <c r="B326" s="38">
        <f>IF(K326=$P$15,$M$4,IF(K326=$P$13,'Leave Entry'!$B$4,F326-1))</f>
        <v>-1</v>
      </c>
      <c r="C326" s="23">
        <f t="shared" ref="C326:C389" si="41">B326-A326+1</f>
        <v>-1</v>
      </c>
      <c r="D326" s="42">
        <f t="shared" si="36"/>
        <v>-4.5454545454545456E-2</v>
      </c>
      <c r="E326" s="42">
        <f t="shared" si="38"/>
        <v>-14.590909090909053</v>
      </c>
      <c r="F326" s="38">
        <f>'Leave Record'!A328</f>
        <v>0</v>
      </c>
      <c r="G326" s="38">
        <f>'Leave Record'!B328</f>
        <v>0</v>
      </c>
      <c r="H326" s="23">
        <f t="shared" ref="H326:H389" si="42">G326-F326+1</f>
        <v>1</v>
      </c>
      <c r="I326" s="23">
        <f t="shared" si="39"/>
        <v>0</v>
      </c>
      <c r="J326" s="42">
        <f t="shared" si="40"/>
        <v>-14.590909090909053</v>
      </c>
      <c r="K326" s="23">
        <f>'Leave Record'!C328</f>
        <v>0</v>
      </c>
    </row>
    <row r="327" spans="1:11" x14ac:dyDescent="0.25">
      <c r="A327" s="38">
        <f t="shared" si="37"/>
        <v>1</v>
      </c>
      <c r="B327" s="38">
        <f>IF(K327=$P$15,$M$4,IF(K327=$P$13,'Leave Entry'!$B$4,F327-1))</f>
        <v>-1</v>
      </c>
      <c r="C327" s="23">
        <f t="shared" si="41"/>
        <v>-1</v>
      </c>
      <c r="D327" s="42">
        <f t="shared" ref="D327:D390" si="43">C327/22</f>
        <v>-4.5454545454545456E-2</v>
      </c>
      <c r="E327" s="42">
        <f t="shared" si="38"/>
        <v>-14.636363636363598</v>
      </c>
      <c r="F327" s="38">
        <f>'Leave Record'!A329</f>
        <v>0</v>
      </c>
      <c r="G327" s="38">
        <f>'Leave Record'!B329</f>
        <v>0</v>
      </c>
      <c r="H327" s="23">
        <f t="shared" si="42"/>
        <v>1</v>
      </c>
      <c r="I327" s="23">
        <f t="shared" si="39"/>
        <v>0</v>
      </c>
      <c r="J327" s="42">
        <f t="shared" si="40"/>
        <v>-14.636363636363598</v>
      </c>
      <c r="K327" s="23">
        <f>'Leave Record'!C329</f>
        <v>0</v>
      </c>
    </row>
    <row r="328" spans="1:11" x14ac:dyDescent="0.25">
      <c r="A328" s="38">
        <f t="shared" si="37"/>
        <v>1</v>
      </c>
      <c r="B328" s="38">
        <f>IF(K328=$P$15,$M$4,IF(K328=$P$13,'Leave Entry'!$B$4,F328-1))</f>
        <v>-1</v>
      </c>
      <c r="C328" s="23">
        <f t="shared" si="41"/>
        <v>-1</v>
      </c>
      <c r="D328" s="42">
        <f t="shared" si="43"/>
        <v>-4.5454545454545456E-2</v>
      </c>
      <c r="E328" s="42">
        <f t="shared" si="38"/>
        <v>-14.681818181818143</v>
      </c>
      <c r="F328" s="38">
        <f>'Leave Record'!A330</f>
        <v>0</v>
      </c>
      <c r="G328" s="38">
        <f>'Leave Record'!B330</f>
        <v>0</v>
      </c>
      <c r="H328" s="23">
        <f t="shared" si="42"/>
        <v>1</v>
      </c>
      <c r="I328" s="23">
        <f t="shared" si="39"/>
        <v>0</v>
      </c>
      <c r="J328" s="42">
        <f t="shared" si="40"/>
        <v>-14.681818181818143</v>
      </c>
      <c r="K328" s="23">
        <f>'Leave Record'!C330</f>
        <v>0</v>
      </c>
    </row>
    <row r="329" spans="1:11" x14ac:dyDescent="0.25">
      <c r="A329" s="38">
        <f t="shared" ref="A329:A392" si="44">G328+1</f>
        <v>1</v>
      </c>
      <c r="B329" s="38">
        <f>IF(K329=$P$15,$M$4,IF(K329=$P$13,'Leave Entry'!$B$4,F329-1))</f>
        <v>-1</v>
      </c>
      <c r="C329" s="23">
        <f t="shared" si="41"/>
        <v>-1</v>
      </c>
      <c r="D329" s="42">
        <f t="shared" si="43"/>
        <v>-4.5454545454545456E-2</v>
      </c>
      <c r="E329" s="42">
        <f t="shared" ref="E329:E392" si="45">J328+D329</f>
        <v>-14.727272727272688</v>
      </c>
      <c r="F329" s="38">
        <f>'Leave Record'!A331</f>
        <v>0</v>
      </c>
      <c r="G329" s="38">
        <f>'Leave Record'!B331</f>
        <v>0</v>
      </c>
      <c r="H329" s="23">
        <f t="shared" si="42"/>
        <v>1</v>
      </c>
      <c r="I329" s="23">
        <f t="shared" ref="I329:I392" si="46">IF(K329=$P$14,H329,0)</f>
        <v>0</v>
      </c>
      <c r="J329" s="42">
        <f t="shared" ref="J329:J392" si="47">E329-I329</f>
        <v>-14.727272727272688</v>
      </c>
      <c r="K329" s="23">
        <f>'Leave Record'!C331</f>
        <v>0</v>
      </c>
    </row>
    <row r="330" spans="1:11" x14ac:dyDescent="0.25">
      <c r="A330" s="38">
        <f t="shared" si="44"/>
        <v>1</v>
      </c>
      <c r="B330" s="38">
        <f>IF(K330=$P$15,$M$4,IF(K330=$P$13,'Leave Entry'!$B$4,F330-1))</f>
        <v>-1</v>
      </c>
      <c r="C330" s="23">
        <f t="shared" si="41"/>
        <v>-1</v>
      </c>
      <c r="D330" s="42">
        <f t="shared" si="43"/>
        <v>-4.5454545454545456E-2</v>
      </c>
      <c r="E330" s="42">
        <f t="shared" si="45"/>
        <v>-14.772727272727233</v>
      </c>
      <c r="F330" s="38">
        <f>'Leave Record'!A332</f>
        <v>0</v>
      </c>
      <c r="G330" s="38">
        <f>'Leave Record'!B332</f>
        <v>0</v>
      </c>
      <c r="H330" s="23">
        <f t="shared" si="42"/>
        <v>1</v>
      </c>
      <c r="I330" s="23">
        <f t="shared" si="46"/>
        <v>0</v>
      </c>
      <c r="J330" s="42">
        <f t="shared" si="47"/>
        <v>-14.772727272727233</v>
      </c>
      <c r="K330" s="23">
        <f>'Leave Record'!C332</f>
        <v>0</v>
      </c>
    </row>
    <row r="331" spans="1:11" x14ac:dyDescent="0.25">
      <c r="A331" s="38">
        <f t="shared" si="44"/>
        <v>1</v>
      </c>
      <c r="B331" s="38">
        <f>IF(K331=$P$15,$M$4,IF(K331=$P$13,'Leave Entry'!$B$4,F331-1))</f>
        <v>-1</v>
      </c>
      <c r="C331" s="23">
        <f t="shared" si="41"/>
        <v>-1</v>
      </c>
      <c r="D331" s="42">
        <f t="shared" si="43"/>
        <v>-4.5454545454545456E-2</v>
      </c>
      <c r="E331" s="42">
        <f t="shared" si="45"/>
        <v>-14.818181818181777</v>
      </c>
      <c r="F331" s="38">
        <f>'Leave Record'!A333</f>
        <v>0</v>
      </c>
      <c r="G331" s="38">
        <f>'Leave Record'!B333</f>
        <v>0</v>
      </c>
      <c r="H331" s="23">
        <f t="shared" si="42"/>
        <v>1</v>
      </c>
      <c r="I331" s="23">
        <f t="shared" si="46"/>
        <v>0</v>
      </c>
      <c r="J331" s="42">
        <f t="shared" si="47"/>
        <v>-14.818181818181777</v>
      </c>
      <c r="K331" s="23">
        <f>'Leave Record'!C333</f>
        <v>0</v>
      </c>
    </row>
    <row r="332" spans="1:11" x14ac:dyDescent="0.25">
      <c r="A332" s="38">
        <f t="shared" si="44"/>
        <v>1</v>
      </c>
      <c r="B332" s="38">
        <f>IF(K332=$P$15,$M$4,IF(K332=$P$13,'Leave Entry'!$B$4,F332-1))</f>
        <v>-1</v>
      </c>
      <c r="C332" s="23">
        <f t="shared" si="41"/>
        <v>-1</v>
      </c>
      <c r="D332" s="42">
        <f t="shared" si="43"/>
        <v>-4.5454545454545456E-2</v>
      </c>
      <c r="E332" s="42">
        <f t="shared" si="45"/>
        <v>-14.863636363636322</v>
      </c>
      <c r="F332" s="38">
        <f>'Leave Record'!A334</f>
        <v>0</v>
      </c>
      <c r="G332" s="38">
        <f>'Leave Record'!B334</f>
        <v>0</v>
      </c>
      <c r="H332" s="23">
        <f t="shared" si="42"/>
        <v>1</v>
      </c>
      <c r="I332" s="23">
        <f t="shared" si="46"/>
        <v>0</v>
      </c>
      <c r="J332" s="42">
        <f t="shared" si="47"/>
        <v>-14.863636363636322</v>
      </c>
      <c r="K332" s="23">
        <f>'Leave Record'!C334</f>
        <v>0</v>
      </c>
    </row>
    <row r="333" spans="1:11" x14ac:dyDescent="0.25">
      <c r="A333" s="38">
        <f t="shared" si="44"/>
        <v>1</v>
      </c>
      <c r="B333" s="38">
        <f>IF(K333=$P$15,$M$4,IF(K333=$P$13,'Leave Entry'!$B$4,F333-1))</f>
        <v>-1</v>
      </c>
      <c r="C333" s="23">
        <f t="shared" si="41"/>
        <v>-1</v>
      </c>
      <c r="D333" s="42">
        <f t="shared" si="43"/>
        <v>-4.5454545454545456E-2</v>
      </c>
      <c r="E333" s="42">
        <f t="shared" si="45"/>
        <v>-14.909090909090867</v>
      </c>
      <c r="F333" s="38">
        <f>'Leave Record'!A335</f>
        <v>0</v>
      </c>
      <c r="G333" s="38">
        <f>'Leave Record'!B335</f>
        <v>0</v>
      </c>
      <c r="H333" s="23">
        <f t="shared" si="42"/>
        <v>1</v>
      </c>
      <c r="I333" s="23">
        <f t="shared" si="46"/>
        <v>0</v>
      </c>
      <c r="J333" s="42">
        <f t="shared" si="47"/>
        <v>-14.909090909090867</v>
      </c>
      <c r="K333" s="23">
        <f>'Leave Record'!C335</f>
        <v>0</v>
      </c>
    </row>
    <row r="334" spans="1:11" x14ac:dyDescent="0.25">
      <c r="A334" s="38">
        <f t="shared" si="44"/>
        <v>1</v>
      </c>
      <c r="B334" s="38">
        <f>IF(K334=$P$15,$M$4,IF(K334=$P$13,'Leave Entry'!$B$4,F334-1))</f>
        <v>-1</v>
      </c>
      <c r="C334" s="23">
        <f t="shared" si="41"/>
        <v>-1</v>
      </c>
      <c r="D334" s="42">
        <f t="shared" si="43"/>
        <v>-4.5454545454545456E-2</v>
      </c>
      <c r="E334" s="42">
        <f t="shared" si="45"/>
        <v>-14.954545454545412</v>
      </c>
      <c r="F334" s="38">
        <f>'Leave Record'!A336</f>
        <v>0</v>
      </c>
      <c r="G334" s="38">
        <f>'Leave Record'!B336</f>
        <v>0</v>
      </c>
      <c r="H334" s="23">
        <f t="shared" si="42"/>
        <v>1</v>
      </c>
      <c r="I334" s="23">
        <f t="shared" si="46"/>
        <v>0</v>
      </c>
      <c r="J334" s="42">
        <f t="shared" si="47"/>
        <v>-14.954545454545412</v>
      </c>
      <c r="K334" s="23">
        <f>'Leave Record'!C336</f>
        <v>0</v>
      </c>
    </row>
    <row r="335" spans="1:11" x14ac:dyDescent="0.25">
      <c r="A335" s="38">
        <f t="shared" si="44"/>
        <v>1</v>
      </c>
      <c r="B335" s="38">
        <f>IF(K335=$P$15,$M$4,IF(K335=$P$13,'Leave Entry'!$B$4,F335-1))</f>
        <v>-1</v>
      </c>
      <c r="C335" s="23">
        <f t="shared" si="41"/>
        <v>-1</v>
      </c>
      <c r="D335" s="42">
        <f t="shared" si="43"/>
        <v>-4.5454545454545456E-2</v>
      </c>
      <c r="E335" s="42">
        <f t="shared" si="45"/>
        <v>-14.999999999999957</v>
      </c>
      <c r="F335" s="38">
        <f>'Leave Record'!A337</f>
        <v>0</v>
      </c>
      <c r="G335" s="38">
        <f>'Leave Record'!B337</f>
        <v>0</v>
      </c>
      <c r="H335" s="23">
        <f t="shared" si="42"/>
        <v>1</v>
      </c>
      <c r="I335" s="23">
        <f t="shared" si="46"/>
        <v>0</v>
      </c>
      <c r="J335" s="42">
        <f t="shared" si="47"/>
        <v>-14.999999999999957</v>
      </c>
      <c r="K335" s="23">
        <f>'Leave Record'!C337</f>
        <v>0</v>
      </c>
    </row>
    <row r="336" spans="1:11" x14ac:dyDescent="0.25">
      <c r="A336" s="38">
        <f t="shared" si="44"/>
        <v>1</v>
      </c>
      <c r="B336" s="38">
        <f>IF(K336=$P$15,$M$4,IF(K336=$P$13,'Leave Entry'!$B$4,F336-1))</f>
        <v>-1</v>
      </c>
      <c r="C336" s="23">
        <f t="shared" si="41"/>
        <v>-1</v>
      </c>
      <c r="D336" s="42">
        <f t="shared" si="43"/>
        <v>-4.5454545454545456E-2</v>
      </c>
      <c r="E336" s="42">
        <f t="shared" si="45"/>
        <v>-15.045454545454502</v>
      </c>
      <c r="F336" s="38">
        <f>'Leave Record'!A338</f>
        <v>0</v>
      </c>
      <c r="G336" s="38">
        <f>'Leave Record'!B338</f>
        <v>0</v>
      </c>
      <c r="H336" s="23">
        <f t="shared" si="42"/>
        <v>1</v>
      </c>
      <c r="I336" s="23">
        <f t="shared" si="46"/>
        <v>0</v>
      </c>
      <c r="J336" s="42">
        <f t="shared" si="47"/>
        <v>-15.045454545454502</v>
      </c>
      <c r="K336" s="23">
        <f>'Leave Record'!C338</f>
        <v>0</v>
      </c>
    </row>
    <row r="337" spans="1:11" x14ac:dyDescent="0.25">
      <c r="A337" s="38">
        <f t="shared" si="44"/>
        <v>1</v>
      </c>
      <c r="B337" s="38">
        <f>IF(K337=$P$15,$M$4,IF(K337=$P$13,'Leave Entry'!$B$4,F337-1))</f>
        <v>-1</v>
      </c>
      <c r="C337" s="23">
        <f t="shared" si="41"/>
        <v>-1</v>
      </c>
      <c r="D337" s="42">
        <f t="shared" si="43"/>
        <v>-4.5454545454545456E-2</v>
      </c>
      <c r="E337" s="42">
        <f t="shared" si="45"/>
        <v>-15.090909090909047</v>
      </c>
      <c r="F337" s="38">
        <f>'Leave Record'!A339</f>
        <v>0</v>
      </c>
      <c r="G337" s="38">
        <f>'Leave Record'!B339</f>
        <v>0</v>
      </c>
      <c r="H337" s="23">
        <f t="shared" si="42"/>
        <v>1</v>
      </c>
      <c r="I337" s="23">
        <f t="shared" si="46"/>
        <v>0</v>
      </c>
      <c r="J337" s="42">
        <f t="shared" si="47"/>
        <v>-15.090909090909047</v>
      </c>
      <c r="K337" s="23">
        <f>'Leave Record'!C339</f>
        <v>0</v>
      </c>
    </row>
    <row r="338" spans="1:11" x14ac:dyDescent="0.25">
      <c r="A338" s="38">
        <f t="shared" si="44"/>
        <v>1</v>
      </c>
      <c r="B338" s="38">
        <f>IF(K338=$P$15,$M$4,IF(K338=$P$13,'Leave Entry'!$B$4,F338-1))</f>
        <v>-1</v>
      </c>
      <c r="C338" s="23">
        <f t="shared" si="41"/>
        <v>-1</v>
      </c>
      <c r="D338" s="42">
        <f t="shared" si="43"/>
        <v>-4.5454545454545456E-2</v>
      </c>
      <c r="E338" s="42">
        <f t="shared" si="45"/>
        <v>-15.136363636363592</v>
      </c>
      <c r="F338" s="38">
        <f>'Leave Record'!A340</f>
        <v>0</v>
      </c>
      <c r="G338" s="38">
        <f>'Leave Record'!B340</f>
        <v>0</v>
      </c>
      <c r="H338" s="23">
        <f t="shared" si="42"/>
        <v>1</v>
      </c>
      <c r="I338" s="23">
        <f t="shared" si="46"/>
        <v>0</v>
      </c>
      <c r="J338" s="42">
        <f t="shared" si="47"/>
        <v>-15.136363636363592</v>
      </c>
      <c r="K338" s="23">
        <f>'Leave Record'!C340</f>
        <v>0</v>
      </c>
    </row>
    <row r="339" spans="1:11" x14ac:dyDescent="0.25">
      <c r="A339" s="38">
        <f t="shared" si="44"/>
        <v>1</v>
      </c>
      <c r="B339" s="38">
        <f>IF(K339=$P$15,$M$4,IF(K339=$P$13,'Leave Entry'!$B$4,F339-1))</f>
        <v>-1</v>
      </c>
      <c r="C339" s="23">
        <f t="shared" si="41"/>
        <v>-1</v>
      </c>
      <c r="D339" s="42">
        <f t="shared" si="43"/>
        <v>-4.5454545454545456E-2</v>
      </c>
      <c r="E339" s="42">
        <f t="shared" si="45"/>
        <v>-15.181818181818137</v>
      </c>
      <c r="F339" s="38">
        <f>'Leave Record'!A341</f>
        <v>0</v>
      </c>
      <c r="G339" s="38">
        <f>'Leave Record'!B341</f>
        <v>0</v>
      </c>
      <c r="H339" s="23">
        <f t="shared" si="42"/>
        <v>1</v>
      </c>
      <c r="I339" s="23">
        <f t="shared" si="46"/>
        <v>0</v>
      </c>
      <c r="J339" s="42">
        <f t="shared" si="47"/>
        <v>-15.181818181818137</v>
      </c>
      <c r="K339" s="23">
        <f>'Leave Record'!C341</f>
        <v>0</v>
      </c>
    </row>
    <row r="340" spans="1:11" x14ac:dyDescent="0.25">
      <c r="A340" s="38">
        <f t="shared" si="44"/>
        <v>1</v>
      </c>
      <c r="B340" s="38">
        <f>IF(K340=$P$15,$M$4,IF(K340=$P$13,'Leave Entry'!$B$4,F340-1))</f>
        <v>-1</v>
      </c>
      <c r="C340" s="23">
        <f t="shared" si="41"/>
        <v>-1</v>
      </c>
      <c r="D340" s="42">
        <f t="shared" si="43"/>
        <v>-4.5454545454545456E-2</v>
      </c>
      <c r="E340" s="42">
        <f t="shared" si="45"/>
        <v>-15.227272727272682</v>
      </c>
      <c r="F340" s="38">
        <f>'Leave Record'!A342</f>
        <v>0</v>
      </c>
      <c r="G340" s="38">
        <f>'Leave Record'!B342</f>
        <v>0</v>
      </c>
      <c r="H340" s="23">
        <f t="shared" si="42"/>
        <v>1</v>
      </c>
      <c r="I340" s="23">
        <f t="shared" si="46"/>
        <v>0</v>
      </c>
      <c r="J340" s="42">
        <f t="shared" si="47"/>
        <v>-15.227272727272682</v>
      </c>
      <c r="K340" s="23">
        <f>'Leave Record'!C342</f>
        <v>0</v>
      </c>
    </row>
    <row r="341" spans="1:11" x14ac:dyDescent="0.25">
      <c r="A341" s="38">
        <f t="shared" si="44"/>
        <v>1</v>
      </c>
      <c r="B341" s="38">
        <f>IF(K341=$P$15,$M$4,IF(K341=$P$13,'Leave Entry'!$B$4,F341-1))</f>
        <v>-1</v>
      </c>
      <c r="C341" s="23">
        <f t="shared" si="41"/>
        <v>-1</v>
      </c>
      <c r="D341" s="42">
        <f t="shared" si="43"/>
        <v>-4.5454545454545456E-2</v>
      </c>
      <c r="E341" s="42">
        <f t="shared" si="45"/>
        <v>-15.272727272727227</v>
      </c>
      <c r="F341" s="38">
        <f>'Leave Record'!A343</f>
        <v>0</v>
      </c>
      <c r="G341" s="38">
        <f>'Leave Record'!B343</f>
        <v>0</v>
      </c>
      <c r="H341" s="23">
        <f t="shared" si="42"/>
        <v>1</v>
      </c>
      <c r="I341" s="23">
        <f t="shared" si="46"/>
        <v>0</v>
      </c>
      <c r="J341" s="42">
        <f t="shared" si="47"/>
        <v>-15.272727272727227</v>
      </c>
      <c r="K341" s="23">
        <f>'Leave Record'!C343</f>
        <v>0</v>
      </c>
    </row>
    <row r="342" spans="1:11" x14ac:dyDescent="0.25">
      <c r="A342" s="38">
        <f t="shared" si="44"/>
        <v>1</v>
      </c>
      <c r="B342" s="38">
        <f>IF(K342=$P$15,$M$4,IF(K342=$P$13,'Leave Entry'!$B$4,F342-1))</f>
        <v>-1</v>
      </c>
      <c r="C342" s="23">
        <f t="shared" si="41"/>
        <v>-1</v>
      </c>
      <c r="D342" s="42">
        <f t="shared" si="43"/>
        <v>-4.5454545454545456E-2</v>
      </c>
      <c r="E342" s="42">
        <f t="shared" si="45"/>
        <v>-15.318181818181772</v>
      </c>
      <c r="F342" s="38">
        <f>'Leave Record'!A344</f>
        <v>0</v>
      </c>
      <c r="G342" s="38">
        <f>'Leave Record'!B344</f>
        <v>0</v>
      </c>
      <c r="H342" s="23">
        <f t="shared" si="42"/>
        <v>1</v>
      </c>
      <c r="I342" s="23">
        <f t="shared" si="46"/>
        <v>0</v>
      </c>
      <c r="J342" s="42">
        <f t="shared" si="47"/>
        <v>-15.318181818181772</v>
      </c>
      <c r="K342" s="23">
        <f>'Leave Record'!C344</f>
        <v>0</v>
      </c>
    </row>
    <row r="343" spans="1:11" x14ac:dyDescent="0.25">
      <c r="A343" s="38">
        <f t="shared" si="44"/>
        <v>1</v>
      </c>
      <c r="B343" s="38">
        <f>IF(K343=$P$15,$M$4,IF(K343=$P$13,'Leave Entry'!$B$4,F343-1))</f>
        <v>-1</v>
      </c>
      <c r="C343" s="23">
        <f t="shared" si="41"/>
        <v>-1</v>
      </c>
      <c r="D343" s="42">
        <f t="shared" si="43"/>
        <v>-4.5454545454545456E-2</v>
      </c>
      <c r="E343" s="42">
        <f t="shared" si="45"/>
        <v>-15.363636363636317</v>
      </c>
      <c r="F343" s="38">
        <f>'Leave Record'!A345</f>
        <v>0</v>
      </c>
      <c r="G343" s="38">
        <f>'Leave Record'!B345</f>
        <v>0</v>
      </c>
      <c r="H343" s="23">
        <f t="shared" si="42"/>
        <v>1</v>
      </c>
      <c r="I343" s="23">
        <f t="shared" si="46"/>
        <v>0</v>
      </c>
      <c r="J343" s="42">
        <f t="shared" si="47"/>
        <v>-15.363636363636317</v>
      </c>
      <c r="K343" s="23">
        <f>'Leave Record'!C345</f>
        <v>0</v>
      </c>
    </row>
    <row r="344" spans="1:11" x14ac:dyDescent="0.25">
      <c r="A344" s="38">
        <f t="shared" si="44"/>
        <v>1</v>
      </c>
      <c r="B344" s="38">
        <f>IF(K344=$P$15,$M$4,IF(K344=$P$13,'Leave Entry'!$B$4,F344-1))</f>
        <v>-1</v>
      </c>
      <c r="C344" s="23">
        <f t="shared" si="41"/>
        <v>-1</v>
      </c>
      <c r="D344" s="42">
        <f t="shared" si="43"/>
        <v>-4.5454545454545456E-2</v>
      </c>
      <c r="E344" s="42">
        <f t="shared" si="45"/>
        <v>-15.409090909090862</v>
      </c>
      <c r="F344" s="38">
        <f>'Leave Record'!A346</f>
        <v>0</v>
      </c>
      <c r="G344" s="38">
        <f>'Leave Record'!B346</f>
        <v>0</v>
      </c>
      <c r="H344" s="23">
        <f t="shared" si="42"/>
        <v>1</v>
      </c>
      <c r="I344" s="23">
        <f t="shared" si="46"/>
        <v>0</v>
      </c>
      <c r="J344" s="42">
        <f t="shared" si="47"/>
        <v>-15.409090909090862</v>
      </c>
      <c r="K344" s="23">
        <f>'Leave Record'!C346</f>
        <v>0</v>
      </c>
    </row>
    <row r="345" spans="1:11" x14ac:dyDescent="0.25">
      <c r="A345" s="38">
        <f t="shared" si="44"/>
        <v>1</v>
      </c>
      <c r="B345" s="38">
        <f>IF(K345=$P$15,$M$4,IF(K345=$P$13,'Leave Entry'!$B$4,F345-1))</f>
        <v>-1</v>
      </c>
      <c r="C345" s="23">
        <f t="shared" si="41"/>
        <v>-1</v>
      </c>
      <c r="D345" s="42">
        <f t="shared" si="43"/>
        <v>-4.5454545454545456E-2</v>
      </c>
      <c r="E345" s="42">
        <f t="shared" si="45"/>
        <v>-15.454545454545407</v>
      </c>
      <c r="F345" s="38">
        <f>'Leave Record'!A347</f>
        <v>0</v>
      </c>
      <c r="G345" s="38">
        <f>'Leave Record'!B347</f>
        <v>0</v>
      </c>
      <c r="H345" s="23">
        <f t="shared" si="42"/>
        <v>1</v>
      </c>
      <c r="I345" s="23">
        <f t="shared" si="46"/>
        <v>0</v>
      </c>
      <c r="J345" s="42">
        <f t="shared" si="47"/>
        <v>-15.454545454545407</v>
      </c>
      <c r="K345" s="23">
        <f>'Leave Record'!C347</f>
        <v>0</v>
      </c>
    </row>
    <row r="346" spans="1:11" x14ac:dyDescent="0.25">
      <c r="A346" s="38">
        <f t="shared" si="44"/>
        <v>1</v>
      </c>
      <c r="B346" s="38">
        <f>IF(K346=$P$15,$M$4,IF(K346=$P$13,'Leave Entry'!$B$4,F346-1))</f>
        <v>-1</v>
      </c>
      <c r="C346" s="23">
        <f t="shared" si="41"/>
        <v>-1</v>
      </c>
      <c r="D346" s="42">
        <f t="shared" si="43"/>
        <v>-4.5454545454545456E-2</v>
      </c>
      <c r="E346" s="42">
        <f t="shared" si="45"/>
        <v>-15.499999999999952</v>
      </c>
      <c r="F346" s="38">
        <f>'Leave Record'!A348</f>
        <v>0</v>
      </c>
      <c r="G346" s="38">
        <f>'Leave Record'!B348</f>
        <v>0</v>
      </c>
      <c r="H346" s="23">
        <f t="shared" si="42"/>
        <v>1</v>
      </c>
      <c r="I346" s="23">
        <f t="shared" si="46"/>
        <v>0</v>
      </c>
      <c r="J346" s="42">
        <f t="shared" si="47"/>
        <v>-15.499999999999952</v>
      </c>
      <c r="K346" s="23">
        <f>'Leave Record'!C348</f>
        <v>0</v>
      </c>
    </row>
    <row r="347" spans="1:11" x14ac:dyDescent="0.25">
      <c r="A347" s="38">
        <f t="shared" si="44"/>
        <v>1</v>
      </c>
      <c r="B347" s="38">
        <f>IF(K347=$P$15,$M$4,IF(K347=$P$13,'Leave Entry'!$B$4,F347-1))</f>
        <v>-1</v>
      </c>
      <c r="C347" s="23">
        <f t="shared" si="41"/>
        <v>-1</v>
      </c>
      <c r="D347" s="42">
        <f t="shared" si="43"/>
        <v>-4.5454545454545456E-2</v>
      </c>
      <c r="E347" s="42">
        <f t="shared" si="45"/>
        <v>-15.545454545454497</v>
      </c>
      <c r="F347" s="38">
        <f>'Leave Record'!A349</f>
        <v>0</v>
      </c>
      <c r="G347" s="38">
        <f>'Leave Record'!B349</f>
        <v>0</v>
      </c>
      <c r="H347" s="23">
        <f t="shared" si="42"/>
        <v>1</v>
      </c>
      <c r="I347" s="23">
        <f t="shared" si="46"/>
        <v>0</v>
      </c>
      <c r="J347" s="42">
        <f t="shared" si="47"/>
        <v>-15.545454545454497</v>
      </c>
      <c r="K347" s="23">
        <f>'Leave Record'!C349</f>
        <v>0</v>
      </c>
    </row>
    <row r="348" spans="1:11" x14ac:dyDescent="0.25">
      <c r="A348" s="38">
        <f t="shared" si="44"/>
        <v>1</v>
      </c>
      <c r="B348" s="38">
        <f>IF(K348=$P$15,$M$4,IF(K348=$P$13,'Leave Entry'!$B$4,F348-1))</f>
        <v>-1</v>
      </c>
      <c r="C348" s="23">
        <f t="shared" si="41"/>
        <v>-1</v>
      </c>
      <c r="D348" s="42">
        <f t="shared" si="43"/>
        <v>-4.5454545454545456E-2</v>
      </c>
      <c r="E348" s="42">
        <f t="shared" si="45"/>
        <v>-15.590909090909042</v>
      </c>
      <c r="F348" s="38">
        <f>'Leave Record'!A350</f>
        <v>0</v>
      </c>
      <c r="G348" s="38">
        <f>'Leave Record'!B350</f>
        <v>0</v>
      </c>
      <c r="H348" s="23">
        <f t="shared" si="42"/>
        <v>1</v>
      </c>
      <c r="I348" s="23">
        <f t="shared" si="46"/>
        <v>0</v>
      </c>
      <c r="J348" s="42">
        <f t="shared" si="47"/>
        <v>-15.590909090909042</v>
      </c>
      <c r="K348" s="23">
        <f>'Leave Record'!C350</f>
        <v>0</v>
      </c>
    </row>
    <row r="349" spans="1:11" x14ac:dyDescent="0.25">
      <c r="A349" s="38">
        <f t="shared" si="44"/>
        <v>1</v>
      </c>
      <c r="B349" s="38">
        <f>IF(K349=$P$15,$M$4,IF(K349=$P$13,'Leave Entry'!$B$4,F349-1))</f>
        <v>-1</v>
      </c>
      <c r="C349" s="23">
        <f t="shared" si="41"/>
        <v>-1</v>
      </c>
      <c r="D349" s="42">
        <f t="shared" si="43"/>
        <v>-4.5454545454545456E-2</v>
      </c>
      <c r="E349" s="42">
        <f t="shared" si="45"/>
        <v>-15.636363636363587</v>
      </c>
      <c r="F349" s="38">
        <f>'Leave Record'!A351</f>
        <v>0</v>
      </c>
      <c r="G349" s="38">
        <f>'Leave Record'!B351</f>
        <v>0</v>
      </c>
      <c r="H349" s="23">
        <f t="shared" si="42"/>
        <v>1</v>
      </c>
      <c r="I349" s="23">
        <f t="shared" si="46"/>
        <v>0</v>
      </c>
      <c r="J349" s="42">
        <f t="shared" si="47"/>
        <v>-15.636363636363587</v>
      </c>
      <c r="K349" s="23">
        <f>'Leave Record'!C351</f>
        <v>0</v>
      </c>
    </row>
    <row r="350" spans="1:11" x14ac:dyDescent="0.25">
      <c r="A350" s="38">
        <f t="shared" si="44"/>
        <v>1</v>
      </c>
      <c r="B350" s="38">
        <f>IF(K350=$P$15,$M$4,IF(K350=$P$13,'Leave Entry'!$B$4,F350-1))</f>
        <v>-1</v>
      </c>
      <c r="C350" s="23">
        <f t="shared" si="41"/>
        <v>-1</v>
      </c>
      <c r="D350" s="42">
        <f t="shared" si="43"/>
        <v>-4.5454545454545456E-2</v>
      </c>
      <c r="E350" s="42">
        <f t="shared" si="45"/>
        <v>-15.681818181818132</v>
      </c>
      <c r="F350" s="38">
        <f>'Leave Record'!A352</f>
        <v>0</v>
      </c>
      <c r="G350" s="38">
        <f>'Leave Record'!B352</f>
        <v>0</v>
      </c>
      <c r="H350" s="23">
        <f t="shared" si="42"/>
        <v>1</v>
      </c>
      <c r="I350" s="23">
        <f t="shared" si="46"/>
        <v>0</v>
      </c>
      <c r="J350" s="42">
        <f t="shared" si="47"/>
        <v>-15.681818181818132</v>
      </c>
      <c r="K350" s="23">
        <f>'Leave Record'!C352</f>
        <v>0</v>
      </c>
    </row>
    <row r="351" spans="1:11" x14ac:dyDescent="0.25">
      <c r="A351" s="38">
        <f t="shared" si="44"/>
        <v>1</v>
      </c>
      <c r="B351" s="38">
        <f>IF(K351=$P$15,$M$4,IF(K351=$P$13,'Leave Entry'!$B$4,F351-1))</f>
        <v>-1</v>
      </c>
      <c r="C351" s="23">
        <f t="shared" si="41"/>
        <v>-1</v>
      </c>
      <c r="D351" s="42">
        <f t="shared" si="43"/>
        <v>-4.5454545454545456E-2</v>
      </c>
      <c r="E351" s="42">
        <f t="shared" si="45"/>
        <v>-15.727272727272677</v>
      </c>
      <c r="F351" s="38">
        <f>'Leave Record'!A353</f>
        <v>0</v>
      </c>
      <c r="G351" s="38">
        <f>'Leave Record'!B353</f>
        <v>0</v>
      </c>
      <c r="H351" s="23">
        <f t="shared" si="42"/>
        <v>1</v>
      </c>
      <c r="I351" s="23">
        <f t="shared" si="46"/>
        <v>0</v>
      </c>
      <c r="J351" s="42">
        <f t="shared" si="47"/>
        <v>-15.727272727272677</v>
      </c>
      <c r="K351" s="23">
        <f>'Leave Record'!C353</f>
        <v>0</v>
      </c>
    </row>
    <row r="352" spans="1:11" x14ac:dyDescent="0.25">
      <c r="A352" s="38">
        <f t="shared" si="44"/>
        <v>1</v>
      </c>
      <c r="B352" s="38">
        <f>IF(K352=$P$15,$M$4,IF(K352=$P$13,'Leave Entry'!$B$4,F352-1))</f>
        <v>-1</v>
      </c>
      <c r="C352" s="23">
        <f t="shared" si="41"/>
        <v>-1</v>
      </c>
      <c r="D352" s="42">
        <f t="shared" si="43"/>
        <v>-4.5454545454545456E-2</v>
      </c>
      <c r="E352" s="42">
        <f t="shared" si="45"/>
        <v>-15.772727272727222</v>
      </c>
      <c r="F352" s="38">
        <f>'Leave Record'!A354</f>
        <v>0</v>
      </c>
      <c r="G352" s="38">
        <f>'Leave Record'!B354</f>
        <v>0</v>
      </c>
      <c r="H352" s="23">
        <f t="shared" si="42"/>
        <v>1</v>
      </c>
      <c r="I352" s="23">
        <f t="shared" si="46"/>
        <v>0</v>
      </c>
      <c r="J352" s="42">
        <f t="shared" si="47"/>
        <v>-15.772727272727222</v>
      </c>
      <c r="K352" s="23">
        <f>'Leave Record'!C354</f>
        <v>0</v>
      </c>
    </row>
    <row r="353" spans="1:11" x14ac:dyDescent="0.25">
      <c r="A353" s="38">
        <f t="shared" si="44"/>
        <v>1</v>
      </c>
      <c r="B353" s="38">
        <f>IF(K353=$P$15,$M$4,IF(K353=$P$13,'Leave Entry'!$B$4,F353-1))</f>
        <v>-1</v>
      </c>
      <c r="C353" s="23">
        <f t="shared" si="41"/>
        <v>-1</v>
      </c>
      <c r="D353" s="42">
        <f t="shared" si="43"/>
        <v>-4.5454545454545456E-2</v>
      </c>
      <c r="E353" s="42">
        <f t="shared" si="45"/>
        <v>-15.818181818181767</v>
      </c>
      <c r="F353" s="38">
        <f>'Leave Record'!A355</f>
        <v>0</v>
      </c>
      <c r="G353" s="38">
        <f>'Leave Record'!B355</f>
        <v>0</v>
      </c>
      <c r="H353" s="23">
        <f t="shared" si="42"/>
        <v>1</v>
      </c>
      <c r="I353" s="23">
        <f t="shared" si="46"/>
        <v>0</v>
      </c>
      <c r="J353" s="42">
        <f t="shared" si="47"/>
        <v>-15.818181818181767</v>
      </c>
      <c r="K353" s="23">
        <f>'Leave Record'!C355</f>
        <v>0</v>
      </c>
    </row>
    <row r="354" spans="1:11" x14ac:dyDescent="0.25">
      <c r="A354" s="38">
        <f t="shared" si="44"/>
        <v>1</v>
      </c>
      <c r="B354" s="38">
        <f>IF(K354=$P$15,$M$4,IF(K354=$P$13,'Leave Entry'!$B$4,F354-1))</f>
        <v>-1</v>
      </c>
      <c r="C354" s="23">
        <f t="shared" si="41"/>
        <v>-1</v>
      </c>
      <c r="D354" s="42">
        <f t="shared" si="43"/>
        <v>-4.5454545454545456E-2</v>
      </c>
      <c r="E354" s="42">
        <f t="shared" si="45"/>
        <v>-15.863636363636312</v>
      </c>
      <c r="F354" s="38">
        <f>'Leave Record'!A356</f>
        <v>0</v>
      </c>
      <c r="G354" s="38">
        <f>'Leave Record'!B356</f>
        <v>0</v>
      </c>
      <c r="H354" s="23">
        <f t="shared" si="42"/>
        <v>1</v>
      </c>
      <c r="I354" s="23">
        <f t="shared" si="46"/>
        <v>0</v>
      </c>
      <c r="J354" s="42">
        <f t="shared" si="47"/>
        <v>-15.863636363636312</v>
      </c>
      <c r="K354" s="23">
        <f>'Leave Record'!C356</f>
        <v>0</v>
      </c>
    </row>
    <row r="355" spans="1:11" x14ac:dyDescent="0.25">
      <c r="A355" s="38">
        <f t="shared" si="44"/>
        <v>1</v>
      </c>
      <c r="B355" s="38">
        <f>IF(K355=$P$15,$M$4,IF(K355=$P$13,'Leave Entry'!$B$4,F355-1))</f>
        <v>-1</v>
      </c>
      <c r="C355" s="23">
        <f t="shared" si="41"/>
        <v>-1</v>
      </c>
      <c r="D355" s="42">
        <f t="shared" si="43"/>
        <v>-4.5454545454545456E-2</v>
      </c>
      <c r="E355" s="42">
        <f t="shared" si="45"/>
        <v>-15.909090909090857</v>
      </c>
      <c r="F355" s="38">
        <f>'Leave Record'!A357</f>
        <v>0</v>
      </c>
      <c r="G355" s="38">
        <f>'Leave Record'!B357</f>
        <v>0</v>
      </c>
      <c r="H355" s="23">
        <f t="shared" si="42"/>
        <v>1</v>
      </c>
      <c r="I355" s="23">
        <f t="shared" si="46"/>
        <v>0</v>
      </c>
      <c r="J355" s="42">
        <f t="shared" si="47"/>
        <v>-15.909090909090857</v>
      </c>
      <c r="K355" s="23">
        <f>'Leave Record'!C357</f>
        <v>0</v>
      </c>
    </row>
    <row r="356" spans="1:11" x14ac:dyDescent="0.25">
      <c r="A356" s="38">
        <f t="shared" si="44"/>
        <v>1</v>
      </c>
      <c r="B356" s="38">
        <f>IF(K356=$P$15,$M$4,IF(K356=$P$13,'Leave Entry'!$B$4,F356-1))</f>
        <v>-1</v>
      </c>
      <c r="C356" s="23">
        <f t="shared" si="41"/>
        <v>-1</v>
      </c>
      <c r="D356" s="42">
        <f t="shared" si="43"/>
        <v>-4.5454545454545456E-2</v>
      </c>
      <c r="E356" s="42">
        <f t="shared" si="45"/>
        <v>-15.954545454545402</v>
      </c>
      <c r="F356" s="38">
        <f>'Leave Record'!A358</f>
        <v>0</v>
      </c>
      <c r="G356" s="38">
        <f>'Leave Record'!B358</f>
        <v>0</v>
      </c>
      <c r="H356" s="23">
        <f t="shared" si="42"/>
        <v>1</v>
      </c>
      <c r="I356" s="23">
        <f t="shared" si="46"/>
        <v>0</v>
      </c>
      <c r="J356" s="42">
        <f t="shared" si="47"/>
        <v>-15.954545454545402</v>
      </c>
      <c r="K356" s="23">
        <f>'Leave Record'!C358</f>
        <v>0</v>
      </c>
    </row>
    <row r="357" spans="1:11" x14ac:dyDescent="0.25">
      <c r="A357" s="38">
        <f t="shared" si="44"/>
        <v>1</v>
      </c>
      <c r="B357" s="38">
        <f>IF(K357=$P$15,$M$4,IF(K357=$P$13,'Leave Entry'!$B$4,F357-1))</f>
        <v>-1</v>
      </c>
      <c r="C357" s="23">
        <f t="shared" si="41"/>
        <v>-1</v>
      </c>
      <c r="D357" s="42">
        <f t="shared" si="43"/>
        <v>-4.5454545454545456E-2</v>
      </c>
      <c r="E357" s="42">
        <f t="shared" si="45"/>
        <v>-15.999999999999947</v>
      </c>
      <c r="F357" s="38">
        <f>'Leave Record'!A359</f>
        <v>0</v>
      </c>
      <c r="G357" s="38">
        <f>'Leave Record'!B359</f>
        <v>0</v>
      </c>
      <c r="H357" s="23">
        <f t="shared" si="42"/>
        <v>1</v>
      </c>
      <c r="I357" s="23">
        <f t="shared" si="46"/>
        <v>0</v>
      </c>
      <c r="J357" s="42">
        <f t="shared" si="47"/>
        <v>-15.999999999999947</v>
      </c>
      <c r="K357" s="23">
        <f>'Leave Record'!C359</f>
        <v>0</v>
      </c>
    </row>
    <row r="358" spans="1:11" x14ac:dyDescent="0.25">
      <c r="A358" s="38">
        <f t="shared" si="44"/>
        <v>1</v>
      </c>
      <c r="B358" s="38">
        <f>IF(K358=$P$15,$M$4,IF(K358=$P$13,'Leave Entry'!$B$4,F358-1))</f>
        <v>-1</v>
      </c>
      <c r="C358" s="23">
        <f t="shared" si="41"/>
        <v>-1</v>
      </c>
      <c r="D358" s="42">
        <f t="shared" si="43"/>
        <v>-4.5454545454545456E-2</v>
      </c>
      <c r="E358" s="42">
        <f t="shared" si="45"/>
        <v>-16.045454545454493</v>
      </c>
      <c r="F358" s="38">
        <f>'Leave Record'!A360</f>
        <v>0</v>
      </c>
      <c r="G358" s="38">
        <f>'Leave Record'!B360</f>
        <v>0</v>
      </c>
      <c r="H358" s="23">
        <f t="shared" si="42"/>
        <v>1</v>
      </c>
      <c r="I358" s="23">
        <f t="shared" si="46"/>
        <v>0</v>
      </c>
      <c r="J358" s="42">
        <f t="shared" si="47"/>
        <v>-16.045454545454493</v>
      </c>
      <c r="K358" s="23">
        <f>'Leave Record'!C360</f>
        <v>0</v>
      </c>
    </row>
    <row r="359" spans="1:11" x14ac:dyDescent="0.25">
      <c r="A359" s="38">
        <f t="shared" si="44"/>
        <v>1</v>
      </c>
      <c r="B359" s="38">
        <f>IF(K359=$P$15,$M$4,IF(K359=$P$13,'Leave Entry'!$B$4,F359-1))</f>
        <v>-1</v>
      </c>
      <c r="C359" s="23">
        <f t="shared" si="41"/>
        <v>-1</v>
      </c>
      <c r="D359" s="42">
        <f t="shared" si="43"/>
        <v>-4.5454545454545456E-2</v>
      </c>
      <c r="E359" s="42">
        <f t="shared" si="45"/>
        <v>-16.09090909090904</v>
      </c>
      <c r="F359" s="38">
        <f>'Leave Record'!A361</f>
        <v>0</v>
      </c>
      <c r="G359" s="38">
        <f>'Leave Record'!B361</f>
        <v>0</v>
      </c>
      <c r="H359" s="23">
        <f t="shared" si="42"/>
        <v>1</v>
      </c>
      <c r="I359" s="23">
        <f t="shared" si="46"/>
        <v>0</v>
      </c>
      <c r="J359" s="42">
        <f t="shared" si="47"/>
        <v>-16.09090909090904</v>
      </c>
      <c r="K359" s="23">
        <f>'Leave Record'!C361</f>
        <v>0</v>
      </c>
    </row>
    <row r="360" spans="1:11" x14ac:dyDescent="0.25">
      <c r="A360" s="38">
        <f t="shared" si="44"/>
        <v>1</v>
      </c>
      <c r="B360" s="38">
        <f>IF(K360=$P$15,$M$4,IF(K360=$P$13,'Leave Entry'!$B$4,F360-1))</f>
        <v>-1</v>
      </c>
      <c r="C360" s="23">
        <f t="shared" si="41"/>
        <v>-1</v>
      </c>
      <c r="D360" s="42">
        <f t="shared" si="43"/>
        <v>-4.5454545454545456E-2</v>
      </c>
      <c r="E360" s="42">
        <f t="shared" si="45"/>
        <v>-16.136363636363587</v>
      </c>
      <c r="F360" s="38">
        <f>'Leave Record'!A362</f>
        <v>0</v>
      </c>
      <c r="G360" s="38">
        <f>'Leave Record'!B362</f>
        <v>0</v>
      </c>
      <c r="H360" s="23">
        <f t="shared" si="42"/>
        <v>1</v>
      </c>
      <c r="I360" s="23">
        <f t="shared" si="46"/>
        <v>0</v>
      </c>
      <c r="J360" s="42">
        <f t="shared" si="47"/>
        <v>-16.136363636363587</v>
      </c>
      <c r="K360" s="23">
        <f>'Leave Record'!C362</f>
        <v>0</v>
      </c>
    </row>
    <row r="361" spans="1:11" x14ac:dyDescent="0.25">
      <c r="A361" s="38">
        <f t="shared" si="44"/>
        <v>1</v>
      </c>
      <c r="B361" s="38">
        <f>IF(K361=$P$15,$M$4,IF(K361=$P$13,'Leave Entry'!$B$4,F361-1))</f>
        <v>-1</v>
      </c>
      <c r="C361" s="23">
        <f t="shared" si="41"/>
        <v>-1</v>
      </c>
      <c r="D361" s="42">
        <f t="shared" si="43"/>
        <v>-4.5454545454545456E-2</v>
      </c>
      <c r="E361" s="42">
        <f t="shared" si="45"/>
        <v>-16.181818181818134</v>
      </c>
      <c r="F361" s="38">
        <f>'Leave Record'!A363</f>
        <v>0</v>
      </c>
      <c r="G361" s="38">
        <f>'Leave Record'!B363</f>
        <v>0</v>
      </c>
      <c r="H361" s="23">
        <f t="shared" si="42"/>
        <v>1</v>
      </c>
      <c r="I361" s="23">
        <f t="shared" si="46"/>
        <v>0</v>
      </c>
      <c r="J361" s="42">
        <f t="shared" si="47"/>
        <v>-16.181818181818134</v>
      </c>
      <c r="K361" s="23">
        <f>'Leave Record'!C363</f>
        <v>0</v>
      </c>
    </row>
    <row r="362" spans="1:11" x14ac:dyDescent="0.25">
      <c r="A362" s="38">
        <f t="shared" si="44"/>
        <v>1</v>
      </c>
      <c r="B362" s="38">
        <f>IF(K362=$P$15,$M$4,IF(K362=$P$13,'Leave Entry'!$B$4,F362-1))</f>
        <v>-1</v>
      </c>
      <c r="C362" s="23">
        <f t="shared" si="41"/>
        <v>-1</v>
      </c>
      <c r="D362" s="42">
        <f t="shared" si="43"/>
        <v>-4.5454545454545456E-2</v>
      </c>
      <c r="E362" s="42">
        <f t="shared" si="45"/>
        <v>-16.22727272727268</v>
      </c>
      <c r="F362" s="38">
        <f>'Leave Record'!A364</f>
        <v>0</v>
      </c>
      <c r="G362" s="38">
        <f>'Leave Record'!B364</f>
        <v>0</v>
      </c>
      <c r="H362" s="23">
        <f t="shared" si="42"/>
        <v>1</v>
      </c>
      <c r="I362" s="23">
        <f t="shared" si="46"/>
        <v>0</v>
      </c>
      <c r="J362" s="42">
        <f t="shared" si="47"/>
        <v>-16.22727272727268</v>
      </c>
      <c r="K362" s="23">
        <f>'Leave Record'!C364</f>
        <v>0</v>
      </c>
    </row>
    <row r="363" spans="1:11" x14ac:dyDescent="0.25">
      <c r="A363" s="38">
        <f t="shared" si="44"/>
        <v>1</v>
      </c>
      <c r="B363" s="38">
        <f>IF(K363=$P$15,$M$4,IF(K363=$P$13,'Leave Entry'!$B$4,F363-1))</f>
        <v>-1</v>
      </c>
      <c r="C363" s="23">
        <f t="shared" si="41"/>
        <v>-1</v>
      </c>
      <c r="D363" s="42">
        <f t="shared" si="43"/>
        <v>-4.5454545454545456E-2</v>
      </c>
      <c r="E363" s="42">
        <f t="shared" si="45"/>
        <v>-16.272727272727227</v>
      </c>
      <c r="F363" s="38">
        <f>'Leave Record'!A365</f>
        <v>0</v>
      </c>
      <c r="G363" s="38">
        <f>'Leave Record'!B365</f>
        <v>0</v>
      </c>
      <c r="H363" s="23">
        <f t="shared" si="42"/>
        <v>1</v>
      </c>
      <c r="I363" s="23">
        <f t="shared" si="46"/>
        <v>0</v>
      </c>
      <c r="J363" s="42">
        <f t="shared" si="47"/>
        <v>-16.272727272727227</v>
      </c>
      <c r="K363" s="23">
        <f>'Leave Record'!C365</f>
        <v>0</v>
      </c>
    </row>
    <row r="364" spans="1:11" x14ac:dyDescent="0.25">
      <c r="A364" s="38">
        <f t="shared" si="44"/>
        <v>1</v>
      </c>
      <c r="B364" s="38">
        <f>IF(K364=$P$15,$M$4,IF(K364=$P$13,'Leave Entry'!$B$4,F364-1))</f>
        <v>-1</v>
      </c>
      <c r="C364" s="23">
        <f t="shared" si="41"/>
        <v>-1</v>
      </c>
      <c r="D364" s="42">
        <f t="shared" si="43"/>
        <v>-4.5454545454545456E-2</v>
      </c>
      <c r="E364" s="42">
        <f t="shared" si="45"/>
        <v>-16.318181818181774</v>
      </c>
      <c r="F364" s="38">
        <f>'Leave Record'!A366</f>
        <v>0</v>
      </c>
      <c r="G364" s="38">
        <f>'Leave Record'!B366</f>
        <v>0</v>
      </c>
      <c r="H364" s="23">
        <f t="shared" si="42"/>
        <v>1</v>
      </c>
      <c r="I364" s="23">
        <f t="shared" si="46"/>
        <v>0</v>
      </c>
      <c r="J364" s="42">
        <f t="shared" si="47"/>
        <v>-16.318181818181774</v>
      </c>
      <c r="K364" s="23">
        <f>'Leave Record'!C366</f>
        <v>0</v>
      </c>
    </row>
    <row r="365" spans="1:11" x14ac:dyDescent="0.25">
      <c r="A365" s="38">
        <f t="shared" si="44"/>
        <v>1</v>
      </c>
      <c r="B365" s="38">
        <f>IF(K365=$P$15,$M$4,IF(K365=$P$13,'Leave Entry'!$B$4,F365-1))</f>
        <v>-1</v>
      </c>
      <c r="C365" s="23">
        <f t="shared" si="41"/>
        <v>-1</v>
      </c>
      <c r="D365" s="42">
        <f t="shared" si="43"/>
        <v>-4.5454545454545456E-2</v>
      </c>
      <c r="E365" s="42">
        <f t="shared" si="45"/>
        <v>-16.363636363636321</v>
      </c>
      <c r="F365" s="38">
        <f>'Leave Record'!A367</f>
        <v>0</v>
      </c>
      <c r="G365" s="38">
        <f>'Leave Record'!B367</f>
        <v>0</v>
      </c>
      <c r="H365" s="23">
        <f t="shared" si="42"/>
        <v>1</v>
      </c>
      <c r="I365" s="23">
        <f t="shared" si="46"/>
        <v>0</v>
      </c>
      <c r="J365" s="42">
        <f t="shared" si="47"/>
        <v>-16.363636363636321</v>
      </c>
      <c r="K365" s="23">
        <f>'Leave Record'!C367</f>
        <v>0</v>
      </c>
    </row>
    <row r="366" spans="1:11" x14ac:dyDescent="0.25">
      <c r="A366" s="38">
        <f t="shared" si="44"/>
        <v>1</v>
      </c>
      <c r="B366" s="38">
        <f>IF(K366=$P$15,$M$4,IF(K366=$P$13,'Leave Entry'!$B$4,F366-1))</f>
        <v>-1</v>
      </c>
      <c r="C366" s="23">
        <f t="shared" si="41"/>
        <v>-1</v>
      </c>
      <c r="D366" s="42">
        <f t="shared" si="43"/>
        <v>-4.5454545454545456E-2</v>
      </c>
      <c r="E366" s="42">
        <f t="shared" si="45"/>
        <v>-16.409090909090867</v>
      </c>
      <c r="F366" s="38">
        <f>'Leave Record'!A368</f>
        <v>0</v>
      </c>
      <c r="G366" s="38">
        <f>'Leave Record'!B368</f>
        <v>0</v>
      </c>
      <c r="H366" s="23">
        <f t="shared" si="42"/>
        <v>1</v>
      </c>
      <c r="I366" s="23">
        <f t="shared" si="46"/>
        <v>0</v>
      </c>
      <c r="J366" s="42">
        <f t="shared" si="47"/>
        <v>-16.409090909090867</v>
      </c>
      <c r="K366" s="23">
        <f>'Leave Record'!C368</f>
        <v>0</v>
      </c>
    </row>
    <row r="367" spans="1:11" x14ac:dyDescent="0.25">
      <c r="A367" s="38">
        <f t="shared" si="44"/>
        <v>1</v>
      </c>
      <c r="B367" s="38">
        <f>IF(K367=$P$15,$M$4,IF(K367=$P$13,'Leave Entry'!$B$4,F367-1))</f>
        <v>-1</v>
      </c>
      <c r="C367" s="23">
        <f t="shared" si="41"/>
        <v>-1</v>
      </c>
      <c r="D367" s="42">
        <f t="shared" si="43"/>
        <v>-4.5454545454545456E-2</v>
      </c>
      <c r="E367" s="42">
        <f t="shared" si="45"/>
        <v>-16.454545454545414</v>
      </c>
      <c r="F367" s="38">
        <f>'Leave Record'!A369</f>
        <v>0</v>
      </c>
      <c r="G367" s="38">
        <f>'Leave Record'!B369</f>
        <v>0</v>
      </c>
      <c r="H367" s="23">
        <f t="shared" si="42"/>
        <v>1</v>
      </c>
      <c r="I367" s="23">
        <f t="shared" si="46"/>
        <v>0</v>
      </c>
      <c r="J367" s="42">
        <f t="shared" si="47"/>
        <v>-16.454545454545414</v>
      </c>
      <c r="K367" s="23">
        <f>'Leave Record'!C369</f>
        <v>0</v>
      </c>
    </row>
    <row r="368" spans="1:11" x14ac:dyDescent="0.25">
      <c r="A368" s="38">
        <f t="shared" si="44"/>
        <v>1</v>
      </c>
      <c r="B368" s="38">
        <f>IF(K368=$P$15,$M$4,IF(K368=$P$13,'Leave Entry'!$B$4,F368-1))</f>
        <v>-1</v>
      </c>
      <c r="C368" s="23">
        <f t="shared" si="41"/>
        <v>-1</v>
      </c>
      <c r="D368" s="42">
        <f t="shared" si="43"/>
        <v>-4.5454545454545456E-2</v>
      </c>
      <c r="E368" s="42">
        <f t="shared" si="45"/>
        <v>-16.499999999999961</v>
      </c>
      <c r="F368" s="38">
        <f>'Leave Record'!A370</f>
        <v>0</v>
      </c>
      <c r="G368" s="38">
        <f>'Leave Record'!B370</f>
        <v>0</v>
      </c>
      <c r="H368" s="23">
        <f t="shared" si="42"/>
        <v>1</v>
      </c>
      <c r="I368" s="23">
        <f t="shared" si="46"/>
        <v>0</v>
      </c>
      <c r="J368" s="42">
        <f t="shared" si="47"/>
        <v>-16.499999999999961</v>
      </c>
      <c r="K368" s="23">
        <f>'Leave Record'!C370</f>
        <v>0</v>
      </c>
    </row>
    <row r="369" spans="1:11" x14ac:dyDescent="0.25">
      <c r="A369" s="38">
        <f t="shared" si="44"/>
        <v>1</v>
      </c>
      <c r="B369" s="38">
        <f>IF(K369=$P$15,$M$4,IF(K369=$P$13,'Leave Entry'!$B$4,F369-1))</f>
        <v>-1</v>
      </c>
      <c r="C369" s="23">
        <f t="shared" si="41"/>
        <v>-1</v>
      </c>
      <c r="D369" s="42">
        <f t="shared" si="43"/>
        <v>-4.5454545454545456E-2</v>
      </c>
      <c r="E369" s="42">
        <f t="shared" si="45"/>
        <v>-16.545454545454508</v>
      </c>
      <c r="F369" s="38">
        <f>'Leave Record'!A371</f>
        <v>0</v>
      </c>
      <c r="G369" s="38">
        <f>'Leave Record'!B371</f>
        <v>0</v>
      </c>
      <c r="H369" s="23">
        <f t="shared" si="42"/>
        <v>1</v>
      </c>
      <c r="I369" s="23">
        <f t="shared" si="46"/>
        <v>0</v>
      </c>
      <c r="J369" s="42">
        <f t="shared" si="47"/>
        <v>-16.545454545454508</v>
      </c>
      <c r="K369" s="23">
        <f>'Leave Record'!C371</f>
        <v>0</v>
      </c>
    </row>
    <row r="370" spans="1:11" x14ac:dyDescent="0.25">
      <c r="A370" s="38">
        <f t="shared" si="44"/>
        <v>1</v>
      </c>
      <c r="B370" s="38">
        <f>IF(K370=$P$15,$M$4,IF(K370=$P$13,'Leave Entry'!$B$4,F370-1))</f>
        <v>-1</v>
      </c>
      <c r="C370" s="23">
        <f t="shared" si="41"/>
        <v>-1</v>
      </c>
      <c r="D370" s="42">
        <f t="shared" si="43"/>
        <v>-4.5454545454545456E-2</v>
      </c>
      <c r="E370" s="42">
        <f t="shared" si="45"/>
        <v>-16.590909090909054</v>
      </c>
      <c r="F370" s="38">
        <f>'Leave Record'!A372</f>
        <v>0</v>
      </c>
      <c r="G370" s="38">
        <f>'Leave Record'!B372</f>
        <v>0</v>
      </c>
      <c r="H370" s="23">
        <f t="shared" si="42"/>
        <v>1</v>
      </c>
      <c r="I370" s="23">
        <f t="shared" si="46"/>
        <v>0</v>
      </c>
      <c r="J370" s="42">
        <f t="shared" si="47"/>
        <v>-16.590909090909054</v>
      </c>
      <c r="K370" s="23">
        <f>'Leave Record'!C372</f>
        <v>0</v>
      </c>
    </row>
    <row r="371" spans="1:11" x14ac:dyDescent="0.25">
      <c r="A371" s="38">
        <f t="shared" si="44"/>
        <v>1</v>
      </c>
      <c r="B371" s="38">
        <f>IF(K371=$P$15,$M$4,IF(K371=$P$13,'Leave Entry'!$B$4,F371-1))</f>
        <v>-1</v>
      </c>
      <c r="C371" s="23">
        <f t="shared" si="41"/>
        <v>-1</v>
      </c>
      <c r="D371" s="42">
        <f t="shared" si="43"/>
        <v>-4.5454545454545456E-2</v>
      </c>
      <c r="E371" s="42">
        <f t="shared" si="45"/>
        <v>-16.636363636363601</v>
      </c>
      <c r="F371" s="38">
        <f>'Leave Record'!A373</f>
        <v>0</v>
      </c>
      <c r="G371" s="38">
        <f>'Leave Record'!B373</f>
        <v>0</v>
      </c>
      <c r="H371" s="23">
        <f t="shared" si="42"/>
        <v>1</v>
      </c>
      <c r="I371" s="23">
        <f t="shared" si="46"/>
        <v>0</v>
      </c>
      <c r="J371" s="42">
        <f t="shared" si="47"/>
        <v>-16.636363636363601</v>
      </c>
      <c r="K371" s="23">
        <f>'Leave Record'!C373</f>
        <v>0</v>
      </c>
    </row>
    <row r="372" spans="1:11" x14ac:dyDescent="0.25">
      <c r="A372" s="38">
        <f t="shared" si="44"/>
        <v>1</v>
      </c>
      <c r="B372" s="38">
        <f>IF(K372=$P$15,$M$4,IF(K372=$P$13,'Leave Entry'!$B$4,F372-1))</f>
        <v>-1</v>
      </c>
      <c r="C372" s="23">
        <f t="shared" si="41"/>
        <v>-1</v>
      </c>
      <c r="D372" s="42">
        <f t="shared" si="43"/>
        <v>-4.5454545454545456E-2</v>
      </c>
      <c r="E372" s="42">
        <f t="shared" si="45"/>
        <v>-16.681818181818148</v>
      </c>
      <c r="F372" s="38">
        <f>'Leave Record'!A374</f>
        <v>0</v>
      </c>
      <c r="G372" s="38">
        <f>'Leave Record'!B374</f>
        <v>0</v>
      </c>
      <c r="H372" s="23">
        <f t="shared" si="42"/>
        <v>1</v>
      </c>
      <c r="I372" s="23">
        <f t="shared" si="46"/>
        <v>0</v>
      </c>
      <c r="J372" s="42">
        <f t="shared" si="47"/>
        <v>-16.681818181818148</v>
      </c>
      <c r="K372" s="23">
        <f>'Leave Record'!C374</f>
        <v>0</v>
      </c>
    </row>
    <row r="373" spans="1:11" x14ac:dyDescent="0.25">
      <c r="A373" s="38">
        <f t="shared" si="44"/>
        <v>1</v>
      </c>
      <c r="B373" s="38">
        <f>IF(K373=$P$15,$M$4,IF(K373=$P$13,'Leave Entry'!$B$4,F373-1))</f>
        <v>-1</v>
      </c>
      <c r="C373" s="23">
        <f t="shared" si="41"/>
        <v>-1</v>
      </c>
      <c r="D373" s="42">
        <f t="shared" si="43"/>
        <v>-4.5454545454545456E-2</v>
      </c>
      <c r="E373" s="42">
        <f t="shared" si="45"/>
        <v>-16.727272727272695</v>
      </c>
      <c r="F373" s="38">
        <f>'Leave Record'!A375</f>
        <v>0</v>
      </c>
      <c r="G373" s="38">
        <f>'Leave Record'!B375</f>
        <v>0</v>
      </c>
      <c r="H373" s="23">
        <f t="shared" si="42"/>
        <v>1</v>
      </c>
      <c r="I373" s="23">
        <f t="shared" si="46"/>
        <v>0</v>
      </c>
      <c r="J373" s="42">
        <f t="shared" si="47"/>
        <v>-16.727272727272695</v>
      </c>
      <c r="K373" s="23">
        <f>'Leave Record'!C375</f>
        <v>0</v>
      </c>
    </row>
    <row r="374" spans="1:11" x14ac:dyDescent="0.25">
      <c r="A374" s="38">
        <f t="shared" si="44"/>
        <v>1</v>
      </c>
      <c r="B374" s="38">
        <f>IF(K374=$P$15,$M$4,IF(K374=$P$13,'Leave Entry'!$B$4,F374-1))</f>
        <v>-1</v>
      </c>
      <c r="C374" s="23">
        <f t="shared" si="41"/>
        <v>-1</v>
      </c>
      <c r="D374" s="42">
        <f t="shared" si="43"/>
        <v>-4.5454545454545456E-2</v>
      </c>
      <c r="E374" s="42">
        <f t="shared" si="45"/>
        <v>-16.772727272727241</v>
      </c>
      <c r="F374" s="38">
        <f>'Leave Record'!A376</f>
        <v>0</v>
      </c>
      <c r="G374" s="38">
        <f>'Leave Record'!B376</f>
        <v>0</v>
      </c>
      <c r="H374" s="23">
        <f t="shared" si="42"/>
        <v>1</v>
      </c>
      <c r="I374" s="23">
        <f t="shared" si="46"/>
        <v>0</v>
      </c>
      <c r="J374" s="42">
        <f t="shared" si="47"/>
        <v>-16.772727272727241</v>
      </c>
      <c r="K374" s="23">
        <f>'Leave Record'!C376</f>
        <v>0</v>
      </c>
    </row>
    <row r="375" spans="1:11" x14ac:dyDescent="0.25">
      <c r="A375" s="38">
        <f t="shared" si="44"/>
        <v>1</v>
      </c>
      <c r="B375" s="38">
        <f>IF(K375=$P$15,$M$4,IF(K375=$P$13,'Leave Entry'!$B$4,F375-1))</f>
        <v>-1</v>
      </c>
      <c r="C375" s="23">
        <f t="shared" si="41"/>
        <v>-1</v>
      </c>
      <c r="D375" s="42">
        <f t="shared" si="43"/>
        <v>-4.5454545454545456E-2</v>
      </c>
      <c r="E375" s="42">
        <f t="shared" si="45"/>
        <v>-16.818181818181788</v>
      </c>
      <c r="F375" s="38">
        <f>'Leave Record'!A377</f>
        <v>0</v>
      </c>
      <c r="G375" s="38">
        <f>'Leave Record'!B377</f>
        <v>0</v>
      </c>
      <c r="H375" s="23">
        <f t="shared" si="42"/>
        <v>1</v>
      </c>
      <c r="I375" s="23">
        <f t="shared" si="46"/>
        <v>0</v>
      </c>
      <c r="J375" s="42">
        <f t="shared" si="47"/>
        <v>-16.818181818181788</v>
      </c>
      <c r="K375" s="23">
        <f>'Leave Record'!C377</f>
        <v>0</v>
      </c>
    </row>
    <row r="376" spans="1:11" x14ac:dyDescent="0.25">
      <c r="A376" s="38">
        <f t="shared" si="44"/>
        <v>1</v>
      </c>
      <c r="B376" s="38">
        <f>IF(K376=$P$15,$M$4,IF(K376=$P$13,'Leave Entry'!$B$4,F376-1))</f>
        <v>-1</v>
      </c>
      <c r="C376" s="23">
        <f t="shared" si="41"/>
        <v>-1</v>
      </c>
      <c r="D376" s="42">
        <f t="shared" si="43"/>
        <v>-4.5454545454545456E-2</v>
      </c>
      <c r="E376" s="42">
        <f t="shared" si="45"/>
        <v>-16.863636363636335</v>
      </c>
      <c r="F376" s="38">
        <f>'Leave Record'!A378</f>
        <v>0</v>
      </c>
      <c r="G376" s="38">
        <f>'Leave Record'!B378</f>
        <v>0</v>
      </c>
      <c r="H376" s="23">
        <f t="shared" si="42"/>
        <v>1</v>
      </c>
      <c r="I376" s="23">
        <f t="shared" si="46"/>
        <v>0</v>
      </c>
      <c r="J376" s="42">
        <f t="shared" si="47"/>
        <v>-16.863636363636335</v>
      </c>
      <c r="K376" s="23">
        <f>'Leave Record'!C378</f>
        <v>0</v>
      </c>
    </row>
    <row r="377" spans="1:11" x14ac:dyDescent="0.25">
      <c r="A377" s="38">
        <f t="shared" si="44"/>
        <v>1</v>
      </c>
      <c r="B377" s="38">
        <f>IF(K377=$P$15,$M$4,IF(K377=$P$13,'Leave Entry'!$B$4,F377-1))</f>
        <v>-1</v>
      </c>
      <c r="C377" s="23">
        <f t="shared" si="41"/>
        <v>-1</v>
      </c>
      <c r="D377" s="42">
        <f t="shared" si="43"/>
        <v>-4.5454545454545456E-2</v>
      </c>
      <c r="E377" s="42">
        <f t="shared" si="45"/>
        <v>-16.909090909090882</v>
      </c>
      <c r="F377" s="38">
        <f>'Leave Record'!A379</f>
        <v>0</v>
      </c>
      <c r="G377" s="38">
        <f>'Leave Record'!B379</f>
        <v>0</v>
      </c>
      <c r="H377" s="23">
        <f t="shared" si="42"/>
        <v>1</v>
      </c>
      <c r="I377" s="23">
        <f t="shared" si="46"/>
        <v>0</v>
      </c>
      <c r="J377" s="42">
        <f t="shared" si="47"/>
        <v>-16.909090909090882</v>
      </c>
      <c r="K377" s="23">
        <f>'Leave Record'!C379</f>
        <v>0</v>
      </c>
    </row>
    <row r="378" spans="1:11" x14ac:dyDescent="0.25">
      <c r="A378" s="38">
        <f t="shared" si="44"/>
        <v>1</v>
      </c>
      <c r="B378" s="38">
        <f>IF(K378=$P$15,$M$4,IF(K378=$P$13,'Leave Entry'!$B$4,F378-1))</f>
        <v>-1</v>
      </c>
      <c r="C378" s="23">
        <f t="shared" si="41"/>
        <v>-1</v>
      </c>
      <c r="D378" s="42">
        <f t="shared" si="43"/>
        <v>-4.5454545454545456E-2</v>
      </c>
      <c r="E378" s="42">
        <f t="shared" si="45"/>
        <v>-16.954545454545428</v>
      </c>
      <c r="F378" s="38">
        <f>'Leave Record'!A380</f>
        <v>0</v>
      </c>
      <c r="G378" s="38">
        <f>'Leave Record'!B380</f>
        <v>0</v>
      </c>
      <c r="H378" s="23">
        <f t="shared" si="42"/>
        <v>1</v>
      </c>
      <c r="I378" s="23">
        <f t="shared" si="46"/>
        <v>0</v>
      </c>
      <c r="J378" s="42">
        <f t="shared" si="47"/>
        <v>-16.954545454545428</v>
      </c>
      <c r="K378" s="23">
        <f>'Leave Record'!C380</f>
        <v>0</v>
      </c>
    </row>
    <row r="379" spans="1:11" x14ac:dyDescent="0.25">
      <c r="A379" s="38">
        <f t="shared" si="44"/>
        <v>1</v>
      </c>
      <c r="B379" s="38">
        <f>IF(K379=$P$15,$M$4,IF(K379=$P$13,'Leave Entry'!$B$4,F379-1))</f>
        <v>-1</v>
      </c>
      <c r="C379" s="23">
        <f t="shared" si="41"/>
        <v>-1</v>
      </c>
      <c r="D379" s="42">
        <f t="shared" si="43"/>
        <v>-4.5454545454545456E-2</v>
      </c>
      <c r="E379" s="42">
        <f t="shared" si="45"/>
        <v>-16.999999999999975</v>
      </c>
      <c r="F379" s="38">
        <f>'Leave Record'!A381</f>
        <v>0</v>
      </c>
      <c r="G379" s="38">
        <f>'Leave Record'!B381</f>
        <v>0</v>
      </c>
      <c r="H379" s="23">
        <f t="shared" si="42"/>
        <v>1</v>
      </c>
      <c r="I379" s="23">
        <f t="shared" si="46"/>
        <v>0</v>
      </c>
      <c r="J379" s="42">
        <f t="shared" si="47"/>
        <v>-16.999999999999975</v>
      </c>
      <c r="K379" s="23">
        <f>'Leave Record'!C381</f>
        <v>0</v>
      </c>
    </row>
    <row r="380" spans="1:11" x14ac:dyDescent="0.25">
      <c r="A380" s="38">
        <f t="shared" si="44"/>
        <v>1</v>
      </c>
      <c r="B380" s="38">
        <f>IF(K380=$P$15,$M$4,IF(K380=$P$13,'Leave Entry'!$B$4,F380-1))</f>
        <v>-1</v>
      </c>
      <c r="C380" s="23">
        <f t="shared" si="41"/>
        <v>-1</v>
      </c>
      <c r="D380" s="42">
        <f t="shared" si="43"/>
        <v>-4.5454545454545456E-2</v>
      </c>
      <c r="E380" s="42">
        <f t="shared" si="45"/>
        <v>-17.045454545454522</v>
      </c>
      <c r="F380" s="38">
        <f>'Leave Record'!A382</f>
        <v>0</v>
      </c>
      <c r="G380" s="38">
        <f>'Leave Record'!B382</f>
        <v>0</v>
      </c>
      <c r="H380" s="23">
        <f t="shared" si="42"/>
        <v>1</v>
      </c>
      <c r="I380" s="23">
        <f t="shared" si="46"/>
        <v>0</v>
      </c>
      <c r="J380" s="42">
        <f t="shared" si="47"/>
        <v>-17.045454545454522</v>
      </c>
      <c r="K380" s="23">
        <f>'Leave Record'!C382</f>
        <v>0</v>
      </c>
    </row>
    <row r="381" spans="1:11" x14ac:dyDescent="0.25">
      <c r="A381" s="38">
        <f t="shared" si="44"/>
        <v>1</v>
      </c>
      <c r="B381" s="38">
        <f>IF(K381=$P$15,$M$4,IF(K381=$P$13,'Leave Entry'!$B$4,F381-1))</f>
        <v>-1</v>
      </c>
      <c r="C381" s="23">
        <f t="shared" si="41"/>
        <v>-1</v>
      </c>
      <c r="D381" s="42">
        <f t="shared" si="43"/>
        <v>-4.5454545454545456E-2</v>
      </c>
      <c r="E381" s="42">
        <f t="shared" si="45"/>
        <v>-17.090909090909069</v>
      </c>
      <c r="F381" s="38">
        <f>'Leave Record'!A383</f>
        <v>0</v>
      </c>
      <c r="G381" s="38">
        <f>'Leave Record'!B383</f>
        <v>0</v>
      </c>
      <c r="H381" s="23">
        <f t="shared" si="42"/>
        <v>1</v>
      </c>
      <c r="I381" s="23">
        <f t="shared" si="46"/>
        <v>0</v>
      </c>
      <c r="J381" s="42">
        <f t="shared" si="47"/>
        <v>-17.090909090909069</v>
      </c>
      <c r="K381" s="23">
        <f>'Leave Record'!C383</f>
        <v>0</v>
      </c>
    </row>
    <row r="382" spans="1:11" x14ac:dyDescent="0.25">
      <c r="A382" s="38">
        <f t="shared" si="44"/>
        <v>1</v>
      </c>
      <c r="B382" s="38">
        <f>IF(K382=$P$15,$M$4,IF(K382=$P$13,'Leave Entry'!$B$4,F382-1))</f>
        <v>-1</v>
      </c>
      <c r="C382" s="23">
        <f t="shared" si="41"/>
        <v>-1</v>
      </c>
      <c r="D382" s="42">
        <f t="shared" si="43"/>
        <v>-4.5454545454545456E-2</v>
      </c>
      <c r="E382" s="42">
        <f t="shared" si="45"/>
        <v>-17.136363636363615</v>
      </c>
      <c r="F382" s="38">
        <f>'Leave Record'!A384</f>
        <v>0</v>
      </c>
      <c r="G382" s="38">
        <f>'Leave Record'!B384</f>
        <v>0</v>
      </c>
      <c r="H382" s="23">
        <f t="shared" si="42"/>
        <v>1</v>
      </c>
      <c r="I382" s="23">
        <f t="shared" si="46"/>
        <v>0</v>
      </c>
      <c r="J382" s="42">
        <f t="shared" si="47"/>
        <v>-17.136363636363615</v>
      </c>
      <c r="K382" s="23">
        <f>'Leave Record'!C384</f>
        <v>0</v>
      </c>
    </row>
    <row r="383" spans="1:11" x14ac:dyDescent="0.25">
      <c r="A383" s="38">
        <f t="shared" si="44"/>
        <v>1</v>
      </c>
      <c r="B383" s="38">
        <f>IF(K383=$P$15,$M$4,IF(K383=$P$13,'Leave Entry'!$B$4,F383-1))</f>
        <v>-1</v>
      </c>
      <c r="C383" s="23">
        <f t="shared" si="41"/>
        <v>-1</v>
      </c>
      <c r="D383" s="42">
        <f t="shared" si="43"/>
        <v>-4.5454545454545456E-2</v>
      </c>
      <c r="E383" s="42">
        <f t="shared" si="45"/>
        <v>-17.181818181818162</v>
      </c>
      <c r="F383" s="38">
        <f>'Leave Record'!A385</f>
        <v>0</v>
      </c>
      <c r="G383" s="38">
        <f>'Leave Record'!B385</f>
        <v>0</v>
      </c>
      <c r="H383" s="23">
        <f t="shared" si="42"/>
        <v>1</v>
      </c>
      <c r="I383" s="23">
        <f t="shared" si="46"/>
        <v>0</v>
      </c>
      <c r="J383" s="42">
        <f t="shared" si="47"/>
        <v>-17.181818181818162</v>
      </c>
      <c r="K383" s="23">
        <f>'Leave Record'!C385</f>
        <v>0</v>
      </c>
    </row>
    <row r="384" spans="1:11" x14ac:dyDescent="0.25">
      <c r="A384" s="38">
        <f t="shared" si="44"/>
        <v>1</v>
      </c>
      <c r="B384" s="38">
        <f>IF(K384=$P$15,$M$4,IF(K384=$P$13,'Leave Entry'!$B$4,F384-1))</f>
        <v>-1</v>
      </c>
      <c r="C384" s="23">
        <f t="shared" si="41"/>
        <v>-1</v>
      </c>
      <c r="D384" s="42">
        <f t="shared" si="43"/>
        <v>-4.5454545454545456E-2</v>
      </c>
      <c r="E384" s="42">
        <f t="shared" si="45"/>
        <v>-17.227272727272709</v>
      </c>
      <c r="F384" s="38">
        <f>'Leave Record'!A386</f>
        <v>0</v>
      </c>
      <c r="G384" s="38">
        <f>'Leave Record'!B386</f>
        <v>0</v>
      </c>
      <c r="H384" s="23">
        <f t="shared" si="42"/>
        <v>1</v>
      </c>
      <c r="I384" s="23">
        <f t="shared" si="46"/>
        <v>0</v>
      </c>
      <c r="J384" s="42">
        <f t="shared" si="47"/>
        <v>-17.227272727272709</v>
      </c>
      <c r="K384" s="23">
        <f>'Leave Record'!C386</f>
        <v>0</v>
      </c>
    </row>
    <row r="385" spans="1:11" x14ac:dyDescent="0.25">
      <c r="A385" s="38">
        <f t="shared" si="44"/>
        <v>1</v>
      </c>
      <c r="B385" s="38">
        <f>IF(K385=$P$15,$M$4,IF(K385=$P$13,'Leave Entry'!$B$4,F385-1))</f>
        <v>-1</v>
      </c>
      <c r="C385" s="23">
        <f t="shared" si="41"/>
        <v>-1</v>
      </c>
      <c r="D385" s="42">
        <f t="shared" si="43"/>
        <v>-4.5454545454545456E-2</v>
      </c>
      <c r="E385" s="42">
        <f t="shared" si="45"/>
        <v>-17.272727272727256</v>
      </c>
      <c r="F385" s="38">
        <f>'Leave Record'!A387</f>
        <v>0</v>
      </c>
      <c r="G385" s="38">
        <f>'Leave Record'!B387</f>
        <v>0</v>
      </c>
      <c r="H385" s="23">
        <f t="shared" si="42"/>
        <v>1</v>
      </c>
      <c r="I385" s="23">
        <f t="shared" si="46"/>
        <v>0</v>
      </c>
      <c r="J385" s="42">
        <f t="shared" si="47"/>
        <v>-17.272727272727256</v>
      </c>
      <c r="K385" s="23">
        <f>'Leave Record'!C387</f>
        <v>0</v>
      </c>
    </row>
    <row r="386" spans="1:11" x14ac:dyDescent="0.25">
      <c r="A386" s="38">
        <f t="shared" si="44"/>
        <v>1</v>
      </c>
      <c r="B386" s="38">
        <f>IF(K386=$P$15,$M$4,IF(K386=$P$13,'Leave Entry'!$B$4,F386-1))</f>
        <v>-1</v>
      </c>
      <c r="C386" s="23">
        <f t="shared" si="41"/>
        <v>-1</v>
      </c>
      <c r="D386" s="42">
        <f t="shared" si="43"/>
        <v>-4.5454545454545456E-2</v>
      </c>
      <c r="E386" s="42">
        <f t="shared" si="45"/>
        <v>-17.318181818181802</v>
      </c>
      <c r="F386" s="38">
        <f>'Leave Record'!A388</f>
        <v>0</v>
      </c>
      <c r="G386" s="38">
        <f>'Leave Record'!B388</f>
        <v>0</v>
      </c>
      <c r="H386" s="23">
        <f t="shared" si="42"/>
        <v>1</v>
      </c>
      <c r="I386" s="23">
        <f t="shared" si="46"/>
        <v>0</v>
      </c>
      <c r="J386" s="42">
        <f t="shared" si="47"/>
        <v>-17.318181818181802</v>
      </c>
      <c r="K386" s="23">
        <f>'Leave Record'!C388</f>
        <v>0</v>
      </c>
    </row>
    <row r="387" spans="1:11" x14ac:dyDescent="0.25">
      <c r="A387" s="38">
        <f t="shared" si="44"/>
        <v>1</v>
      </c>
      <c r="B387" s="38">
        <f>IF(K387=$P$15,$M$4,IF(K387=$P$13,'Leave Entry'!$B$4,F387-1))</f>
        <v>-1</v>
      </c>
      <c r="C387" s="23">
        <f t="shared" si="41"/>
        <v>-1</v>
      </c>
      <c r="D387" s="42">
        <f t="shared" si="43"/>
        <v>-4.5454545454545456E-2</v>
      </c>
      <c r="E387" s="42">
        <f t="shared" si="45"/>
        <v>-17.363636363636349</v>
      </c>
      <c r="F387" s="38">
        <f>'Leave Record'!A389</f>
        <v>0</v>
      </c>
      <c r="G387" s="38">
        <f>'Leave Record'!B389</f>
        <v>0</v>
      </c>
      <c r="H387" s="23">
        <f t="shared" si="42"/>
        <v>1</v>
      </c>
      <c r="I387" s="23">
        <f t="shared" si="46"/>
        <v>0</v>
      </c>
      <c r="J387" s="42">
        <f t="shared" si="47"/>
        <v>-17.363636363636349</v>
      </c>
      <c r="K387" s="23">
        <f>'Leave Record'!C389</f>
        <v>0</v>
      </c>
    </row>
    <row r="388" spans="1:11" x14ac:dyDescent="0.25">
      <c r="A388" s="38">
        <f t="shared" si="44"/>
        <v>1</v>
      </c>
      <c r="B388" s="38">
        <f>IF(K388=$P$15,$M$4,IF(K388=$P$13,'Leave Entry'!$B$4,F388-1))</f>
        <v>-1</v>
      </c>
      <c r="C388" s="23">
        <f t="shared" si="41"/>
        <v>-1</v>
      </c>
      <c r="D388" s="42">
        <f t="shared" si="43"/>
        <v>-4.5454545454545456E-2</v>
      </c>
      <c r="E388" s="42">
        <f t="shared" si="45"/>
        <v>-17.409090909090896</v>
      </c>
      <c r="F388" s="38">
        <f>'Leave Record'!A390</f>
        <v>0</v>
      </c>
      <c r="G388" s="38">
        <f>'Leave Record'!B390</f>
        <v>0</v>
      </c>
      <c r="H388" s="23">
        <f t="shared" si="42"/>
        <v>1</v>
      </c>
      <c r="I388" s="23">
        <f t="shared" si="46"/>
        <v>0</v>
      </c>
      <c r="J388" s="42">
        <f t="shared" si="47"/>
        <v>-17.409090909090896</v>
      </c>
      <c r="K388" s="23">
        <f>'Leave Record'!C390</f>
        <v>0</v>
      </c>
    </row>
    <row r="389" spans="1:11" x14ac:dyDescent="0.25">
      <c r="A389" s="38">
        <f t="shared" si="44"/>
        <v>1</v>
      </c>
      <c r="B389" s="38">
        <f>IF(K389=$P$15,$M$4,IF(K389=$P$13,'Leave Entry'!$B$4,F389-1))</f>
        <v>-1</v>
      </c>
      <c r="C389" s="23">
        <f t="shared" si="41"/>
        <v>-1</v>
      </c>
      <c r="D389" s="42">
        <f t="shared" si="43"/>
        <v>-4.5454545454545456E-2</v>
      </c>
      <c r="E389" s="42">
        <f t="shared" si="45"/>
        <v>-17.454545454545443</v>
      </c>
      <c r="F389" s="38">
        <f>'Leave Record'!A391</f>
        <v>0</v>
      </c>
      <c r="G389" s="38">
        <f>'Leave Record'!B391</f>
        <v>0</v>
      </c>
      <c r="H389" s="23">
        <f t="shared" si="42"/>
        <v>1</v>
      </c>
      <c r="I389" s="23">
        <f t="shared" si="46"/>
        <v>0</v>
      </c>
      <c r="J389" s="42">
        <f t="shared" si="47"/>
        <v>-17.454545454545443</v>
      </c>
      <c r="K389" s="23">
        <f>'Leave Record'!C391</f>
        <v>0</v>
      </c>
    </row>
    <row r="390" spans="1:11" x14ac:dyDescent="0.25">
      <c r="A390" s="38">
        <f t="shared" si="44"/>
        <v>1</v>
      </c>
      <c r="B390" s="38">
        <f>IF(K390=$P$15,$M$4,IF(K390=$P$13,'Leave Entry'!$B$4,F390-1))</f>
        <v>-1</v>
      </c>
      <c r="C390" s="23">
        <f t="shared" ref="C390:C453" si="48">B390-A390+1</f>
        <v>-1</v>
      </c>
      <c r="D390" s="42">
        <f t="shared" si="43"/>
        <v>-4.5454545454545456E-2</v>
      </c>
      <c r="E390" s="42">
        <f t="shared" si="45"/>
        <v>-17.499999999999989</v>
      </c>
      <c r="F390" s="38">
        <f>'Leave Record'!A392</f>
        <v>0</v>
      </c>
      <c r="G390" s="38">
        <f>'Leave Record'!B392</f>
        <v>0</v>
      </c>
      <c r="H390" s="23">
        <f t="shared" ref="H390:H453" si="49">G390-F390+1</f>
        <v>1</v>
      </c>
      <c r="I390" s="23">
        <f t="shared" si="46"/>
        <v>0</v>
      </c>
      <c r="J390" s="42">
        <f t="shared" si="47"/>
        <v>-17.499999999999989</v>
      </c>
      <c r="K390" s="23">
        <f>'Leave Record'!C392</f>
        <v>0</v>
      </c>
    </row>
    <row r="391" spans="1:11" x14ac:dyDescent="0.25">
      <c r="A391" s="38">
        <f t="shared" si="44"/>
        <v>1</v>
      </c>
      <c r="B391" s="38">
        <f>IF(K391=$P$15,$M$4,IF(K391=$P$13,'Leave Entry'!$B$4,F391-1))</f>
        <v>-1</v>
      </c>
      <c r="C391" s="23">
        <f t="shared" si="48"/>
        <v>-1</v>
      </c>
      <c r="D391" s="42">
        <f t="shared" ref="D391:D454" si="50">C391/22</f>
        <v>-4.5454545454545456E-2</v>
      </c>
      <c r="E391" s="42">
        <f t="shared" si="45"/>
        <v>-17.545454545454536</v>
      </c>
      <c r="F391" s="38">
        <f>'Leave Record'!A393</f>
        <v>0</v>
      </c>
      <c r="G391" s="38">
        <f>'Leave Record'!B393</f>
        <v>0</v>
      </c>
      <c r="H391" s="23">
        <f t="shared" si="49"/>
        <v>1</v>
      </c>
      <c r="I391" s="23">
        <f t="shared" si="46"/>
        <v>0</v>
      </c>
      <c r="J391" s="42">
        <f t="shared" si="47"/>
        <v>-17.545454545454536</v>
      </c>
      <c r="K391" s="23">
        <f>'Leave Record'!C393</f>
        <v>0</v>
      </c>
    </row>
    <row r="392" spans="1:11" x14ac:dyDescent="0.25">
      <c r="A392" s="38">
        <f t="shared" si="44"/>
        <v>1</v>
      </c>
      <c r="B392" s="38">
        <f>IF(K392=$P$15,$M$4,IF(K392=$P$13,'Leave Entry'!$B$4,F392-1))</f>
        <v>-1</v>
      </c>
      <c r="C392" s="23">
        <f t="shared" si="48"/>
        <v>-1</v>
      </c>
      <c r="D392" s="42">
        <f t="shared" si="50"/>
        <v>-4.5454545454545456E-2</v>
      </c>
      <c r="E392" s="42">
        <f t="shared" si="45"/>
        <v>-17.590909090909083</v>
      </c>
      <c r="F392" s="38">
        <f>'Leave Record'!A394</f>
        <v>0</v>
      </c>
      <c r="G392" s="38">
        <f>'Leave Record'!B394</f>
        <v>0</v>
      </c>
      <c r="H392" s="23">
        <f t="shared" si="49"/>
        <v>1</v>
      </c>
      <c r="I392" s="23">
        <f t="shared" si="46"/>
        <v>0</v>
      </c>
      <c r="J392" s="42">
        <f t="shared" si="47"/>
        <v>-17.590909090909083</v>
      </c>
      <c r="K392" s="23">
        <f>'Leave Record'!C394</f>
        <v>0</v>
      </c>
    </row>
    <row r="393" spans="1:11" x14ac:dyDescent="0.25">
      <c r="A393" s="38">
        <f t="shared" ref="A393:A456" si="51">G392+1</f>
        <v>1</v>
      </c>
      <c r="B393" s="38">
        <f>IF(K393=$P$15,$M$4,IF(K393=$P$13,'Leave Entry'!$B$4,F393-1))</f>
        <v>-1</v>
      </c>
      <c r="C393" s="23">
        <f t="shared" si="48"/>
        <v>-1</v>
      </c>
      <c r="D393" s="42">
        <f t="shared" si="50"/>
        <v>-4.5454545454545456E-2</v>
      </c>
      <c r="E393" s="42">
        <f t="shared" ref="E393:E456" si="52">J392+D393</f>
        <v>-17.63636363636363</v>
      </c>
      <c r="F393" s="38">
        <f>'Leave Record'!A395</f>
        <v>0</v>
      </c>
      <c r="G393" s="38">
        <f>'Leave Record'!B395</f>
        <v>0</v>
      </c>
      <c r="H393" s="23">
        <f t="shared" si="49"/>
        <v>1</v>
      </c>
      <c r="I393" s="23">
        <f t="shared" ref="I393:I456" si="53">IF(K393=$P$14,H393,0)</f>
        <v>0</v>
      </c>
      <c r="J393" s="42">
        <f t="shared" ref="J393:J456" si="54">E393-I393</f>
        <v>-17.63636363636363</v>
      </c>
      <c r="K393" s="23">
        <f>'Leave Record'!C395</f>
        <v>0</v>
      </c>
    </row>
    <row r="394" spans="1:11" x14ac:dyDescent="0.25">
      <c r="A394" s="38">
        <f t="shared" si="51"/>
        <v>1</v>
      </c>
      <c r="B394" s="38">
        <f>IF(K394=$P$15,$M$4,IF(K394=$P$13,'Leave Entry'!$B$4,F394-1))</f>
        <v>-1</v>
      </c>
      <c r="C394" s="23">
        <f t="shared" si="48"/>
        <v>-1</v>
      </c>
      <c r="D394" s="42">
        <f t="shared" si="50"/>
        <v>-4.5454545454545456E-2</v>
      </c>
      <c r="E394" s="42">
        <f t="shared" si="52"/>
        <v>-17.681818181818176</v>
      </c>
      <c r="F394" s="38">
        <f>'Leave Record'!A396</f>
        <v>0</v>
      </c>
      <c r="G394" s="38">
        <f>'Leave Record'!B396</f>
        <v>0</v>
      </c>
      <c r="H394" s="23">
        <f t="shared" si="49"/>
        <v>1</v>
      </c>
      <c r="I394" s="23">
        <f t="shared" si="53"/>
        <v>0</v>
      </c>
      <c r="J394" s="42">
        <f t="shared" si="54"/>
        <v>-17.681818181818176</v>
      </c>
      <c r="K394" s="23">
        <f>'Leave Record'!C396</f>
        <v>0</v>
      </c>
    </row>
    <row r="395" spans="1:11" x14ac:dyDescent="0.25">
      <c r="A395" s="38">
        <f t="shared" si="51"/>
        <v>1</v>
      </c>
      <c r="B395" s="38">
        <f>IF(K395=$P$15,$M$4,IF(K395=$P$13,'Leave Entry'!$B$4,F395-1))</f>
        <v>-1</v>
      </c>
      <c r="C395" s="23">
        <f t="shared" si="48"/>
        <v>-1</v>
      </c>
      <c r="D395" s="42">
        <f t="shared" si="50"/>
        <v>-4.5454545454545456E-2</v>
      </c>
      <c r="E395" s="42">
        <f t="shared" si="52"/>
        <v>-17.727272727272723</v>
      </c>
      <c r="F395" s="38">
        <f>'Leave Record'!A397</f>
        <v>0</v>
      </c>
      <c r="G395" s="38">
        <f>'Leave Record'!B397</f>
        <v>0</v>
      </c>
      <c r="H395" s="23">
        <f t="shared" si="49"/>
        <v>1</v>
      </c>
      <c r="I395" s="23">
        <f t="shared" si="53"/>
        <v>0</v>
      </c>
      <c r="J395" s="42">
        <f t="shared" si="54"/>
        <v>-17.727272727272723</v>
      </c>
      <c r="K395" s="23">
        <f>'Leave Record'!C397</f>
        <v>0</v>
      </c>
    </row>
    <row r="396" spans="1:11" x14ac:dyDescent="0.25">
      <c r="A396" s="38">
        <f t="shared" si="51"/>
        <v>1</v>
      </c>
      <c r="B396" s="38">
        <f>IF(K396=$P$15,$M$4,IF(K396=$P$13,'Leave Entry'!$B$4,F396-1))</f>
        <v>-1</v>
      </c>
      <c r="C396" s="23">
        <f t="shared" si="48"/>
        <v>-1</v>
      </c>
      <c r="D396" s="42">
        <f t="shared" si="50"/>
        <v>-4.5454545454545456E-2</v>
      </c>
      <c r="E396" s="42">
        <f t="shared" si="52"/>
        <v>-17.77272727272727</v>
      </c>
      <c r="F396" s="38">
        <f>'Leave Record'!A398</f>
        <v>0</v>
      </c>
      <c r="G396" s="38">
        <f>'Leave Record'!B398</f>
        <v>0</v>
      </c>
      <c r="H396" s="23">
        <f t="shared" si="49"/>
        <v>1</v>
      </c>
      <c r="I396" s="23">
        <f t="shared" si="53"/>
        <v>0</v>
      </c>
      <c r="J396" s="42">
        <f t="shared" si="54"/>
        <v>-17.77272727272727</v>
      </c>
      <c r="K396" s="23">
        <f>'Leave Record'!C398</f>
        <v>0</v>
      </c>
    </row>
    <row r="397" spans="1:11" x14ac:dyDescent="0.25">
      <c r="A397" s="38">
        <f t="shared" si="51"/>
        <v>1</v>
      </c>
      <c r="B397" s="38">
        <f>IF(K397=$P$15,$M$4,IF(K397=$P$13,'Leave Entry'!$B$4,F397-1))</f>
        <v>-1</v>
      </c>
      <c r="C397" s="23">
        <f t="shared" si="48"/>
        <v>-1</v>
      </c>
      <c r="D397" s="42">
        <f t="shared" si="50"/>
        <v>-4.5454545454545456E-2</v>
      </c>
      <c r="E397" s="42">
        <f t="shared" si="52"/>
        <v>-17.818181818181817</v>
      </c>
      <c r="F397" s="38">
        <f>'Leave Record'!A399</f>
        <v>0</v>
      </c>
      <c r="G397" s="38">
        <f>'Leave Record'!B399</f>
        <v>0</v>
      </c>
      <c r="H397" s="23">
        <f t="shared" si="49"/>
        <v>1</v>
      </c>
      <c r="I397" s="23">
        <f t="shared" si="53"/>
        <v>0</v>
      </c>
      <c r="J397" s="42">
        <f t="shared" si="54"/>
        <v>-17.818181818181817</v>
      </c>
      <c r="K397" s="23">
        <f>'Leave Record'!C399</f>
        <v>0</v>
      </c>
    </row>
    <row r="398" spans="1:11" x14ac:dyDescent="0.25">
      <c r="A398" s="38">
        <f t="shared" si="51"/>
        <v>1</v>
      </c>
      <c r="B398" s="38">
        <f>IF(K398=$P$15,$M$4,IF(K398=$P$13,'Leave Entry'!$B$4,F398-1))</f>
        <v>-1</v>
      </c>
      <c r="C398" s="23">
        <f t="shared" si="48"/>
        <v>-1</v>
      </c>
      <c r="D398" s="42">
        <f t="shared" si="50"/>
        <v>-4.5454545454545456E-2</v>
      </c>
      <c r="E398" s="42">
        <f t="shared" si="52"/>
        <v>-17.863636363636363</v>
      </c>
      <c r="F398" s="38">
        <f>'Leave Record'!A400</f>
        <v>0</v>
      </c>
      <c r="G398" s="38">
        <f>'Leave Record'!B400</f>
        <v>0</v>
      </c>
      <c r="H398" s="23">
        <f t="shared" si="49"/>
        <v>1</v>
      </c>
      <c r="I398" s="23">
        <f t="shared" si="53"/>
        <v>0</v>
      </c>
      <c r="J398" s="42">
        <f t="shared" si="54"/>
        <v>-17.863636363636363</v>
      </c>
      <c r="K398" s="23">
        <f>'Leave Record'!C400</f>
        <v>0</v>
      </c>
    </row>
    <row r="399" spans="1:11" x14ac:dyDescent="0.25">
      <c r="A399" s="38">
        <f t="shared" si="51"/>
        <v>1</v>
      </c>
      <c r="B399" s="38">
        <f>IF(K399=$P$15,$M$4,IF(K399=$P$13,'Leave Entry'!$B$4,F399-1))</f>
        <v>-1</v>
      </c>
      <c r="C399" s="23">
        <f t="shared" si="48"/>
        <v>-1</v>
      </c>
      <c r="D399" s="42">
        <f t="shared" si="50"/>
        <v>-4.5454545454545456E-2</v>
      </c>
      <c r="E399" s="42">
        <f t="shared" si="52"/>
        <v>-17.90909090909091</v>
      </c>
      <c r="F399" s="38">
        <f>'Leave Record'!A401</f>
        <v>0</v>
      </c>
      <c r="G399" s="38">
        <f>'Leave Record'!B401</f>
        <v>0</v>
      </c>
      <c r="H399" s="23">
        <f t="shared" si="49"/>
        <v>1</v>
      </c>
      <c r="I399" s="23">
        <f t="shared" si="53"/>
        <v>0</v>
      </c>
      <c r="J399" s="42">
        <f t="shared" si="54"/>
        <v>-17.90909090909091</v>
      </c>
      <c r="K399" s="23">
        <f>'Leave Record'!C401</f>
        <v>0</v>
      </c>
    </row>
    <row r="400" spans="1:11" x14ac:dyDescent="0.25">
      <c r="A400" s="38">
        <f t="shared" si="51"/>
        <v>1</v>
      </c>
      <c r="B400" s="38">
        <f>IF(K400=$P$15,$M$4,IF(K400=$P$13,'Leave Entry'!$B$4,F400-1))</f>
        <v>-1</v>
      </c>
      <c r="C400" s="23">
        <f t="shared" si="48"/>
        <v>-1</v>
      </c>
      <c r="D400" s="42">
        <f t="shared" si="50"/>
        <v>-4.5454545454545456E-2</v>
      </c>
      <c r="E400" s="42">
        <f t="shared" si="52"/>
        <v>-17.954545454545457</v>
      </c>
      <c r="F400" s="38">
        <f>'Leave Record'!A402</f>
        <v>0</v>
      </c>
      <c r="G400" s="38">
        <f>'Leave Record'!B402</f>
        <v>0</v>
      </c>
      <c r="H400" s="23">
        <f t="shared" si="49"/>
        <v>1</v>
      </c>
      <c r="I400" s="23">
        <f t="shared" si="53"/>
        <v>0</v>
      </c>
      <c r="J400" s="42">
        <f t="shared" si="54"/>
        <v>-17.954545454545457</v>
      </c>
      <c r="K400" s="23">
        <f>'Leave Record'!C402</f>
        <v>0</v>
      </c>
    </row>
    <row r="401" spans="1:11" x14ac:dyDescent="0.25">
      <c r="A401" s="38">
        <f t="shared" si="51"/>
        <v>1</v>
      </c>
      <c r="B401" s="38">
        <f>IF(K401=$P$15,$M$4,IF(K401=$P$13,'Leave Entry'!$B$4,F401-1))</f>
        <v>-1</v>
      </c>
      <c r="C401" s="23">
        <f t="shared" si="48"/>
        <v>-1</v>
      </c>
      <c r="D401" s="42">
        <f t="shared" si="50"/>
        <v>-4.5454545454545456E-2</v>
      </c>
      <c r="E401" s="42">
        <f t="shared" si="52"/>
        <v>-18.000000000000004</v>
      </c>
      <c r="F401" s="38">
        <f>'Leave Record'!A403</f>
        <v>0</v>
      </c>
      <c r="G401" s="38">
        <f>'Leave Record'!B403</f>
        <v>0</v>
      </c>
      <c r="H401" s="23">
        <f t="shared" si="49"/>
        <v>1</v>
      </c>
      <c r="I401" s="23">
        <f t="shared" si="53"/>
        <v>0</v>
      </c>
      <c r="J401" s="42">
        <f t="shared" si="54"/>
        <v>-18.000000000000004</v>
      </c>
      <c r="K401" s="23">
        <f>'Leave Record'!C403</f>
        <v>0</v>
      </c>
    </row>
    <row r="402" spans="1:11" x14ac:dyDescent="0.25">
      <c r="A402" s="38">
        <f t="shared" si="51"/>
        <v>1</v>
      </c>
      <c r="B402" s="38">
        <f>IF(K402=$P$15,$M$4,IF(K402=$P$13,'Leave Entry'!$B$4,F402-1))</f>
        <v>-1</v>
      </c>
      <c r="C402" s="23">
        <f t="shared" si="48"/>
        <v>-1</v>
      </c>
      <c r="D402" s="42">
        <f t="shared" si="50"/>
        <v>-4.5454545454545456E-2</v>
      </c>
      <c r="E402" s="42">
        <f t="shared" si="52"/>
        <v>-18.04545454545455</v>
      </c>
      <c r="F402" s="38">
        <f>'Leave Record'!A404</f>
        <v>0</v>
      </c>
      <c r="G402" s="38">
        <f>'Leave Record'!B404</f>
        <v>0</v>
      </c>
      <c r="H402" s="23">
        <f t="shared" si="49"/>
        <v>1</v>
      </c>
      <c r="I402" s="23">
        <f t="shared" si="53"/>
        <v>0</v>
      </c>
      <c r="J402" s="42">
        <f t="shared" si="54"/>
        <v>-18.04545454545455</v>
      </c>
      <c r="K402" s="23">
        <f>'Leave Record'!C404</f>
        <v>0</v>
      </c>
    </row>
    <row r="403" spans="1:11" x14ac:dyDescent="0.25">
      <c r="A403" s="38">
        <f t="shared" si="51"/>
        <v>1</v>
      </c>
      <c r="B403" s="38">
        <f>IF(K403=$P$15,$M$4,IF(K403=$P$13,'Leave Entry'!$B$4,F403-1))</f>
        <v>-1</v>
      </c>
      <c r="C403" s="23">
        <f t="shared" si="48"/>
        <v>-1</v>
      </c>
      <c r="D403" s="42">
        <f t="shared" si="50"/>
        <v>-4.5454545454545456E-2</v>
      </c>
      <c r="E403" s="42">
        <f t="shared" si="52"/>
        <v>-18.090909090909097</v>
      </c>
      <c r="F403" s="38">
        <f>'Leave Record'!A405</f>
        <v>0</v>
      </c>
      <c r="G403" s="38">
        <f>'Leave Record'!B405</f>
        <v>0</v>
      </c>
      <c r="H403" s="23">
        <f t="shared" si="49"/>
        <v>1</v>
      </c>
      <c r="I403" s="23">
        <f t="shared" si="53"/>
        <v>0</v>
      </c>
      <c r="J403" s="42">
        <f t="shared" si="54"/>
        <v>-18.090909090909097</v>
      </c>
      <c r="K403" s="23">
        <f>'Leave Record'!C405</f>
        <v>0</v>
      </c>
    </row>
    <row r="404" spans="1:11" x14ac:dyDescent="0.25">
      <c r="A404" s="38">
        <f t="shared" si="51"/>
        <v>1</v>
      </c>
      <c r="B404" s="38">
        <f>IF(K404=$P$15,$M$4,IF(K404=$P$13,'Leave Entry'!$B$4,F404-1))</f>
        <v>-1</v>
      </c>
      <c r="C404" s="23">
        <f t="shared" si="48"/>
        <v>-1</v>
      </c>
      <c r="D404" s="42">
        <f t="shared" si="50"/>
        <v>-4.5454545454545456E-2</v>
      </c>
      <c r="E404" s="42">
        <f t="shared" si="52"/>
        <v>-18.136363636363644</v>
      </c>
      <c r="F404" s="38">
        <f>'Leave Record'!A406</f>
        <v>0</v>
      </c>
      <c r="G404" s="38">
        <f>'Leave Record'!B406</f>
        <v>0</v>
      </c>
      <c r="H404" s="23">
        <f t="shared" si="49"/>
        <v>1</v>
      </c>
      <c r="I404" s="23">
        <f t="shared" si="53"/>
        <v>0</v>
      </c>
      <c r="J404" s="42">
        <f t="shared" si="54"/>
        <v>-18.136363636363644</v>
      </c>
      <c r="K404" s="23">
        <f>'Leave Record'!C406</f>
        <v>0</v>
      </c>
    </row>
    <row r="405" spans="1:11" x14ac:dyDescent="0.25">
      <c r="A405" s="38">
        <f t="shared" si="51"/>
        <v>1</v>
      </c>
      <c r="B405" s="38">
        <f>IF(K405=$P$15,$M$4,IF(K405=$P$13,'Leave Entry'!$B$4,F405-1))</f>
        <v>-1</v>
      </c>
      <c r="C405" s="23">
        <f t="shared" si="48"/>
        <v>-1</v>
      </c>
      <c r="D405" s="42">
        <f t="shared" si="50"/>
        <v>-4.5454545454545456E-2</v>
      </c>
      <c r="E405" s="42">
        <f t="shared" si="52"/>
        <v>-18.181818181818191</v>
      </c>
      <c r="F405" s="38">
        <f>'Leave Record'!A407</f>
        <v>0</v>
      </c>
      <c r="G405" s="38">
        <f>'Leave Record'!B407</f>
        <v>0</v>
      </c>
      <c r="H405" s="23">
        <f t="shared" si="49"/>
        <v>1</v>
      </c>
      <c r="I405" s="23">
        <f t="shared" si="53"/>
        <v>0</v>
      </c>
      <c r="J405" s="42">
        <f t="shared" si="54"/>
        <v>-18.181818181818191</v>
      </c>
      <c r="K405" s="23">
        <f>'Leave Record'!C407</f>
        <v>0</v>
      </c>
    </row>
    <row r="406" spans="1:11" x14ac:dyDescent="0.25">
      <c r="A406" s="38">
        <f t="shared" si="51"/>
        <v>1</v>
      </c>
      <c r="B406" s="38">
        <f>IF(K406=$P$15,$M$4,IF(K406=$P$13,'Leave Entry'!$B$4,F406-1))</f>
        <v>-1</v>
      </c>
      <c r="C406" s="23">
        <f t="shared" si="48"/>
        <v>-1</v>
      </c>
      <c r="D406" s="42">
        <f t="shared" si="50"/>
        <v>-4.5454545454545456E-2</v>
      </c>
      <c r="E406" s="42">
        <f t="shared" si="52"/>
        <v>-18.227272727272737</v>
      </c>
      <c r="F406" s="38">
        <f>'Leave Record'!A408</f>
        <v>0</v>
      </c>
      <c r="G406" s="38">
        <f>'Leave Record'!B408</f>
        <v>0</v>
      </c>
      <c r="H406" s="23">
        <f t="shared" si="49"/>
        <v>1</v>
      </c>
      <c r="I406" s="23">
        <f t="shared" si="53"/>
        <v>0</v>
      </c>
      <c r="J406" s="42">
        <f t="shared" si="54"/>
        <v>-18.227272727272737</v>
      </c>
      <c r="K406" s="23">
        <f>'Leave Record'!C408</f>
        <v>0</v>
      </c>
    </row>
    <row r="407" spans="1:11" x14ac:dyDescent="0.25">
      <c r="A407" s="38">
        <f t="shared" si="51"/>
        <v>1</v>
      </c>
      <c r="B407" s="38">
        <f>IF(K407=$P$15,$M$4,IF(K407=$P$13,'Leave Entry'!$B$4,F407-1))</f>
        <v>-1</v>
      </c>
      <c r="C407" s="23">
        <f t="shared" si="48"/>
        <v>-1</v>
      </c>
      <c r="D407" s="42">
        <f t="shared" si="50"/>
        <v>-4.5454545454545456E-2</v>
      </c>
      <c r="E407" s="42">
        <f t="shared" si="52"/>
        <v>-18.272727272727284</v>
      </c>
      <c r="F407" s="38">
        <f>'Leave Record'!A409</f>
        <v>0</v>
      </c>
      <c r="G407" s="38">
        <f>'Leave Record'!B409</f>
        <v>0</v>
      </c>
      <c r="H407" s="23">
        <f t="shared" si="49"/>
        <v>1</v>
      </c>
      <c r="I407" s="23">
        <f t="shared" si="53"/>
        <v>0</v>
      </c>
      <c r="J407" s="42">
        <f t="shared" si="54"/>
        <v>-18.272727272727284</v>
      </c>
      <c r="K407" s="23">
        <f>'Leave Record'!C409</f>
        <v>0</v>
      </c>
    </row>
    <row r="408" spans="1:11" x14ac:dyDescent="0.25">
      <c r="A408" s="38">
        <f t="shared" si="51"/>
        <v>1</v>
      </c>
      <c r="B408" s="38">
        <f>IF(K408=$P$15,$M$4,IF(K408=$P$13,'Leave Entry'!$B$4,F408-1))</f>
        <v>-1</v>
      </c>
      <c r="C408" s="23">
        <f t="shared" si="48"/>
        <v>-1</v>
      </c>
      <c r="D408" s="42">
        <f t="shared" si="50"/>
        <v>-4.5454545454545456E-2</v>
      </c>
      <c r="E408" s="42">
        <f t="shared" si="52"/>
        <v>-18.318181818181831</v>
      </c>
      <c r="F408" s="38">
        <f>'Leave Record'!A410</f>
        <v>0</v>
      </c>
      <c r="G408" s="38">
        <f>'Leave Record'!B410</f>
        <v>0</v>
      </c>
      <c r="H408" s="23">
        <f t="shared" si="49"/>
        <v>1</v>
      </c>
      <c r="I408" s="23">
        <f t="shared" si="53"/>
        <v>0</v>
      </c>
      <c r="J408" s="42">
        <f t="shared" si="54"/>
        <v>-18.318181818181831</v>
      </c>
      <c r="K408" s="23">
        <f>'Leave Record'!C410</f>
        <v>0</v>
      </c>
    </row>
    <row r="409" spans="1:11" x14ac:dyDescent="0.25">
      <c r="A409" s="38">
        <f t="shared" si="51"/>
        <v>1</v>
      </c>
      <c r="B409" s="38">
        <f>IF(K409=$P$15,$M$4,IF(K409=$P$13,'Leave Entry'!$B$4,F409-1))</f>
        <v>-1</v>
      </c>
      <c r="C409" s="23">
        <f t="shared" si="48"/>
        <v>-1</v>
      </c>
      <c r="D409" s="42">
        <f t="shared" si="50"/>
        <v>-4.5454545454545456E-2</v>
      </c>
      <c r="E409" s="42">
        <f t="shared" si="52"/>
        <v>-18.363636363636378</v>
      </c>
      <c r="F409" s="38">
        <f>'Leave Record'!A411</f>
        <v>0</v>
      </c>
      <c r="G409" s="38">
        <f>'Leave Record'!B411</f>
        <v>0</v>
      </c>
      <c r="H409" s="23">
        <f t="shared" si="49"/>
        <v>1</v>
      </c>
      <c r="I409" s="23">
        <f t="shared" si="53"/>
        <v>0</v>
      </c>
      <c r="J409" s="42">
        <f t="shared" si="54"/>
        <v>-18.363636363636378</v>
      </c>
      <c r="K409" s="23">
        <f>'Leave Record'!C411</f>
        <v>0</v>
      </c>
    </row>
    <row r="410" spans="1:11" x14ac:dyDescent="0.25">
      <c r="A410" s="38">
        <f t="shared" si="51"/>
        <v>1</v>
      </c>
      <c r="B410" s="38">
        <f>IF(K410=$P$15,$M$4,IF(K410=$P$13,'Leave Entry'!$B$4,F410-1))</f>
        <v>-1</v>
      </c>
      <c r="C410" s="23">
        <f t="shared" si="48"/>
        <v>-1</v>
      </c>
      <c r="D410" s="42">
        <f t="shared" si="50"/>
        <v>-4.5454545454545456E-2</v>
      </c>
      <c r="E410" s="42">
        <f t="shared" si="52"/>
        <v>-18.409090909090924</v>
      </c>
      <c r="F410" s="38">
        <f>'Leave Record'!A412</f>
        <v>0</v>
      </c>
      <c r="G410" s="38">
        <f>'Leave Record'!B412</f>
        <v>0</v>
      </c>
      <c r="H410" s="23">
        <f t="shared" si="49"/>
        <v>1</v>
      </c>
      <c r="I410" s="23">
        <f t="shared" si="53"/>
        <v>0</v>
      </c>
      <c r="J410" s="42">
        <f t="shared" si="54"/>
        <v>-18.409090909090924</v>
      </c>
      <c r="K410" s="23">
        <f>'Leave Record'!C412</f>
        <v>0</v>
      </c>
    </row>
    <row r="411" spans="1:11" x14ac:dyDescent="0.25">
      <c r="A411" s="38">
        <f t="shared" si="51"/>
        <v>1</v>
      </c>
      <c r="B411" s="38">
        <f>IF(K411=$P$15,$M$4,IF(K411=$P$13,'Leave Entry'!$B$4,F411-1))</f>
        <v>-1</v>
      </c>
      <c r="C411" s="23">
        <f t="shared" si="48"/>
        <v>-1</v>
      </c>
      <c r="D411" s="42">
        <f t="shared" si="50"/>
        <v>-4.5454545454545456E-2</v>
      </c>
      <c r="E411" s="42">
        <f t="shared" si="52"/>
        <v>-18.454545454545471</v>
      </c>
      <c r="F411" s="38">
        <f>'Leave Record'!A413</f>
        <v>0</v>
      </c>
      <c r="G411" s="38">
        <f>'Leave Record'!B413</f>
        <v>0</v>
      </c>
      <c r="H411" s="23">
        <f t="shared" si="49"/>
        <v>1</v>
      </c>
      <c r="I411" s="23">
        <f t="shared" si="53"/>
        <v>0</v>
      </c>
      <c r="J411" s="42">
        <f t="shared" si="54"/>
        <v>-18.454545454545471</v>
      </c>
      <c r="K411" s="23">
        <f>'Leave Record'!C413</f>
        <v>0</v>
      </c>
    </row>
    <row r="412" spans="1:11" x14ac:dyDescent="0.25">
      <c r="A412" s="38">
        <f t="shared" si="51"/>
        <v>1</v>
      </c>
      <c r="B412" s="38">
        <f>IF(K412=$P$15,$M$4,IF(K412=$P$13,'Leave Entry'!$B$4,F412-1))</f>
        <v>-1</v>
      </c>
      <c r="C412" s="23">
        <f t="shared" si="48"/>
        <v>-1</v>
      </c>
      <c r="D412" s="42">
        <f t="shared" si="50"/>
        <v>-4.5454545454545456E-2</v>
      </c>
      <c r="E412" s="42">
        <f t="shared" si="52"/>
        <v>-18.500000000000018</v>
      </c>
      <c r="F412" s="38">
        <f>'Leave Record'!A414</f>
        <v>0</v>
      </c>
      <c r="G412" s="38">
        <f>'Leave Record'!B414</f>
        <v>0</v>
      </c>
      <c r="H412" s="23">
        <f t="shared" si="49"/>
        <v>1</v>
      </c>
      <c r="I412" s="23">
        <f t="shared" si="53"/>
        <v>0</v>
      </c>
      <c r="J412" s="42">
        <f t="shared" si="54"/>
        <v>-18.500000000000018</v>
      </c>
      <c r="K412" s="23">
        <f>'Leave Record'!C414</f>
        <v>0</v>
      </c>
    </row>
    <row r="413" spans="1:11" x14ac:dyDescent="0.25">
      <c r="A413" s="38">
        <f t="shared" si="51"/>
        <v>1</v>
      </c>
      <c r="B413" s="38">
        <f>IF(K413=$P$15,$M$4,IF(K413=$P$13,'Leave Entry'!$B$4,F413-1))</f>
        <v>-1</v>
      </c>
      <c r="C413" s="23">
        <f t="shared" si="48"/>
        <v>-1</v>
      </c>
      <c r="D413" s="42">
        <f t="shared" si="50"/>
        <v>-4.5454545454545456E-2</v>
      </c>
      <c r="E413" s="42">
        <f t="shared" si="52"/>
        <v>-18.545454545454565</v>
      </c>
      <c r="F413" s="38">
        <f>'Leave Record'!A415</f>
        <v>0</v>
      </c>
      <c r="G413" s="38">
        <f>'Leave Record'!B415</f>
        <v>0</v>
      </c>
      <c r="H413" s="23">
        <f t="shared" si="49"/>
        <v>1</v>
      </c>
      <c r="I413" s="23">
        <f t="shared" si="53"/>
        <v>0</v>
      </c>
      <c r="J413" s="42">
        <f t="shared" si="54"/>
        <v>-18.545454545454565</v>
      </c>
      <c r="K413" s="23">
        <f>'Leave Record'!C415</f>
        <v>0</v>
      </c>
    </row>
    <row r="414" spans="1:11" x14ac:dyDescent="0.25">
      <c r="A414" s="38">
        <f t="shared" si="51"/>
        <v>1</v>
      </c>
      <c r="B414" s="38">
        <f>IF(K414=$P$15,$M$4,IF(K414=$P$13,'Leave Entry'!$B$4,F414-1))</f>
        <v>-1</v>
      </c>
      <c r="C414" s="23">
        <f t="shared" si="48"/>
        <v>-1</v>
      </c>
      <c r="D414" s="42">
        <f t="shared" si="50"/>
        <v>-4.5454545454545456E-2</v>
      </c>
      <c r="E414" s="42">
        <f t="shared" si="52"/>
        <v>-18.590909090909111</v>
      </c>
      <c r="F414" s="38">
        <f>'Leave Record'!A416</f>
        <v>0</v>
      </c>
      <c r="G414" s="38">
        <f>'Leave Record'!B416</f>
        <v>0</v>
      </c>
      <c r="H414" s="23">
        <f t="shared" si="49"/>
        <v>1</v>
      </c>
      <c r="I414" s="23">
        <f t="shared" si="53"/>
        <v>0</v>
      </c>
      <c r="J414" s="42">
        <f t="shared" si="54"/>
        <v>-18.590909090909111</v>
      </c>
      <c r="K414" s="23">
        <f>'Leave Record'!C416</f>
        <v>0</v>
      </c>
    </row>
    <row r="415" spans="1:11" x14ac:dyDescent="0.25">
      <c r="A415" s="38">
        <f t="shared" si="51"/>
        <v>1</v>
      </c>
      <c r="B415" s="38">
        <f>IF(K415=$P$15,$M$4,IF(K415=$P$13,'Leave Entry'!$B$4,F415-1))</f>
        <v>-1</v>
      </c>
      <c r="C415" s="23">
        <f t="shared" si="48"/>
        <v>-1</v>
      </c>
      <c r="D415" s="42">
        <f t="shared" si="50"/>
        <v>-4.5454545454545456E-2</v>
      </c>
      <c r="E415" s="42">
        <f t="shared" si="52"/>
        <v>-18.636363636363658</v>
      </c>
      <c r="F415" s="38">
        <f>'Leave Record'!A417</f>
        <v>0</v>
      </c>
      <c r="G415" s="38">
        <f>'Leave Record'!B417</f>
        <v>0</v>
      </c>
      <c r="H415" s="23">
        <f t="shared" si="49"/>
        <v>1</v>
      </c>
      <c r="I415" s="23">
        <f t="shared" si="53"/>
        <v>0</v>
      </c>
      <c r="J415" s="42">
        <f t="shared" si="54"/>
        <v>-18.636363636363658</v>
      </c>
      <c r="K415" s="23">
        <f>'Leave Record'!C417</f>
        <v>0</v>
      </c>
    </row>
    <row r="416" spans="1:11" x14ac:dyDescent="0.25">
      <c r="A416" s="38">
        <f t="shared" si="51"/>
        <v>1</v>
      </c>
      <c r="B416" s="38">
        <f>IF(K416=$P$15,$M$4,IF(K416=$P$13,'Leave Entry'!$B$4,F416-1))</f>
        <v>-1</v>
      </c>
      <c r="C416" s="23">
        <f t="shared" si="48"/>
        <v>-1</v>
      </c>
      <c r="D416" s="42">
        <f t="shared" si="50"/>
        <v>-4.5454545454545456E-2</v>
      </c>
      <c r="E416" s="42">
        <f t="shared" si="52"/>
        <v>-18.681818181818205</v>
      </c>
      <c r="F416" s="38">
        <f>'Leave Record'!A418</f>
        <v>0</v>
      </c>
      <c r="G416" s="38">
        <f>'Leave Record'!B418</f>
        <v>0</v>
      </c>
      <c r="H416" s="23">
        <f t="shared" si="49"/>
        <v>1</v>
      </c>
      <c r="I416" s="23">
        <f t="shared" si="53"/>
        <v>0</v>
      </c>
      <c r="J416" s="42">
        <f t="shared" si="54"/>
        <v>-18.681818181818205</v>
      </c>
      <c r="K416" s="23">
        <f>'Leave Record'!C418</f>
        <v>0</v>
      </c>
    </row>
    <row r="417" spans="1:11" x14ac:dyDescent="0.25">
      <c r="A417" s="38">
        <f t="shared" si="51"/>
        <v>1</v>
      </c>
      <c r="B417" s="38">
        <f>IF(K417=$P$15,$M$4,IF(K417=$P$13,'Leave Entry'!$B$4,F417-1))</f>
        <v>-1</v>
      </c>
      <c r="C417" s="23">
        <f t="shared" si="48"/>
        <v>-1</v>
      </c>
      <c r="D417" s="42">
        <f t="shared" si="50"/>
        <v>-4.5454545454545456E-2</v>
      </c>
      <c r="E417" s="42">
        <f t="shared" si="52"/>
        <v>-18.727272727272751</v>
      </c>
      <c r="F417" s="38">
        <f>'Leave Record'!A419</f>
        <v>0</v>
      </c>
      <c r="G417" s="38">
        <f>'Leave Record'!B419</f>
        <v>0</v>
      </c>
      <c r="H417" s="23">
        <f t="shared" si="49"/>
        <v>1</v>
      </c>
      <c r="I417" s="23">
        <f t="shared" si="53"/>
        <v>0</v>
      </c>
      <c r="J417" s="42">
        <f t="shared" si="54"/>
        <v>-18.727272727272751</v>
      </c>
      <c r="K417" s="23">
        <f>'Leave Record'!C419</f>
        <v>0</v>
      </c>
    </row>
    <row r="418" spans="1:11" x14ac:dyDescent="0.25">
      <c r="A418" s="38">
        <f t="shared" si="51"/>
        <v>1</v>
      </c>
      <c r="B418" s="38">
        <f>IF(K418=$P$15,$M$4,IF(K418=$P$13,'Leave Entry'!$B$4,F418-1))</f>
        <v>-1</v>
      </c>
      <c r="C418" s="23">
        <f t="shared" si="48"/>
        <v>-1</v>
      </c>
      <c r="D418" s="42">
        <f t="shared" si="50"/>
        <v>-4.5454545454545456E-2</v>
      </c>
      <c r="E418" s="42">
        <f t="shared" si="52"/>
        <v>-18.772727272727298</v>
      </c>
      <c r="F418" s="38">
        <f>'Leave Record'!A420</f>
        <v>0</v>
      </c>
      <c r="G418" s="38">
        <f>'Leave Record'!B420</f>
        <v>0</v>
      </c>
      <c r="H418" s="23">
        <f t="shared" si="49"/>
        <v>1</v>
      </c>
      <c r="I418" s="23">
        <f t="shared" si="53"/>
        <v>0</v>
      </c>
      <c r="J418" s="42">
        <f t="shared" si="54"/>
        <v>-18.772727272727298</v>
      </c>
      <c r="K418" s="23">
        <f>'Leave Record'!C420</f>
        <v>0</v>
      </c>
    </row>
    <row r="419" spans="1:11" x14ac:dyDescent="0.25">
      <c r="A419" s="38">
        <f t="shared" si="51"/>
        <v>1</v>
      </c>
      <c r="B419" s="38">
        <f>IF(K419=$P$15,$M$4,IF(K419=$P$13,'Leave Entry'!$B$4,F419-1))</f>
        <v>-1</v>
      </c>
      <c r="C419" s="23">
        <f t="shared" si="48"/>
        <v>-1</v>
      </c>
      <c r="D419" s="42">
        <f t="shared" si="50"/>
        <v>-4.5454545454545456E-2</v>
      </c>
      <c r="E419" s="42">
        <f t="shared" si="52"/>
        <v>-18.818181818181845</v>
      </c>
      <c r="F419" s="38">
        <f>'Leave Record'!A421</f>
        <v>0</v>
      </c>
      <c r="G419" s="38">
        <f>'Leave Record'!B421</f>
        <v>0</v>
      </c>
      <c r="H419" s="23">
        <f t="shared" si="49"/>
        <v>1</v>
      </c>
      <c r="I419" s="23">
        <f t="shared" si="53"/>
        <v>0</v>
      </c>
      <c r="J419" s="42">
        <f t="shared" si="54"/>
        <v>-18.818181818181845</v>
      </c>
      <c r="K419" s="23">
        <f>'Leave Record'!C421</f>
        <v>0</v>
      </c>
    </row>
    <row r="420" spans="1:11" x14ac:dyDescent="0.25">
      <c r="A420" s="38">
        <f t="shared" si="51"/>
        <v>1</v>
      </c>
      <c r="B420" s="38">
        <f>IF(K420=$P$15,$M$4,IF(K420=$P$13,'Leave Entry'!$B$4,F420-1))</f>
        <v>-1</v>
      </c>
      <c r="C420" s="23">
        <f t="shared" si="48"/>
        <v>-1</v>
      </c>
      <c r="D420" s="42">
        <f t="shared" si="50"/>
        <v>-4.5454545454545456E-2</v>
      </c>
      <c r="E420" s="42">
        <f t="shared" si="52"/>
        <v>-18.863636363636392</v>
      </c>
      <c r="F420" s="38">
        <f>'Leave Record'!A422</f>
        <v>0</v>
      </c>
      <c r="G420" s="38">
        <f>'Leave Record'!B422</f>
        <v>0</v>
      </c>
      <c r="H420" s="23">
        <f t="shared" si="49"/>
        <v>1</v>
      </c>
      <c r="I420" s="23">
        <f t="shared" si="53"/>
        <v>0</v>
      </c>
      <c r="J420" s="42">
        <f t="shared" si="54"/>
        <v>-18.863636363636392</v>
      </c>
      <c r="K420" s="23">
        <f>'Leave Record'!C422</f>
        <v>0</v>
      </c>
    </row>
    <row r="421" spans="1:11" x14ac:dyDescent="0.25">
      <c r="A421" s="38">
        <f t="shared" si="51"/>
        <v>1</v>
      </c>
      <c r="B421" s="38">
        <f>IF(K421=$P$15,$M$4,IF(K421=$P$13,'Leave Entry'!$B$4,F421-1))</f>
        <v>-1</v>
      </c>
      <c r="C421" s="23">
        <f t="shared" si="48"/>
        <v>-1</v>
      </c>
      <c r="D421" s="42">
        <f t="shared" si="50"/>
        <v>-4.5454545454545456E-2</v>
      </c>
      <c r="E421" s="42">
        <f t="shared" si="52"/>
        <v>-18.909090909090938</v>
      </c>
      <c r="F421" s="38">
        <f>'Leave Record'!A423</f>
        <v>0</v>
      </c>
      <c r="G421" s="38">
        <f>'Leave Record'!B423</f>
        <v>0</v>
      </c>
      <c r="H421" s="23">
        <f t="shared" si="49"/>
        <v>1</v>
      </c>
      <c r="I421" s="23">
        <f t="shared" si="53"/>
        <v>0</v>
      </c>
      <c r="J421" s="42">
        <f t="shared" si="54"/>
        <v>-18.909090909090938</v>
      </c>
      <c r="K421" s="23">
        <f>'Leave Record'!C423</f>
        <v>0</v>
      </c>
    </row>
    <row r="422" spans="1:11" x14ac:dyDescent="0.25">
      <c r="A422" s="38">
        <f t="shared" si="51"/>
        <v>1</v>
      </c>
      <c r="B422" s="38">
        <f>IF(K422=$P$15,$M$4,IF(K422=$P$13,'Leave Entry'!$B$4,F422-1))</f>
        <v>-1</v>
      </c>
      <c r="C422" s="23">
        <f t="shared" si="48"/>
        <v>-1</v>
      </c>
      <c r="D422" s="42">
        <f t="shared" si="50"/>
        <v>-4.5454545454545456E-2</v>
      </c>
      <c r="E422" s="42">
        <f t="shared" si="52"/>
        <v>-18.954545454545485</v>
      </c>
      <c r="F422" s="38">
        <f>'Leave Record'!A424</f>
        <v>0</v>
      </c>
      <c r="G422" s="38">
        <f>'Leave Record'!B424</f>
        <v>0</v>
      </c>
      <c r="H422" s="23">
        <f t="shared" si="49"/>
        <v>1</v>
      </c>
      <c r="I422" s="23">
        <f t="shared" si="53"/>
        <v>0</v>
      </c>
      <c r="J422" s="42">
        <f t="shared" si="54"/>
        <v>-18.954545454545485</v>
      </c>
      <c r="K422" s="23">
        <f>'Leave Record'!C424</f>
        <v>0</v>
      </c>
    </row>
    <row r="423" spans="1:11" x14ac:dyDescent="0.25">
      <c r="A423" s="38">
        <f t="shared" si="51"/>
        <v>1</v>
      </c>
      <c r="B423" s="38">
        <f>IF(K423=$P$15,$M$4,IF(K423=$P$13,'Leave Entry'!$B$4,F423-1))</f>
        <v>-1</v>
      </c>
      <c r="C423" s="23">
        <f t="shared" si="48"/>
        <v>-1</v>
      </c>
      <c r="D423" s="42">
        <f t="shared" si="50"/>
        <v>-4.5454545454545456E-2</v>
      </c>
      <c r="E423" s="42">
        <f t="shared" si="52"/>
        <v>-19.000000000000032</v>
      </c>
      <c r="F423" s="38">
        <f>'Leave Record'!A425</f>
        <v>0</v>
      </c>
      <c r="G423" s="38">
        <f>'Leave Record'!B425</f>
        <v>0</v>
      </c>
      <c r="H423" s="23">
        <f t="shared" si="49"/>
        <v>1</v>
      </c>
      <c r="I423" s="23">
        <f t="shared" si="53"/>
        <v>0</v>
      </c>
      <c r="J423" s="42">
        <f t="shared" si="54"/>
        <v>-19.000000000000032</v>
      </c>
      <c r="K423" s="23">
        <f>'Leave Record'!C425</f>
        <v>0</v>
      </c>
    </row>
    <row r="424" spans="1:11" x14ac:dyDescent="0.25">
      <c r="A424" s="38">
        <f t="shared" si="51"/>
        <v>1</v>
      </c>
      <c r="B424" s="38">
        <f>IF(K424=$P$15,$M$4,IF(K424=$P$13,'Leave Entry'!$B$4,F424-1))</f>
        <v>-1</v>
      </c>
      <c r="C424" s="23">
        <f t="shared" si="48"/>
        <v>-1</v>
      </c>
      <c r="D424" s="42">
        <f t="shared" si="50"/>
        <v>-4.5454545454545456E-2</v>
      </c>
      <c r="E424" s="42">
        <f t="shared" si="52"/>
        <v>-19.045454545454579</v>
      </c>
      <c r="F424" s="38">
        <f>'Leave Record'!A426</f>
        <v>0</v>
      </c>
      <c r="G424" s="38">
        <f>'Leave Record'!B426</f>
        <v>0</v>
      </c>
      <c r="H424" s="23">
        <f t="shared" si="49"/>
        <v>1</v>
      </c>
      <c r="I424" s="23">
        <f t="shared" si="53"/>
        <v>0</v>
      </c>
      <c r="J424" s="42">
        <f t="shared" si="54"/>
        <v>-19.045454545454579</v>
      </c>
      <c r="K424" s="23">
        <f>'Leave Record'!C426</f>
        <v>0</v>
      </c>
    </row>
    <row r="425" spans="1:11" x14ac:dyDescent="0.25">
      <c r="A425" s="38">
        <f t="shared" si="51"/>
        <v>1</v>
      </c>
      <c r="B425" s="38">
        <f>IF(K425=$P$15,$M$4,IF(K425=$P$13,'Leave Entry'!$B$4,F425-1))</f>
        <v>-1</v>
      </c>
      <c r="C425" s="23">
        <f t="shared" si="48"/>
        <v>-1</v>
      </c>
      <c r="D425" s="42">
        <f t="shared" si="50"/>
        <v>-4.5454545454545456E-2</v>
      </c>
      <c r="E425" s="42">
        <f t="shared" si="52"/>
        <v>-19.090909090909125</v>
      </c>
      <c r="F425" s="38">
        <f>'Leave Record'!A427</f>
        <v>0</v>
      </c>
      <c r="G425" s="38">
        <f>'Leave Record'!B427</f>
        <v>0</v>
      </c>
      <c r="H425" s="23">
        <f t="shared" si="49"/>
        <v>1</v>
      </c>
      <c r="I425" s="23">
        <f t="shared" si="53"/>
        <v>0</v>
      </c>
      <c r="J425" s="42">
        <f t="shared" si="54"/>
        <v>-19.090909090909125</v>
      </c>
      <c r="K425" s="23">
        <f>'Leave Record'!C427</f>
        <v>0</v>
      </c>
    </row>
    <row r="426" spans="1:11" x14ac:dyDescent="0.25">
      <c r="A426" s="38">
        <f t="shared" si="51"/>
        <v>1</v>
      </c>
      <c r="B426" s="38">
        <f>IF(K426=$P$15,$M$4,IF(K426=$P$13,'Leave Entry'!$B$4,F426-1))</f>
        <v>-1</v>
      </c>
      <c r="C426" s="23">
        <f t="shared" si="48"/>
        <v>-1</v>
      </c>
      <c r="D426" s="42">
        <f t="shared" si="50"/>
        <v>-4.5454545454545456E-2</v>
      </c>
      <c r="E426" s="42">
        <f t="shared" si="52"/>
        <v>-19.136363636363672</v>
      </c>
      <c r="F426" s="38">
        <f>'Leave Record'!A428</f>
        <v>0</v>
      </c>
      <c r="G426" s="38">
        <f>'Leave Record'!B428</f>
        <v>0</v>
      </c>
      <c r="H426" s="23">
        <f t="shared" si="49"/>
        <v>1</v>
      </c>
      <c r="I426" s="23">
        <f t="shared" si="53"/>
        <v>0</v>
      </c>
      <c r="J426" s="42">
        <f t="shared" si="54"/>
        <v>-19.136363636363672</v>
      </c>
      <c r="K426" s="23">
        <f>'Leave Record'!C428</f>
        <v>0</v>
      </c>
    </row>
    <row r="427" spans="1:11" x14ac:dyDescent="0.25">
      <c r="A427" s="38">
        <f t="shared" si="51"/>
        <v>1</v>
      </c>
      <c r="B427" s="38">
        <f>IF(K427=$P$15,$M$4,IF(K427=$P$13,'Leave Entry'!$B$4,F427-1))</f>
        <v>-1</v>
      </c>
      <c r="C427" s="23">
        <f t="shared" si="48"/>
        <v>-1</v>
      </c>
      <c r="D427" s="42">
        <f t="shared" si="50"/>
        <v>-4.5454545454545456E-2</v>
      </c>
      <c r="E427" s="42">
        <f t="shared" si="52"/>
        <v>-19.181818181818219</v>
      </c>
      <c r="F427" s="38">
        <f>'Leave Record'!A429</f>
        <v>0</v>
      </c>
      <c r="G427" s="38">
        <f>'Leave Record'!B429</f>
        <v>0</v>
      </c>
      <c r="H427" s="23">
        <f t="shared" si="49"/>
        <v>1</v>
      </c>
      <c r="I427" s="23">
        <f t="shared" si="53"/>
        <v>0</v>
      </c>
      <c r="J427" s="42">
        <f t="shared" si="54"/>
        <v>-19.181818181818219</v>
      </c>
      <c r="K427" s="23">
        <f>'Leave Record'!C429</f>
        <v>0</v>
      </c>
    </row>
    <row r="428" spans="1:11" x14ac:dyDescent="0.25">
      <c r="A428" s="38">
        <f t="shared" si="51"/>
        <v>1</v>
      </c>
      <c r="B428" s="38">
        <f>IF(K428=$P$15,$M$4,IF(K428=$P$13,'Leave Entry'!$B$4,F428-1))</f>
        <v>-1</v>
      </c>
      <c r="C428" s="23">
        <f t="shared" si="48"/>
        <v>-1</v>
      </c>
      <c r="D428" s="42">
        <f t="shared" si="50"/>
        <v>-4.5454545454545456E-2</v>
      </c>
      <c r="E428" s="42">
        <f t="shared" si="52"/>
        <v>-19.227272727272766</v>
      </c>
      <c r="F428" s="38">
        <f>'Leave Record'!A430</f>
        <v>0</v>
      </c>
      <c r="G428" s="38">
        <f>'Leave Record'!B430</f>
        <v>0</v>
      </c>
      <c r="H428" s="23">
        <f t="shared" si="49"/>
        <v>1</v>
      </c>
      <c r="I428" s="23">
        <f t="shared" si="53"/>
        <v>0</v>
      </c>
      <c r="J428" s="42">
        <f t="shared" si="54"/>
        <v>-19.227272727272766</v>
      </c>
      <c r="K428" s="23">
        <f>'Leave Record'!C430</f>
        <v>0</v>
      </c>
    </row>
    <row r="429" spans="1:11" x14ac:dyDescent="0.25">
      <c r="A429" s="38">
        <f t="shared" si="51"/>
        <v>1</v>
      </c>
      <c r="B429" s="38">
        <f>IF(K429=$P$15,$M$4,IF(K429=$P$13,'Leave Entry'!$B$4,F429-1))</f>
        <v>-1</v>
      </c>
      <c r="C429" s="23">
        <f t="shared" si="48"/>
        <v>-1</v>
      </c>
      <c r="D429" s="42">
        <f t="shared" si="50"/>
        <v>-4.5454545454545456E-2</v>
      </c>
      <c r="E429" s="42">
        <f t="shared" si="52"/>
        <v>-19.272727272727312</v>
      </c>
      <c r="F429" s="38">
        <f>'Leave Record'!A431</f>
        <v>0</v>
      </c>
      <c r="G429" s="38">
        <f>'Leave Record'!B431</f>
        <v>0</v>
      </c>
      <c r="H429" s="23">
        <f t="shared" si="49"/>
        <v>1</v>
      </c>
      <c r="I429" s="23">
        <f t="shared" si="53"/>
        <v>0</v>
      </c>
      <c r="J429" s="42">
        <f t="shared" si="54"/>
        <v>-19.272727272727312</v>
      </c>
      <c r="K429" s="23">
        <f>'Leave Record'!C431</f>
        <v>0</v>
      </c>
    </row>
    <row r="430" spans="1:11" x14ac:dyDescent="0.25">
      <c r="A430" s="38">
        <f t="shared" si="51"/>
        <v>1</v>
      </c>
      <c r="B430" s="38">
        <f>IF(K430=$P$15,$M$4,IF(K430=$P$13,'Leave Entry'!$B$4,F430-1))</f>
        <v>-1</v>
      </c>
      <c r="C430" s="23">
        <f t="shared" si="48"/>
        <v>-1</v>
      </c>
      <c r="D430" s="42">
        <f t="shared" si="50"/>
        <v>-4.5454545454545456E-2</v>
      </c>
      <c r="E430" s="42">
        <f t="shared" si="52"/>
        <v>-19.318181818181859</v>
      </c>
      <c r="F430" s="38">
        <f>'Leave Record'!A432</f>
        <v>0</v>
      </c>
      <c r="G430" s="38">
        <f>'Leave Record'!B432</f>
        <v>0</v>
      </c>
      <c r="H430" s="23">
        <f t="shared" si="49"/>
        <v>1</v>
      </c>
      <c r="I430" s="23">
        <f t="shared" si="53"/>
        <v>0</v>
      </c>
      <c r="J430" s="42">
        <f t="shared" si="54"/>
        <v>-19.318181818181859</v>
      </c>
      <c r="K430" s="23">
        <f>'Leave Record'!C432</f>
        <v>0</v>
      </c>
    </row>
    <row r="431" spans="1:11" x14ac:dyDescent="0.25">
      <c r="A431" s="38">
        <f t="shared" si="51"/>
        <v>1</v>
      </c>
      <c r="B431" s="38">
        <f>IF(K431=$P$15,$M$4,IF(K431=$P$13,'Leave Entry'!$B$4,F431-1))</f>
        <v>-1</v>
      </c>
      <c r="C431" s="23">
        <f t="shared" si="48"/>
        <v>-1</v>
      </c>
      <c r="D431" s="42">
        <f t="shared" si="50"/>
        <v>-4.5454545454545456E-2</v>
      </c>
      <c r="E431" s="42">
        <f t="shared" si="52"/>
        <v>-19.363636363636406</v>
      </c>
      <c r="F431" s="38">
        <f>'Leave Record'!A433</f>
        <v>0</v>
      </c>
      <c r="G431" s="38">
        <f>'Leave Record'!B433</f>
        <v>0</v>
      </c>
      <c r="H431" s="23">
        <f t="shared" si="49"/>
        <v>1</v>
      </c>
      <c r="I431" s="23">
        <f t="shared" si="53"/>
        <v>0</v>
      </c>
      <c r="J431" s="42">
        <f t="shared" si="54"/>
        <v>-19.363636363636406</v>
      </c>
      <c r="K431" s="23">
        <f>'Leave Record'!C433</f>
        <v>0</v>
      </c>
    </row>
    <row r="432" spans="1:11" x14ac:dyDescent="0.25">
      <c r="A432" s="38">
        <f t="shared" si="51"/>
        <v>1</v>
      </c>
      <c r="B432" s="38">
        <f>IF(K432=$P$15,$M$4,IF(K432=$P$13,'Leave Entry'!$B$4,F432-1))</f>
        <v>-1</v>
      </c>
      <c r="C432" s="23">
        <f t="shared" si="48"/>
        <v>-1</v>
      </c>
      <c r="D432" s="42">
        <f t="shared" si="50"/>
        <v>-4.5454545454545456E-2</v>
      </c>
      <c r="E432" s="42">
        <f t="shared" si="52"/>
        <v>-19.409090909090953</v>
      </c>
      <c r="F432" s="38">
        <f>'Leave Record'!A434</f>
        <v>0</v>
      </c>
      <c r="G432" s="38">
        <f>'Leave Record'!B434</f>
        <v>0</v>
      </c>
      <c r="H432" s="23">
        <f t="shared" si="49"/>
        <v>1</v>
      </c>
      <c r="I432" s="23">
        <f t="shared" si="53"/>
        <v>0</v>
      </c>
      <c r="J432" s="42">
        <f t="shared" si="54"/>
        <v>-19.409090909090953</v>
      </c>
      <c r="K432" s="23">
        <f>'Leave Record'!C434</f>
        <v>0</v>
      </c>
    </row>
    <row r="433" spans="1:11" x14ac:dyDescent="0.25">
      <c r="A433" s="38">
        <f t="shared" si="51"/>
        <v>1</v>
      </c>
      <c r="B433" s="38">
        <f>IF(K433=$P$15,$M$4,IF(K433=$P$13,'Leave Entry'!$B$4,F433-1))</f>
        <v>-1</v>
      </c>
      <c r="C433" s="23">
        <f t="shared" si="48"/>
        <v>-1</v>
      </c>
      <c r="D433" s="42">
        <f t="shared" si="50"/>
        <v>-4.5454545454545456E-2</v>
      </c>
      <c r="E433" s="42">
        <f t="shared" si="52"/>
        <v>-19.454545454545499</v>
      </c>
      <c r="F433" s="38">
        <f>'Leave Record'!A435</f>
        <v>0</v>
      </c>
      <c r="G433" s="38">
        <f>'Leave Record'!B435</f>
        <v>0</v>
      </c>
      <c r="H433" s="23">
        <f t="shared" si="49"/>
        <v>1</v>
      </c>
      <c r="I433" s="23">
        <f t="shared" si="53"/>
        <v>0</v>
      </c>
      <c r="J433" s="42">
        <f t="shared" si="54"/>
        <v>-19.454545454545499</v>
      </c>
      <c r="K433" s="23">
        <f>'Leave Record'!C435</f>
        <v>0</v>
      </c>
    </row>
    <row r="434" spans="1:11" x14ac:dyDescent="0.25">
      <c r="A434" s="38">
        <f t="shared" si="51"/>
        <v>1</v>
      </c>
      <c r="B434" s="38">
        <f>IF(K434=$P$15,$M$4,IF(K434=$P$13,'Leave Entry'!$B$4,F434-1))</f>
        <v>-1</v>
      </c>
      <c r="C434" s="23">
        <f t="shared" si="48"/>
        <v>-1</v>
      </c>
      <c r="D434" s="42">
        <f t="shared" si="50"/>
        <v>-4.5454545454545456E-2</v>
      </c>
      <c r="E434" s="42">
        <f t="shared" si="52"/>
        <v>-19.500000000000046</v>
      </c>
      <c r="F434" s="38">
        <f>'Leave Record'!A436</f>
        <v>0</v>
      </c>
      <c r="G434" s="38">
        <f>'Leave Record'!B436</f>
        <v>0</v>
      </c>
      <c r="H434" s="23">
        <f t="shared" si="49"/>
        <v>1</v>
      </c>
      <c r="I434" s="23">
        <f t="shared" si="53"/>
        <v>0</v>
      </c>
      <c r="J434" s="42">
        <f t="shared" si="54"/>
        <v>-19.500000000000046</v>
      </c>
      <c r="K434" s="23">
        <f>'Leave Record'!C436</f>
        <v>0</v>
      </c>
    </row>
    <row r="435" spans="1:11" x14ac:dyDescent="0.25">
      <c r="A435" s="38">
        <f t="shared" si="51"/>
        <v>1</v>
      </c>
      <c r="B435" s="38">
        <f>IF(K435=$P$15,$M$4,IF(K435=$P$13,'Leave Entry'!$B$4,F435-1))</f>
        <v>-1</v>
      </c>
      <c r="C435" s="23">
        <f t="shared" si="48"/>
        <v>-1</v>
      </c>
      <c r="D435" s="42">
        <f t="shared" si="50"/>
        <v>-4.5454545454545456E-2</v>
      </c>
      <c r="E435" s="42">
        <f t="shared" si="52"/>
        <v>-19.545454545454593</v>
      </c>
      <c r="F435" s="38">
        <f>'Leave Record'!A437</f>
        <v>0</v>
      </c>
      <c r="G435" s="38">
        <f>'Leave Record'!B437</f>
        <v>0</v>
      </c>
      <c r="H435" s="23">
        <f t="shared" si="49"/>
        <v>1</v>
      </c>
      <c r="I435" s="23">
        <f t="shared" si="53"/>
        <v>0</v>
      </c>
      <c r="J435" s="42">
        <f t="shared" si="54"/>
        <v>-19.545454545454593</v>
      </c>
      <c r="K435" s="23">
        <f>'Leave Record'!C437</f>
        <v>0</v>
      </c>
    </row>
    <row r="436" spans="1:11" x14ac:dyDescent="0.25">
      <c r="A436" s="38">
        <f t="shared" si="51"/>
        <v>1</v>
      </c>
      <c r="B436" s="38">
        <f>IF(K436=$P$15,$M$4,IF(K436=$P$13,'Leave Entry'!$B$4,F436-1))</f>
        <v>-1</v>
      </c>
      <c r="C436" s="23">
        <f t="shared" si="48"/>
        <v>-1</v>
      </c>
      <c r="D436" s="42">
        <f t="shared" si="50"/>
        <v>-4.5454545454545456E-2</v>
      </c>
      <c r="E436" s="42">
        <f t="shared" si="52"/>
        <v>-19.59090909090914</v>
      </c>
      <c r="F436" s="38">
        <f>'Leave Record'!A438</f>
        <v>0</v>
      </c>
      <c r="G436" s="38">
        <f>'Leave Record'!B438</f>
        <v>0</v>
      </c>
      <c r="H436" s="23">
        <f t="shared" si="49"/>
        <v>1</v>
      </c>
      <c r="I436" s="23">
        <f t="shared" si="53"/>
        <v>0</v>
      </c>
      <c r="J436" s="42">
        <f t="shared" si="54"/>
        <v>-19.59090909090914</v>
      </c>
      <c r="K436" s="23">
        <f>'Leave Record'!C438</f>
        <v>0</v>
      </c>
    </row>
    <row r="437" spans="1:11" x14ac:dyDescent="0.25">
      <c r="A437" s="38">
        <f t="shared" si="51"/>
        <v>1</v>
      </c>
      <c r="B437" s="38">
        <f>IF(K437=$P$15,$M$4,IF(K437=$P$13,'Leave Entry'!$B$4,F437-1))</f>
        <v>-1</v>
      </c>
      <c r="C437" s="23">
        <f t="shared" si="48"/>
        <v>-1</v>
      </c>
      <c r="D437" s="42">
        <f t="shared" si="50"/>
        <v>-4.5454545454545456E-2</v>
      </c>
      <c r="E437" s="42">
        <f t="shared" si="52"/>
        <v>-19.636363636363686</v>
      </c>
      <c r="F437" s="38">
        <f>'Leave Record'!A439</f>
        <v>0</v>
      </c>
      <c r="G437" s="38">
        <f>'Leave Record'!B439</f>
        <v>0</v>
      </c>
      <c r="H437" s="23">
        <f t="shared" si="49"/>
        <v>1</v>
      </c>
      <c r="I437" s="23">
        <f t="shared" si="53"/>
        <v>0</v>
      </c>
      <c r="J437" s="42">
        <f t="shared" si="54"/>
        <v>-19.636363636363686</v>
      </c>
      <c r="K437" s="23">
        <f>'Leave Record'!C439</f>
        <v>0</v>
      </c>
    </row>
    <row r="438" spans="1:11" x14ac:dyDescent="0.25">
      <c r="A438" s="38">
        <f t="shared" si="51"/>
        <v>1</v>
      </c>
      <c r="B438" s="38">
        <f>IF(K438=$P$15,$M$4,IF(K438=$P$13,'Leave Entry'!$B$4,F438-1))</f>
        <v>-1</v>
      </c>
      <c r="C438" s="23">
        <f t="shared" si="48"/>
        <v>-1</v>
      </c>
      <c r="D438" s="42">
        <f t="shared" si="50"/>
        <v>-4.5454545454545456E-2</v>
      </c>
      <c r="E438" s="42">
        <f t="shared" si="52"/>
        <v>-19.681818181818233</v>
      </c>
      <c r="F438" s="38">
        <f>'Leave Record'!A440</f>
        <v>0</v>
      </c>
      <c r="G438" s="38">
        <f>'Leave Record'!B440</f>
        <v>0</v>
      </c>
      <c r="H438" s="23">
        <f t="shared" si="49"/>
        <v>1</v>
      </c>
      <c r="I438" s="23">
        <f t="shared" si="53"/>
        <v>0</v>
      </c>
      <c r="J438" s="42">
        <f t="shared" si="54"/>
        <v>-19.681818181818233</v>
      </c>
      <c r="K438" s="23">
        <f>'Leave Record'!C440</f>
        <v>0</v>
      </c>
    </row>
    <row r="439" spans="1:11" x14ac:dyDescent="0.25">
      <c r="A439" s="38">
        <f t="shared" si="51"/>
        <v>1</v>
      </c>
      <c r="B439" s="38">
        <f>IF(K439=$P$15,$M$4,IF(K439=$P$13,'Leave Entry'!$B$4,F439-1))</f>
        <v>-1</v>
      </c>
      <c r="C439" s="23">
        <f t="shared" si="48"/>
        <v>-1</v>
      </c>
      <c r="D439" s="42">
        <f t="shared" si="50"/>
        <v>-4.5454545454545456E-2</v>
      </c>
      <c r="E439" s="42">
        <f t="shared" si="52"/>
        <v>-19.72727272727278</v>
      </c>
      <c r="F439" s="38">
        <f>'Leave Record'!A441</f>
        <v>0</v>
      </c>
      <c r="G439" s="38">
        <f>'Leave Record'!B441</f>
        <v>0</v>
      </c>
      <c r="H439" s="23">
        <f t="shared" si="49"/>
        <v>1</v>
      </c>
      <c r="I439" s="23">
        <f t="shared" si="53"/>
        <v>0</v>
      </c>
      <c r="J439" s="42">
        <f t="shared" si="54"/>
        <v>-19.72727272727278</v>
      </c>
      <c r="K439" s="23">
        <f>'Leave Record'!C441</f>
        <v>0</v>
      </c>
    </row>
    <row r="440" spans="1:11" x14ac:dyDescent="0.25">
      <c r="A440" s="38">
        <f t="shared" si="51"/>
        <v>1</v>
      </c>
      <c r="B440" s="38">
        <f>IF(K440=$P$15,$M$4,IF(K440=$P$13,'Leave Entry'!$B$4,F440-1))</f>
        <v>-1</v>
      </c>
      <c r="C440" s="23">
        <f t="shared" si="48"/>
        <v>-1</v>
      </c>
      <c r="D440" s="42">
        <f t="shared" si="50"/>
        <v>-4.5454545454545456E-2</v>
      </c>
      <c r="E440" s="42">
        <f t="shared" si="52"/>
        <v>-19.772727272727327</v>
      </c>
      <c r="F440" s="38">
        <f>'Leave Record'!A442</f>
        <v>0</v>
      </c>
      <c r="G440" s="38">
        <f>'Leave Record'!B442</f>
        <v>0</v>
      </c>
      <c r="H440" s="23">
        <f t="shared" si="49"/>
        <v>1</v>
      </c>
      <c r="I440" s="23">
        <f t="shared" si="53"/>
        <v>0</v>
      </c>
      <c r="J440" s="42">
        <f t="shared" si="54"/>
        <v>-19.772727272727327</v>
      </c>
      <c r="K440" s="23">
        <f>'Leave Record'!C442</f>
        <v>0</v>
      </c>
    </row>
    <row r="441" spans="1:11" x14ac:dyDescent="0.25">
      <c r="A441" s="38">
        <f t="shared" si="51"/>
        <v>1</v>
      </c>
      <c r="B441" s="38">
        <f>IF(K441=$P$15,$M$4,IF(K441=$P$13,'Leave Entry'!$B$4,F441-1))</f>
        <v>-1</v>
      </c>
      <c r="C441" s="23">
        <f t="shared" si="48"/>
        <v>-1</v>
      </c>
      <c r="D441" s="42">
        <f t="shared" si="50"/>
        <v>-4.5454545454545456E-2</v>
      </c>
      <c r="E441" s="42">
        <f t="shared" si="52"/>
        <v>-19.818181818181873</v>
      </c>
      <c r="F441" s="38">
        <f>'Leave Record'!A443</f>
        <v>0</v>
      </c>
      <c r="G441" s="38">
        <f>'Leave Record'!B443</f>
        <v>0</v>
      </c>
      <c r="H441" s="23">
        <f t="shared" si="49"/>
        <v>1</v>
      </c>
      <c r="I441" s="23">
        <f t="shared" si="53"/>
        <v>0</v>
      </c>
      <c r="J441" s="42">
        <f t="shared" si="54"/>
        <v>-19.818181818181873</v>
      </c>
      <c r="K441" s="23">
        <f>'Leave Record'!C443</f>
        <v>0</v>
      </c>
    </row>
    <row r="442" spans="1:11" x14ac:dyDescent="0.25">
      <c r="A442" s="38">
        <f t="shared" si="51"/>
        <v>1</v>
      </c>
      <c r="B442" s="38">
        <f>IF(K442=$P$15,$M$4,IF(K442=$P$13,'Leave Entry'!$B$4,F442-1))</f>
        <v>-1</v>
      </c>
      <c r="C442" s="23">
        <f t="shared" si="48"/>
        <v>-1</v>
      </c>
      <c r="D442" s="42">
        <f t="shared" si="50"/>
        <v>-4.5454545454545456E-2</v>
      </c>
      <c r="E442" s="42">
        <f t="shared" si="52"/>
        <v>-19.86363636363642</v>
      </c>
      <c r="F442" s="38">
        <f>'Leave Record'!A444</f>
        <v>0</v>
      </c>
      <c r="G442" s="38">
        <f>'Leave Record'!B444</f>
        <v>0</v>
      </c>
      <c r="H442" s="23">
        <f t="shared" si="49"/>
        <v>1</v>
      </c>
      <c r="I442" s="23">
        <f t="shared" si="53"/>
        <v>0</v>
      </c>
      <c r="J442" s="42">
        <f t="shared" si="54"/>
        <v>-19.86363636363642</v>
      </c>
      <c r="K442" s="23">
        <f>'Leave Record'!C444</f>
        <v>0</v>
      </c>
    </row>
    <row r="443" spans="1:11" x14ac:dyDescent="0.25">
      <c r="A443" s="38">
        <f t="shared" si="51"/>
        <v>1</v>
      </c>
      <c r="B443" s="38">
        <f>IF(K443=$P$15,$M$4,IF(K443=$P$13,'Leave Entry'!$B$4,F443-1))</f>
        <v>-1</v>
      </c>
      <c r="C443" s="23">
        <f t="shared" si="48"/>
        <v>-1</v>
      </c>
      <c r="D443" s="42">
        <f t="shared" si="50"/>
        <v>-4.5454545454545456E-2</v>
      </c>
      <c r="E443" s="42">
        <f t="shared" si="52"/>
        <v>-19.909090909090967</v>
      </c>
      <c r="F443" s="38">
        <f>'Leave Record'!A445</f>
        <v>0</v>
      </c>
      <c r="G443" s="38">
        <f>'Leave Record'!B445</f>
        <v>0</v>
      </c>
      <c r="H443" s="23">
        <f t="shared" si="49"/>
        <v>1</v>
      </c>
      <c r="I443" s="23">
        <f t="shared" si="53"/>
        <v>0</v>
      </c>
      <c r="J443" s="42">
        <f t="shared" si="54"/>
        <v>-19.909090909090967</v>
      </c>
      <c r="K443" s="23">
        <f>'Leave Record'!C445</f>
        <v>0</v>
      </c>
    </row>
    <row r="444" spans="1:11" x14ac:dyDescent="0.25">
      <c r="A444" s="38">
        <f t="shared" si="51"/>
        <v>1</v>
      </c>
      <c r="B444" s="38">
        <f>IF(K444=$P$15,$M$4,IF(K444=$P$13,'Leave Entry'!$B$4,F444-1))</f>
        <v>-1</v>
      </c>
      <c r="C444" s="23">
        <f t="shared" si="48"/>
        <v>-1</v>
      </c>
      <c r="D444" s="42">
        <f t="shared" si="50"/>
        <v>-4.5454545454545456E-2</v>
      </c>
      <c r="E444" s="42">
        <f t="shared" si="52"/>
        <v>-19.954545454545514</v>
      </c>
      <c r="F444" s="38">
        <f>'Leave Record'!A446</f>
        <v>0</v>
      </c>
      <c r="G444" s="38">
        <f>'Leave Record'!B446</f>
        <v>0</v>
      </c>
      <c r="H444" s="23">
        <f t="shared" si="49"/>
        <v>1</v>
      </c>
      <c r="I444" s="23">
        <f t="shared" si="53"/>
        <v>0</v>
      </c>
      <c r="J444" s="42">
        <f t="shared" si="54"/>
        <v>-19.954545454545514</v>
      </c>
      <c r="K444" s="23">
        <f>'Leave Record'!C446</f>
        <v>0</v>
      </c>
    </row>
    <row r="445" spans="1:11" x14ac:dyDescent="0.25">
      <c r="A445" s="38">
        <f t="shared" si="51"/>
        <v>1</v>
      </c>
      <c r="B445" s="38">
        <f>IF(K445=$P$15,$M$4,IF(K445=$P$13,'Leave Entry'!$B$4,F445-1))</f>
        <v>-1</v>
      </c>
      <c r="C445" s="23">
        <f t="shared" si="48"/>
        <v>-1</v>
      </c>
      <c r="D445" s="42">
        <f t="shared" si="50"/>
        <v>-4.5454545454545456E-2</v>
      </c>
      <c r="E445" s="42">
        <f t="shared" si="52"/>
        <v>-20.00000000000006</v>
      </c>
      <c r="F445" s="38">
        <f>'Leave Record'!A447</f>
        <v>0</v>
      </c>
      <c r="G445" s="38">
        <f>'Leave Record'!B447</f>
        <v>0</v>
      </c>
      <c r="H445" s="23">
        <f t="shared" si="49"/>
        <v>1</v>
      </c>
      <c r="I445" s="23">
        <f t="shared" si="53"/>
        <v>0</v>
      </c>
      <c r="J445" s="42">
        <f t="shared" si="54"/>
        <v>-20.00000000000006</v>
      </c>
      <c r="K445" s="23">
        <f>'Leave Record'!C447</f>
        <v>0</v>
      </c>
    </row>
    <row r="446" spans="1:11" x14ac:dyDescent="0.25">
      <c r="A446" s="38">
        <f t="shared" si="51"/>
        <v>1</v>
      </c>
      <c r="B446" s="38">
        <f>IF(K446=$P$15,$M$4,IF(K446=$P$13,'Leave Entry'!$B$4,F446-1))</f>
        <v>-1</v>
      </c>
      <c r="C446" s="23">
        <f t="shared" si="48"/>
        <v>-1</v>
      </c>
      <c r="D446" s="42">
        <f t="shared" si="50"/>
        <v>-4.5454545454545456E-2</v>
      </c>
      <c r="E446" s="42">
        <f t="shared" si="52"/>
        <v>-20.045454545454607</v>
      </c>
      <c r="F446" s="38">
        <f>'Leave Record'!A448</f>
        <v>0</v>
      </c>
      <c r="G446" s="38">
        <f>'Leave Record'!B448</f>
        <v>0</v>
      </c>
      <c r="H446" s="23">
        <f t="shared" si="49"/>
        <v>1</v>
      </c>
      <c r="I446" s="23">
        <f t="shared" si="53"/>
        <v>0</v>
      </c>
      <c r="J446" s="42">
        <f t="shared" si="54"/>
        <v>-20.045454545454607</v>
      </c>
      <c r="K446" s="23">
        <f>'Leave Record'!C448</f>
        <v>0</v>
      </c>
    </row>
    <row r="447" spans="1:11" x14ac:dyDescent="0.25">
      <c r="A447" s="38">
        <f t="shared" si="51"/>
        <v>1</v>
      </c>
      <c r="B447" s="38">
        <f>IF(K447=$P$15,$M$4,IF(K447=$P$13,'Leave Entry'!$B$4,F447-1))</f>
        <v>-1</v>
      </c>
      <c r="C447" s="23">
        <f t="shared" si="48"/>
        <v>-1</v>
      </c>
      <c r="D447" s="42">
        <f t="shared" si="50"/>
        <v>-4.5454545454545456E-2</v>
      </c>
      <c r="E447" s="42">
        <f t="shared" si="52"/>
        <v>-20.090909090909154</v>
      </c>
      <c r="F447" s="38">
        <f>'Leave Record'!A449</f>
        <v>0</v>
      </c>
      <c r="G447" s="38">
        <f>'Leave Record'!B449</f>
        <v>0</v>
      </c>
      <c r="H447" s="23">
        <f t="shared" si="49"/>
        <v>1</v>
      </c>
      <c r="I447" s="23">
        <f t="shared" si="53"/>
        <v>0</v>
      </c>
      <c r="J447" s="42">
        <f t="shared" si="54"/>
        <v>-20.090909090909154</v>
      </c>
      <c r="K447" s="23">
        <f>'Leave Record'!C449</f>
        <v>0</v>
      </c>
    </row>
    <row r="448" spans="1:11" x14ac:dyDescent="0.25">
      <c r="A448" s="38">
        <f t="shared" si="51"/>
        <v>1</v>
      </c>
      <c r="B448" s="38">
        <f>IF(K448=$P$15,$M$4,IF(K448=$P$13,'Leave Entry'!$B$4,F448-1))</f>
        <v>-1</v>
      </c>
      <c r="C448" s="23">
        <f t="shared" si="48"/>
        <v>-1</v>
      </c>
      <c r="D448" s="42">
        <f t="shared" si="50"/>
        <v>-4.5454545454545456E-2</v>
      </c>
      <c r="E448" s="42">
        <f t="shared" si="52"/>
        <v>-20.136363636363701</v>
      </c>
      <c r="F448" s="38">
        <f>'Leave Record'!A450</f>
        <v>0</v>
      </c>
      <c r="G448" s="38">
        <f>'Leave Record'!B450</f>
        <v>0</v>
      </c>
      <c r="H448" s="23">
        <f t="shared" si="49"/>
        <v>1</v>
      </c>
      <c r="I448" s="23">
        <f t="shared" si="53"/>
        <v>0</v>
      </c>
      <c r="J448" s="42">
        <f t="shared" si="54"/>
        <v>-20.136363636363701</v>
      </c>
      <c r="K448" s="23">
        <f>'Leave Record'!C450</f>
        <v>0</v>
      </c>
    </row>
    <row r="449" spans="1:11" x14ac:dyDescent="0.25">
      <c r="A449" s="38">
        <f t="shared" si="51"/>
        <v>1</v>
      </c>
      <c r="B449" s="38">
        <f>IF(K449=$P$15,$M$4,IF(K449=$P$13,'Leave Entry'!$B$4,F449-1))</f>
        <v>-1</v>
      </c>
      <c r="C449" s="23">
        <f t="shared" si="48"/>
        <v>-1</v>
      </c>
      <c r="D449" s="42">
        <f t="shared" si="50"/>
        <v>-4.5454545454545456E-2</v>
      </c>
      <c r="E449" s="42">
        <f t="shared" si="52"/>
        <v>-20.181818181818247</v>
      </c>
      <c r="F449" s="38">
        <f>'Leave Record'!A451</f>
        <v>0</v>
      </c>
      <c r="G449" s="38">
        <f>'Leave Record'!B451</f>
        <v>0</v>
      </c>
      <c r="H449" s="23">
        <f t="shared" si="49"/>
        <v>1</v>
      </c>
      <c r="I449" s="23">
        <f t="shared" si="53"/>
        <v>0</v>
      </c>
      <c r="J449" s="42">
        <f t="shared" si="54"/>
        <v>-20.181818181818247</v>
      </c>
      <c r="K449" s="23">
        <f>'Leave Record'!C451</f>
        <v>0</v>
      </c>
    </row>
    <row r="450" spans="1:11" x14ac:dyDescent="0.25">
      <c r="A450" s="38">
        <f t="shared" si="51"/>
        <v>1</v>
      </c>
      <c r="B450" s="38">
        <f>IF(K450=$P$15,$M$4,IF(K450=$P$13,'Leave Entry'!$B$4,F450-1))</f>
        <v>-1</v>
      </c>
      <c r="C450" s="23">
        <f t="shared" si="48"/>
        <v>-1</v>
      </c>
      <c r="D450" s="42">
        <f t="shared" si="50"/>
        <v>-4.5454545454545456E-2</v>
      </c>
      <c r="E450" s="42">
        <f t="shared" si="52"/>
        <v>-20.227272727272794</v>
      </c>
      <c r="F450" s="38">
        <f>'Leave Record'!A452</f>
        <v>0</v>
      </c>
      <c r="G450" s="38">
        <f>'Leave Record'!B452</f>
        <v>0</v>
      </c>
      <c r="H450" s="23">
        <f t="shared" si="49"/>
        <v>1</v>
      </c>
      <c r="I450" s="23">
        <f t="shared" si="53"/>
        <v>0</v>
      </c>
      <c r="J450" s="42">
        <f t="shared" si="54"/>
        <v>-20.227272727272794</v>
      </c>
      <c r="K450" s="23">
        <f>'Leave Record'!C452</f>
        <v>0</v>
      </c>
    </row>
    <row r="451" spans="1:11" x14ac:dyDescent="0.25">
      <c r="A451" s="38">
        <f t="shared" si="51"/>
        <v>1</v>
      </c>
      <c r="B451" s="38">
        <f>IF(K451=$P$15,$M$4,IF(K451=$P$13,'Leave Entry'!$B$4,F451-1))</f>
        <v>-1</v>
      </c>
      <c r="C451" s="23">
        <f t="shared" si="48"/>
        <v>-1</v>
      </c>
      <c r="D451" s="42">
        <f t="shared" si="50"/>
        <v>-4.5454545454545456E-2</v>
      </c>
      <c r="E451" s="42">
        <f t="shared" si="52"/>
        <v>-20.272727272727341</v>
      </c>
      <c r="F451" s="38">
        <f>'Leave Record'!A453</f>
        <v>0</v>
      </c>
      <c r="G451" s="38">
        <f>'Leave Record'!B453</f>
        <v>0</v>
      </c>
      <c r="H451" s="23">
        <f t="shared" si="49"/>
        <v>1</v>
      </c>
      <c r="I451" s="23">
        <f t="shared" si="53"/>
        <v>0</v>
      </c>
      <c r="J451" s="42">
        <f t="shared" si="54"/>
        <v>-20.272727272727341</v>
      </c>
      <c r="K451" s="23">
        <f>'Leave Record'!C453</f>
        <v>0</v>
      </c>
    </row>
    <row r="452" spans="1:11" x14ac:dyDescent="0.25">
      <c r="A452" s="38">
        <f t="shared" si="51"/>
        <v>1</v>
      </c>
      <c r="B452" s="38">
        <f>IF(K452=$P$15,$M$4,IF(K452=$P$13,'Leave Entry'!$B$4,F452-1))</f>
        <v>-1</v>
      </c>
      <c r="C452" s="23">
        <f t="shared" si="48"/>
        <v>-1</v>
      </c>
      <c r="D452" s="42">
        <f t="shared" si="50"/>
        <v>-4.5454545454545456E-2</v>
      </c>
      <c r="E452" s="42">
        <f t="shared" si="52"/>
        <v>-20.318181818181888</v>
      </c>
      <c r="F452" s="38">
        <f>'Leave Record'!A454</f>
        <v>0</v>
      </c>
      <c r="G452" s="38">
        <f>'Leave Record'!B454</f>
        <v>0</v>
      </c>
      <c r="H452" s="23">
        <f t="shared" si="49"/>
        <v>1</v>
      </c>
      <c r="I452" s="23">
        <f t="shared" si="53"/>
        <v>0</v>
      </c>
      <c r="J452" s="42">
        <f t="shared" si="54"/>
        <v>-20.318181818181888</v>
      </c>
      <c r="K452" s="23">
        <f>'Leave Record'!C454</f>
        <v>0</v>
      </c>
    </row>
    <row r="453" spans="1:11" x14ac:dyDescent="0.25">
      <c r="A453" s="38">
        <f t="shared" si="51"/>
        <v>1</v>
      </c>
      <c r="B453" s="38">
        <f>IF(K453=$P$15,$M$4,IF(K453=$P$13,'Leave Entry'!$B$4,F453-1))</f>
        <v>-1</v>
      </c>
      <c r="C453" s="23">
        <f t="shared" si="48"/>
        <v>-1</v>
      </c>
      <c r="D453" s="42">
        <f t="shared" si="50"/>
        <v>-4.5454545454545456E-2</v>
      </c>
      <c r="E453" s="42">
        <f t="shared" si="52"/>
        <v>-20.363636363636434</v>
      </c>
      <c r="F453" s="38">
        <f>'Leave Record'!A455</f>
        <v>0</v>
      </c>
      <c r="G453" s="38">
        <f>'Leave Record'!B455</f>
        <v>0</v>
      </c>
      <c r="H453" s="23">
        <f t="shared" si="49"/>
        <v>1</v>
      </c>
      <c r="I453" s="23">
        <f t="shared" si="53"/>
        <v>0</v>
      </c>
      <c r="J453" s="42">
        <f t="shared" si="54"/>
        <v>-20.363636363636434</v>
      </c>
      <c r="K453" s="23">
        <f>'Leave Record'!C455</f>
        <v>0</v>
      </c>
    </row>
    <row r="454" spans="1:11" x14ac:dyDescent="0.25">
      <c r="A454" s="38">
        <f t="shared" si="51"/>
        <v>1</v>
      </c>
      <c r="B454" s="38">
        <f>IF(K454=$P$15,$M$4,IF(K454=$P$13,'Leave Entry'!$B$4,F454-1))</f>
        <v>-1</v>
      </c>
      <c r="C454" s="23">
        <f t="shared" ref="C454:C500" si="55">B454-A454+1</f>
        <v>-1</v>
      </c>
      <c r="D454" s="42">
        <f t="shared" si="50"/>
        <v>-4.5454545454545456E-2</v>
      </c>
      <c r="E454" s="42">
        <f t="shared" si="52"/>
        <v>-20.409090909090981</v>
      </c>
      <c r="F454" s="38">
        <f>'Leave Record'!A456</f>
        <v>0</v>
      </c>
      <c r="G454" s="38">
        <f>'Leave Record'!B456</f>
        <v>0</v>
      </c>
      <c r="H454" s="23">
        <f t="shared" ref="H454:H500" si="56">G454-F454+1</f>
        <v>1</v>
      </c>
      <c r="I454" s="23">
        <f t="shared" si="53"/>
        <v>0</v>
      </c>
      <c r="J454" s="42">
        <f t="shared" si="54"/>
        <v>-20.409090909090981</v>
      </c>
      <c r="K454" s="23">
        <f>'Leave Record'!C456</f>
        <v>0</v>
      </c>
    </row>
    <row r="455" spans="1:11" x14ac:dyDescent="0.25">
      <c r="A455" s="38">
        <f t="shared" si="51"/>
        <v>1</v>
      </c>
      <c r="B455" s="38">
        <f>IF(K455=$P$15,$M$4,IF(K455=$P$13,'Leave Entry'!$B$4,F455-1))</f>
        <v>-1</v>
      </c>
      <c r="C455" s="23">
        <f t="shared" si="55"/>
        <v>-1</v>
      </c>
      <c r="D455" s="42">
        <f t="shared" ref="D455:D500" si="57">C455/22</f>
        <v>-4.5454545454545456E-2</v>
      </c>
      <c r="E455" s="42">
        <f t="shared" si="52"/>
        <v>-20.454545454545528</v>
      </c>
      <c r="F455" s="38">
        <f>'Leave Record'!A457</f>
        <v>0</v>
      </c>
      <c r="G455" s="38">
        <f>'Leave Record'!B457</f>
        <v>0</v>
      </c>
      <c r="H455" s="23">
        <f t="shared" si="56"/>
        <v>1</v>
      </c>
      <c r="I455" s="23">
        <f t="shared" si="53"/>
        <v>0</v>
      </c>
      <c r="J455" s="42">
        <f t="shared" si="54"/>
        <v>-20.454545454545528</v>
      </c>
      <c r="K455" s="23">
        <f>'Leave Record'!C457</f>
        <v>0</v>
      </c>
    </row>
    <row r="456" spans="1:11" x14ac:dyDescent="0.25">
      <c r="A456" s="38">
        <f t="shared" si="51"/>
        <v>1</v>
      </c>
      <c r="B456" s="38">
        <f>IF(K456=$P$15,$M$4,IF(K456=$P$13,'Leave Entry'!$B$4,F456-1))</f>
        <v>-1</v>
      </c>
      <c r="C456" s="23">
        <f t="shared" si="55"/>
        <v>-1</v>
      </c>
      <c r="D456" s="42">
        <f t="shared" si="57"/>
        <v>-4.5454545454545456E-2</v>
      </c>
      <c r="E456" s="42">
        <f t="shared" si="52"/>
        <v>-20.500000000000075</v>
      </c>
      <c r="F456" s="38">
        <f>'Leave Record'!A458</f>
        <v>0</v>
      </c>
      <c r="G456" s="38">
        <f>'Leave Record'!B458</f>
        <v>0</v>
      </c>
      <c r="H456" s="23">
        <f t="shared" si="56"/>
        <v>1</v>
      </c>
      <c r="I456" s="23">
        <f t="shared" si="53"/>
        <v>0</v>
      </c>
      <c r="J456" s="42">
        <f t="shared" si="54"/>
        <v>-20.500000000000075</v>
      </c>
      <c r="K456" s="23">
        <f>'Leave Record'!C458</f>
        <v>0</v>
      </c>
    </row>
    <row r="457" spans="1:11" x14ac:dyDescent="0.25">
      <c r="A457" s="38">
        <f t="shared" ref="A457:A500" si="58">G456+1</f>
        <v>1</v>
      </c>
      <c r="B457" s="38">
        <f>IF(K457=$P$15,$M$4,IF(K457=$P$13,'Leave Entry'!$B$4,F457-1))</f>
        <v>-1</v>
      </c>
      <c r="C457" s="23">
        <f t="shared" si="55"/>
        <v>-1</v>
      </c>
      <c r="D457" s="42">
        <f t="shared" si="57"/>
        <v>-4.5454545454545456E-2</v>
      </c>
      <c r="E457" s="42">
        <f t="shared" ref="E457:E500" si="59">J456+D457</f>
        <v>-20.545454545454621</v>
      </c>
      <c r="F457" s="38">
        <f>'Leave Record'!A459</f>
        <v>0</v>
      </c>
      <c r="G457" s="38">
        <f>'Leave Record'!B459</f>
        <v>0</v>
      </c>
      <c r="H457" s="23">
        <f t="shared" si="56"/>
        <v>1</v>
      </c>
      <c r="I457" s="23">
        <f t="shared" ref="I457:I500" si="60">IF(K457=$P$14,H457,0)</f>
        <v>0</v>
      </c>
      <c r="J457" s="42">
        <f t="shared" ref="J457:J500" si="61">E457-I457</f>
        <v>-20.545454545454621</v>
      </c>
      <c r="K457" s="23">
        <f>'Leave Record'!C459</f>
        <v>0</v>
      </c>
    </row>
    <row r="458" spans="1:11" x14ac:dyDescent="0.25">
      <c r="A458" s="38">
        <f t="shared" si="58"/>
        <v>1</v>
      </c>
      <c r="B458" s="38">
        <f>IF(K458=$P$15,$M$4,IF(K458=$P$13,'Leave Entry'!$B$4,F458-1))</f>
        <v>-1</v>
      </c>
      <c r="C458" s="23">
        <f t="shared" si="55"/>
        <v>-1</v>
      </c>
      <c r="D458" s="42">
        <f t="shared" si="57"/>
        <v>-4.5454545454545456E-2</v>
      </c>
      <c r="E458" s="42">
        <f t="shared" si="59"/>
        <v>-20.590909090909168</v>
      </c>
      <c r="F458" s="38">
        <f>'Leave Record'!A460</f>
        <v>0</v>
      </c>
      <c r="G458" s="38">
        <f>'Leave Record'!B460</f>
        <v>0</v>
      </c>
      <c r="H458" s="23">
        <f t="shared" si="56"/>
        <v>1</v>
      </c>
      <c r="I458" s="23">
        <f t="shared" si="60"/>
        <v>0</v>
      </c>
      <c r="J458" s="42">
        <f t="shared" si="61"/>
        <v>-20.590909090909168</v>
      </c>
      <c r="K458" s="23">
        <f>'Leave Record'!C460</f>
        <v>0</v>
      </c>
    </row>
    <row r="459" spans="1:11" x14ac:dyDescent="0.25">
      <c r="A459" s="38">
        <f t="shared" si="58"/>
        <v>1</v>
      </c>
      <c r="B459" s="38">
        <f>IF(K459=$P$15,$M$4,IF(K459=$P$13,'Leave Entry'!$B$4,F459-1))</f>
        <v>-1</v>
      </c>
      <c r="C459" s="23">
        <f t="shared" si="55"/>
        <v>-1</v>
      </c>
      <c r="D459" s="42">
        <f t="shared" si="57"/>
        <v>-4.5454545454545456E-2</v>
      </c>
      <c r="E459" s="42">
        <f t="shared" si="59"/>
        <v>-20.636363636363715</v>
      </c>
      <c r="F459" s="38">
        <f>'Leave Record'!A461</f>
        <v>0</v>
      </c>
      <c r="G459" s="38">
        <f>'Leave Record'!B461</f>
        <v>0</v>
      </c>
      <c r="H459" s="23">
        <f t="shared" si="56"/>
        <v>1</v>
      </c>
      <c r="I459" s="23">
        <f t="shared" si="60"/>
        <v>0</v>
      </c>
      <c r="J459" s="42">
        <f t="shared" si="61"/>
        <v>-20.636363636363715</v>
      </c>
      <c r="K459" s="23">
        <f>'Leave Record'!C461</f>
        <v>0</v>
      </c>
    </row>
    <row r="460" spans="1:11" x14ac:dyDescent="0.25">
      <c r="A460" s="38">
        <f t="shared" si="58"/>
        <v>1</v>
      </c>
      <c r="B460" s="38">
        <f>IF(K460=$P$15,$M$4,IF(K460=$P$13,'Leave Entry'!$B$4,F460-1))</f>
        <v>-1</v>
      </c>
      <c r="C460" s="23">
        <f t="shared" si="55"/>
        <v>-1</v>
      </c>
      <c r="D460" s="42">
        <f t="shared" si="57"/>
        <v>-4.5454545454545456E-2</v>
      </c>
      <c r="E460" s="42">
        <f t="shared" si="59"/>
        <v>-20.681818181818262</v>
      </c>
      <c r="F460" s="38">
        <f>'Leave Record'!A462</f>
        <v>0</v>
      </c>
      <c r="G460" s="38">
        <f>'Leave Record'!B462</f>
        <v>0</v>
      </c>
      <c r="H460" s="23">
        <f t="shared" si="56"/>
        <v>1</v>
      </c>
      <c r="I460" s="23">
        <f t="shared" si="60"/>
        <v>0</v>
      </c>
      <c r="J460" s="42">
        <f t="shared" si="61"/>
        <v>-20.681818181818262</v>
      </c>
      <c r="K460" s="23">
        <f>'Leave Record'!C462</f>
        <v>0</v>
      </c>
    </row>
    <row r="461" spans="1:11" x14ac:dyDescent="0.25">
      <c r="A461" s="38">
        <f t="shared" si="58"/>
        <v>1</v>
      </c>
      <c r="B461" s="38">
        <f>IF(K461=$P$15,$M$4,IF(K461=$P$13,'Leave Entry'!$B$4,F461-1))</f>
        <v>-1</v>
      </c>
      <c r="C461" s="23">
        <f t="shared" si="55"/>
        <v>-1</v>
      </c>
      <c r="D461" s="42">
        <f t="shared" si="57"/>
        <v>-4.5454545454545456E-2</v>
      </c>
      <c r="E461" s="42">
        <f t="shared" si="59"/>
        <v>-20.727272727272808</v>
      </c>
      <c r="F461" s="38">
        <f>'Leave Record'!A463</f>
        <v>0</v>
      </c>
      <c r="G461" s="38">
        <f>'Leave Record'!B463</f>
        <v>0</v>
      </c>
      <c r="H461" s="23">
        <f t="shared" si="56"/>
        <v>1</v>
      </c>
      <c r="I461" s="23">
        <f t="shared" si="60"/>
        <v>0</v>
      </c>
      <c r="J461" s="42">
        <f t="shared" si="61"/>
        <v>-20.727272727272808</v>
      </c>
      <c r="K461" s="23">
        <f>'Leave Record'!C463</f>
        <v>0</v>
      </c>
    </row>
    <row r="462" spans="1:11" x14ac:dyDescent="0.25">
      <c r="A462" s="38">
        <f t="shared" si="58"/>
        <v>1</v>
      </c>
      <c r="B462" s="38">
        <f>IF(K462=$P$15,$M$4,IF(K462=$P$13,'Leave Entry'!$B$4,F462-1))</f>
        <v>-1</v>
      </c>
      <c r="C462" s="23">
        <f t="shared" si="55"/>
        <v>-1</v>
      </c>
      <c r="D462" s="42">
        <f t="shared" si="57"/>
        <v>-4.5454545454545456E-2</v>
      </c>
      <c r="E462" s="42">
        <f t="shared" si="59"/>
        <v>-20.772727272727355</v>
      </c>
      <c r="F462" s="38">
        <f>'Leave Record'!A464</f>
        <v>0</v>
      </c>
      <c r="G462" s="38">
        <f>'Leave Record'!B464</f>
        <v>0</v>
      </c>
      <c r="H462" s="23">
        <f t="shared" si="56"/>
        <v>1</v>
      </c>
      <c r="I462" s="23">
        <f t="shared" si="60"/>
        <v>0</v>
      </c>
      <c r="J462" s="42">
        <f t="shared" si="61"/>
        <v>-20.772727272727355</v>
      </c>
      <c r="K462" s="23">
        <f>'Leave Record'!C464</f>
        <v>0</v>
      </c>
    </row>
    <row r="463" spans="1:11" x14ac:dyDescent="0.25">
      <c r="A463" s="38">
        <f t="shared" si="58"/>
        <v>1</v>
      </c>
      <c r="B463" s="38">
        <f>IF(K463=$P$15,$M$4,IF(K463=$P$13,'Leave Entry'!$B$4,F463-1))</f>
        <v>-1</v>
      </c>
      <c r="C463" s="23">
        <f t="shared" si="55"/>
        <v>-1</v>
      </c>
      <c r="D463" s="42">
        <f t="shared" si="57"/>
        <v>-4.5454545454545456E-2</v>
      </c>
      <c r="E463" s="42">
        <f t="shared" si="59"/>
        <v>-20.818181818181902</v>
      </c>
      <c r="F463" s="38">
        <f>'Leave Record'!A465</f>
        <v>0</v>
      </c>
      <c r="G463" s="38">
        <f>'Leave Record'!B465</f>
        <v>0</v>
      </c>
      <c r="H463" s="23">
        <f t="shared" si="56"/>
        <v>1</v>
      </c>
      <c r="I463" s="23">
        <f t="shared" si="60"/>
        <v>0</v>
      </c>
      <c r="J463" s="42">
        <f t="shared" si="61"/>
        <v>-20.818181818181902</v>
      </c>
      <c r="K463" s="23">
        <f>'Leave Record'!C465</f>
        <v>0</v>
      </c>
    </row>
    <row r="464" spans="1:11" x14ac:dyDescent="0.25">
      <c r="A464" s="38">
        <f t="shared" si="58"/>
        <v>1</v>
      </c>
      <c r="B464" s="38">
        <f>IF(K464=$P$15,$M$4,IF(K464=$P$13,'Leave Entry'!$B$4,F464-1))</f>
        <v>-1</v>
      </c>
      <c r="C464" s="23">
        <f t="shared" si="55"/>
        <v>-1</v>
      </c>
      <c r="D464" s="42">
        <f t="shared" si="57"/>
        <v>-4.5454545454545456E-2</v>
      </c>
      <c r="E464" s="42">
        <f t="shared" si="59"/>
        <v>-20.863636363636449</v>
      </c>
      <c r="F464" s="38">
        <f>'Leave Record'!A466</f>
        <v>0</v>
      </c>
      <c r="G464" s="38">
        <f>'Leave Record'!B466</f>
        <v>0</v>
      </c>
      <c r="H464" s="23">
        <f t="shared" si="56"/>
        <v>1</v>
      </c>
      <c r="I464" s="23">
        <f t="shared" si="60"/>
        <v>0</v>
      </c>
      <c r="J464" s="42">
        <f t="shared" si="61"/>
        <v>-20.863636363636449</v>
      </c>
      <c r="K464" s="23">
        <f>'Leave Record'!C466</f>
        <v>0</v>
      </c>
    </row>
    <row r="465" spans="1:11" x14ac:dyDescent="0.25">
      <c r="A465" s="38">
        <f t="shared" si="58"/>
        <v>1</v>
      </c>
      <c r="B465" s="38">
        <f>IF(K465=$P$15,$M$4,IF(K465=$P$13,'Leave Entry'!$B$4,F465-1))</f>
        <v>-1</v>
      </c>
      <c r="C465" s="23">
        <f t="shared" si="55"/>
        <v>-1</v>
      </c>
      <c r="D465" s="42">
        <f t="shared" si="57"/>
        <v>-4.5454545454545456E-2</v>
      </c>
      <c r="E465" s="42">
        <f t="shared" si="59"/>
        <v>-20.909090909090995</v>
      </c>
      <c r="F465" s="38">
        <f>'Leave Record'!A467</f>
        <v>0</v>
      </c>
      <c r="G465" s="38">
        <f>'Leave Record'!B467</f>
        <v>0</v>
      </c>
      <c r="H465" s="23">
        <f t="shared" si="56"/>
        <v>1</v>
      </c>
      <c r="I465" s="23">
        <f t="shared" si="60"/>
        <v>0</v>
      </c>
      <c r="J465" s="42">
        <f t="shared" si="61"/>
        <v>-20.909090909090995</v>
      </c>
      <c r="K465" s="23">
        <f>'Leave Record'!C467</f>
        <v>0</v>
      </c>
    </row>
    <row r="466" spans="1:11" x14ac:dyDescent="0.25">
      <c r="A466" s="38">
        <f t="shared" si="58"/>
        <v>1</v>
      </c>
      <c r="B466" s="38">
        <f>IF(K466=$P$15,$M$4,IF(K466=$P$13,'Leave Entry'!$B$4,F466-1))</f>
        <v>-1</v>
      </c>
      <c r="C466" s="23">
        <f t="shared" si="55"/>
        <v>-1</v>
      </c>
      <c r="D466" s="42">
        <f t="shared" si="57"/>
        <v>-4.5454545454545456E-2</v>
      </c>
      <c r="E466" s="42">
        <f t="shared" si="59"/>
        <v>-20.954545454545542</v>
      </c>
      <c r="F466" s="38">
        <f>'Leave Record'!A468</f>
        <v>0</v>
      </c>
      <c r="G466" s="38">
        <f>'Leave Record'!B468</f>
        <v>0</v>
      </c>
      <c r="H466" s="23">
        <f t="shared" si="56"/>
        <v>1</v>
      </c>
      <c r="I466" s="23">
        <f t="shared" si="60"/>
        <v>0</v>
      </c>
      <c r="J466" s="42">
        <f t="shared" si="61"/>
        <v>-20.954545454545542</v>
      </c>
      <c r="K466" s="23">
        <f>'Leave Record'!C468</f>
        <v>0</v>
      </c>
    </row>
    <row r="467" spans="1:11" x14ac:dyDescent="0.25">
      <c r="A467" s="38">
        <f t="shared" si="58"/>
        <v>1</v>
      </c>
      <c r="B467" s="38">
        <f>IF(K467=$P$15,$M$4,IF(K467=$P$13,'Leave Entry'!$B$4,F467-1))</f>
        <v>-1</v>
      </c>
      <c r="C467" s="23">
        <f t="shared" si="55"/>
        <v>-1</v>
      </c>
      <c r="D467" s="42">
        <f t="shared" si="57"/>
        <v>-4.5454545454545456E-2</v>
      </c>
      <c r="E467" s="42">
        <f t="shared" si="59"/>
        <v>-21.000000000000089</v>
      </c>
      <c r="F467" s="38">
        <f>'Leave Record'!A469</f>
        <v>0</v>
      </c>
      <c r="G467" s="38">
        <f>'Leave Record'!B469</f>
        <v>0</v>
      </c>
      <c r="H467" s="23">
        <f t="shared" si="56"/>
        <v>1</v>
      </c>
      <c r="I467" s="23">
        <f t="shared" si="60"/>
        <v>0</v>
      </c>
      <c r="J467" s="42">
        <f t="shared" si="61"/>
        <v>-21.000000000000089</v>
      </c>
      <c r="K467" s="23">
        <f>'Leave Record'!C469</f>
        <v>0</v>
      </c>
    </row>
    <row r="468" spans="1:11" x14ac:dyDescent="0.25">
      <c r="A468" s="38">
        <f t="shared" si="58"/>
        <v>1</v>
      </c>
      <c r="B468" s="38">
        <f>IF(K468=$P$15,$M$4,IF(K468=$P$13,'Leave Entry'!$B$4,F468-1))</f>
        <v>-1</v>
      </c>
      <c r="C468" s="23">
        <f t="shared" si="55"/>
        <v>-1</v>
      </c>
      <c r="D468" s="42">
        <f t="shared" si="57"/>
        <v>-4.5454545454545456E-2</v>
      </c>
      <c r="E468" s="42">
        <f t="shared" si="59"/>
        <v>-21.045454545454636</v>
      </c>
      <c r="F468" s="38">
        <f>'Leave Record'!A470</f>
        <v>0</v>
      </c>
      <c r="G468" s="38">
        <f>'Leave Record'!B470</f>
        <v>0</v>
      </c>
      <c r="H468" s="23">
        <f t="shared" si="56"/>
        <v>1</v>
      </c>
      <c r="I468" s="23">
        <f t="shared" si="60"/>
        <v>0</v>
      </c>
      <c r="J468" s="42">
        <f t="shared" si="61"/>
        <v>-21.045454545454636</v>
      </c>
      <c r="K468" s="23">
        <f>'Leave Record'!C470</f>
        <v>0</v>
      </c>
    </row>
    <row r="469" spans="1:11" x14ac:dyDescent="0.25">
      <c r="A469" s="38">
        <f t="shared" si="58"/>
        <v>1</v>
      </c>
      <c r="B469" s="38">
        <f>IF(K469=$P$15,$M$4,IF(K469=$P$13,'Leave Entry'!$B$4,F469-1))</f>
        <v>-1</v>
      </c>
      <c r="C469" s="23">
        <f t="shared" si="55"/>
        <v>-1</v>
      </c>
      <c r="D469" s="42">
        <f t="shared" si="57"/>
        <v>-4.5454545454545456E-2</v>
      </c>
      <c r="E469" s="42">
        <f t="shared" si="59"/>
        <v>-21.090909090909182</v>
      </c>
      <c r="F469" s="38">
        <f>'Leave Record'!A471</f>
        <v>0</v>
      </c>
      <c r="G469" s="38">
        <f>'Leave Record'!B471</f>
        <v>0</v>
      </c>
      <c r="H469" s="23">
        <f t="shared" si="56"/>
        <v>1</v>
      </c>
      <c r="I469" s="23">
        <f t="shared" si="60"/>
        <v>0</v>
      </c>
      <c r="J469" s="42">
        <f t="shared" si="61"/>
        <v>-21.090909090909182</v>
      </c>
      <c r="K469" s="23">
        <f>'Leave Record'!C471</f>
        <v>0</v>
      </c>
    </row>
    <row r="470" spans="1:11" x14ac:dyDescent="0.25">
      <c r="A470" s="38">
        <f t="shared" si="58"/>
        <v>1</v>
      </c>
      <c r="B470" s="38">
        <f>IF(K470=$P$15,$M$4,IF(K470=$P$13,'Leave Entry'!$B$4,F470-1))</f>
        <v>-1</v>
      </c>
      <c r="C470" s="23">
        <f t="shared" si="55"/>
        <v>-1</v>
      </c>
      <c r="D470" s="42">
        <f t="shared" si="57"/>
        <v>-4.5454545454545456E-2</v>
      </c>
      <c r="E470" s="42">
        <f t="shared" si="59"/>
        <v>-21.136363636363729</v>
      </c>
      <c r="F470" s="38">
        <f>'Leave Record'!A472</f>
        <v>0</v>
      </c>
      <c r="G470" s="38">
        <f>'Leave Record'!B472</f>
        <v>0</v>
      </c>
      <c r="H470" s="23">
        <f t="shared" si="56"/>
        <v>1</v>
      </c>
      <c r="I470" s="23">
        <f t="shared" si="60"/>
        <v>0</v>
      </c>
      <c r="J470" s="42">
        <f t="shared" si="61"/>
        <v>-21.136363636363729</v>
      </c>
      <c r="K470" s="23">
        <f>'Leave Record'!C472</f>
        <v>0</v>
      </c>
    </row>
    <row r="471" spans="1:11" x14ac:dyDescent="0.25">
      <c r="A471" s="38">
        <f t="shared" si="58"/>
        <v>1</v>
      </c>
      <c r="B471" s="38">
        <f>IF(K471=$P$15,$M$4,IF(K471=$P$13,'Leave Entry'!$B$4,F471-1))</f>
        <v>-1</v>
      </c>
      <c r="C471" s="23">
        <f t="shared" si="55"/>
        <v>-1</v>
      </c>
      <c r="D471" s="42">
        <f t="shared" si="57"/>
        <v>-4.5454545454545456E-2</v>
      </c>
      <c r="E471" s="42">
        <f t="shared" si="59"/>
        <v>-21.181818181818276</v>
      </c>
      <c r="F471" s="38">
        <f>'Leave Record'!A473</f>
        <v>0</v>
      </c>
      <c r="G471" s="38">
        <f>'Leave Record'!B473</f>
        <v>0</v>
      </c>
      <c r="H471" s="23">
        <f t="shared" si="56"/>
        <v>1</v>
      </c>
      <c r="I471" s="23">
        <f t="shared" si="60"/>
        <v>0</v>
      </c>
      <c r="J471" s="42">
        <f t="shared" si="61"/>
        <v>-21.181818181818276</v>
      </c>
      <c r="K471" s="23">
        <f>'Leave Record'!C473</f>
        <v>0</v>
      </c>
    </row>
    <row r="472" spans="1:11" x14ac:dyDescent="0.25">
      <c r="A472" s="38">
        <f t="shared" si="58"/>
        <v>1</v>
      </c>
      <c r="B472" s="38">
        <f>IF(K472=$P$15,$M$4,IF(K472=$P$13,'Leave Entry'!$B$4,F472-1))</f>
        <v>-1</v>
      </c>
      <c r="C472" s="23">
        <f t="shared" si="55"/>
        <v>-1</v>
      </c>
      <c r="D472" s="42">
        <f t="shared" si="57"/>
        <v>-4.5454545454545456E-2</v>
      </c>
      <c r="E472" s="42">
        <f t="shared" si="59"/>
        <v>-21.227272727272823</v>
      </c>
      <c r="F472" s="38">
        <f>'Leave Record'!A474</f>
        <v>0</v>
      </c>
      <c r="G472" s="38">
        <f>'Leave Record'!B474</f>
        <v>0</v>
      </c>
      <c r="H472" s="23">
        <f t="shared" si="56"/>
        <v>1</v>
      </c>
      <c r="I472" s="23">
        <f t="shared" si="60"/>
        <v>0</v>
      </c>
      <c r="J472" s="42">
        <f t="shared" si="61"/>
        <v>-21.227272727272823</v>
      </c>
      <c r="K472" s="23">
        <f>'Leave Record'!C474</f>
        <v>0</v>
      </c>
    </row>
    <row r="473" spans="1:11" x14ac:dyDescent="0.25">
      <c r="A473" s="38">
        <f t="shared" si="58"/>
        <v>1</v>
      </c>
      <c r="B473" s="38">
        <f>IF(K473=$P$15,$M$4,IF(K473=$P$13,'Leave Entry'!$B$4,F473-1))</f>
        <v>-1</v>
      </c>
      <c r="C473" s="23">
        <f t="shared" si="55"/>
        <v>-1</v>
      </c>
      <c r="D473" s="42">
        <f t="shared" si="57"/>
        <v>-4.5454545454545456E-2</v>
      </c>
      <c r="E473" s="42">
        <f t="shared" si="59"/>
        <v>-21.272727272727369</v>
      </c>
      <c r="F473" s="38">
        <f>'Leave Record'!A475</f>
        <v>0</v>
      </c>
      <c r="G473" s="38">
        <f>'Leave Record'!B475</f>
        <v>0</v>
      </c>
      <c r="H473" s="23">
        <f t="shared" si="56"/>
        <v>1</v>
      </c>
      <c r="I473" s="23">
        <f t="shared" si="60"/>
        <v>0</v>
      </c>
      <c r="J473" s="42">
        <f t="shared" si="61"/>
        <v>-21.272727272727369</v>
      </c>
      <c r="K473" s="23">
        <f>'Leave Record'!C475</f>
        <v>0</v>
      </c>
    </row>
    <row r="474" spans="1:11" x14ac:dyDescent="0.25">
      <c r="A474" s="38">
        <f t="shared" si="58"/>
        <v>1</v>
      </c>
      <c r="B474" s="38">
        <f>IF(K474=$P$15,$M$4,IF(K474=$P$13,'Leave Entry'!$B$4,F474-1))</f>
        <v>-1</v>
      </c>
      <c r="C474" s="23">
        <f t="shared" si="55"/>
        <v>-1</v>
      </c>
      <c r="D474" s="42">
        <f t="shared" si="57"/>
        <v>-4.5454545454545456E-2</v>
      </c>
      <c r="E474" s="42">
        <f t="shared" si="59"/>
        <v>-21.318181818181916</v>
      </c>
      <c r="F474" s="38">
        <f>'Leave Record'!A476</f>
        <v>0</v>
      </c>
      <c r="G474" s="38">
        <f>'Leave Record'!B476</f>
        <v>0</v>
      </c>
      <c r="H474" s="23">
        <f t="shared" si="56"/>
        <v>1</v>
      </c>
      <c r="I474" s="23">
        <f t="shared" si="60"/>
        <v>0</v>
      </c>
      <c r="J474" s="42">
        <f t="shared" si="61"/>
        <v>-21.318181818181916</v>
      </c>
      <c r="K474" s="23">
        <f>'Leave Record'!C476</f>
        <v>0</v>
      </c>
    </row>
    <row r="475" spans="1:11" x14ac:dyDescent="0.25">
      <c r="A475" s="38">
        <f t="shared" si="58"/>
        <v>1</v>
      </c>
      <c r="B475" s="38">
        <f>IF(K475=$P$15,$M$4,IF(K475=$P$13,'Leave Entry'!$B$4,F475-1))</f>
        <v>-1</v>
      </c>
      <c r="C475" s="23">
        <f t="shared" si="55"/>
        <v>-1</v>
      </c>
      <c r="D475" s="42">
        <f t="shared" si="57"/>
        <v>-4.5454545454545456E-2</v>
      </c>
      <c r="E475" s="42">
        <f t="shared" si="59"/>
        <v>-21.363636363636463</v>
      </c>
      <c r="F475" s="38">
        <f>'Leave Record'!A477</f>
        <v>0</v>
      </c>
      <c r="G475" s="38">
        <f>'Leave Record'!B477</f>
        <v>0</v>
      </c>
      <c r="H475" s="23">
        <f t="shared" si="56"/>
        <v>1</v>
      </c>
      <c r="I475" s="23">
        <f t="shared" si="60"/>
        <v>0</v>
      </c>
      <c r="J475" s="42">
        <f t="shared" si="61"/>
        <v>-21.363636363636463</v>
      </c>
      <c r="K475" s="23">
        <f>'Leave Record'!C477</f>
        <v>0</v>
      </c>
    </row>
    <row r="476" spans="1:11" x14ac:dyDescent="0.25">
      <c r="A476" s="38">
        <f t="shared" si="58"/>
        <v>1</v>
      </c>
      <c r="B476" s="38">
        <f>IF(K476=$P$15,$M$4,IF(K476=$P$13,'Leave Entry'!$B$4,F476-1))</f>
        <v>-1</v>
      </c>
      <c r="C476" s="23">
        <f t="shared" si="55"/>
        <v>-1</v>
      </c>
      <c r="D476" s="42">
        <f t="shared" si="57"/>
        <v>-4.5454545454545456E-2</v>
      </c>
      <c r="E476" s="42">
        <f t="shared" si="59"/>
        <v>-21.40909090909101</v>
      </c>
      <c r="F476" s="38">
        <f>'Leave Record'!A478</f>
        <v>0</v>
      </c>
      <c r="G476" s="38">
        <f>'Leave Record'!B478</f>
        <v>0</v>
      </c>
      <c r="H476" s="23">
        <f t="shared" si="56"/>
        <v>1</v>
      </c>
      <c r="I476" s="23">
        <f t="shared" si="60"/>
        <v>0</v>
      </c>
      <c r="J476" s="42">
        <f t="shared" si="61"/>
        <v>-21.40909090909101</v>
      </c>
      <c r="K476" s="23">
        <f>'Leave Record'!C478</f>
        <v>0</v>
      </c>
    </row>
    <row r="477" spans="1:11" x14ac:dyDescent="0.25">
      <c r="A477" s="38">
        <f t="shared" si="58"/>
        <v>1</v>
      </c>
      <c r="B477" s="38">
        <f>IF(K477=$P$15,$M$4,IF(K477=$P$13,'Leave Entry'!$B$4,F477-1))</f>
        <v>-1</v>
      </c>
      <c r="C477" s="23">
        <f t="shared" si="55"/>
        <v>-1</v>
      </c>
      <c r="D477" s="42">
        <f t="shared" si="57"/>
        <v>-4.5454545454545456E-2</v>
      </c>
      <c r="E477" s="42">
        <f t="shared" si="59"/>
        <v>-21.454545454545556</v>
      </c>
      <c r="F477" s="38">
        <f>'Leave Record'!A479</f>
        <v>0</v>
      </c>
      <c r="G477" s="38">
        <f>'Leave Record'!B479</f>
        <v>0</v>
      </c>
      <c r="H477" s="23">
        <f t="shared" si="56"/>
        <v>1</v>
      </c>
      <c r="I477" s="23">
        <f t="shared" si="60"/>
        <v>0</v>
      </c>
      <c r="J477" s="42">
        <f t="shared" si="61"/>
        <v>-21.454545454545556</v>
      </c>
      <c r="K477" s="23">
        <f>'Leave Record'!C479</f>
        <v>0</v>
      </c>
    </row>
    <row r="478" spans="1:11" x14ac:dyDescent="0.25">
      <c r="A478" s="38">
        <f t="shared" si="58"/>
        <v>1</v>
      </c>
      <c r="B478" s="38">
        <f>IF(K478=$P$15,$M$4,IF(K478=$P$13,'Leave Entry'!$B$4,F478-1))</f>
        <v>-1</v>
      </c>
      <c r="C478" s="23">
        <f t="shared" si="55"/>
        <v>-1</v>
      </c>
      <c r="D478" s="42">
        <f t="shared" si="57"/>
        <v>-4.5454545454545456E-2</v>
      </c>
      <c r="E478" s="42">
        <f t="shared" si="59"/>
        <v>-21.500000000000103</v>
      </c>
      <c r="F478" s="38">
        <f>'Leave Record'!A480</f>
        <v>0</v>
      </c>
      <c r="G478" s="38">
        <f>'Leave Record'!B480</f>
        <v>0</v>
      </c>
      <c r="H478" s="23">
        <f t="shared" si="56"/>
        <v>1</v>
      </c>
      <c r="I478" s="23">
        <f t="shared" si="60"/>
        <v>0</v>
      </c>
      <c r="J478" s="42">
        <f t="shared" si="61"/>
        <v>-21.500000000000103</v>
      </c>
      <c r="K478" s="23">
        <f>'Leave Record'!C480</f>
        <v>0</v>
      </c>
    </row>
    <row r="479" spans="1:11" x14ac:dyDescent="0.25">
      <c r="A479" s="38">
        <f t="shared" si="58"/>
        <v>1</v>
      </c>
      <c r="B479" s="38">
        <f>IF(K479=$P$15,$M$4,IF(K479=$P$13,'Leave Entry'!$B$4,F479-1))</f>
        <v>-1</v>
      </c>
      <c r="C479" s="23">
        <f t="shared" si="55"/>
        <v>-1</v>
      </c>
      <c r="D479" s="42">
        <f t="shared" si="57"/>
        <v>-4.5454545454545456E-2</v>
      </c>
      <c r="E479" s="42">
        <f t="shared" si="59"/>
        <v>-21.54545454545465</v>
      </c>
      <c r="F479" s="38">
        <f>'Leave Record'!A481</f>
        <v>0</v>
      </c>
      <c r="G479" s="38">
        <f>'Leave Record'!B481</f>
        <v>0</v>
      </c>
      <c r="H479" s="23">
        <f t="shared" si="56"/>
        <v>1</v>
      </c>
      <c r="I479" s="23">
        <f t="shared" si="60"/>
        <v>0</v>
      </c>
      <c r="J479" s="42">
        <f t="shared" si="61"/>
        <v>-21.54545454545465</v>
      </c>
      <c r="K479" s="23">
        <f>'Leave Record'!C481</f>
        <v>0</v>
      </c>
    </row>
    <row r="480" spans="1:11" x14ac:dyDescent="0.25">
      <c r="A480" s="38">
        <f t="shared" si="58"/>
        <v>1</v>
      </c>
      <c r="B480" s="38">
        <f>IF(K480=$P$15,$M$4,IF(K480=$P$13,'Leave Entry'!$B$4,F480-1))</f>
        <v>-1</v>
      </c>
      <c r="C480" s="23">
        <f t="shared" si="55"/>
        <v>-1</v>
      </c>
      <c r="D480" s="42">
        <f t="shared" si="57"/>
        <v>-4.5454545454545456E-2</v>
      </c>
      <c r="E480" s="42">
        <f t="shared" si="59"/>
        <v>-21.590909090909197</v>
      </c>
      <c r="F480" s="38">
        <f>'Leave Record'!A482</f>
        <v>0</v>
      </c>
      <c r="G480" s="38">
        <f>'Leave Record'!B482</f>
        <v>0</v>
      </c>
      <c r="H480" s="23">
        <f t="shared" si="56"/>
        <v>1</v>
      </c>
      <c r="I480" s="23">
        <f t="shared" si="60"/>
        <v>0</v>
      </c>
      <c r="J480" s="42">
        <f t="shared" si="61"/>
        <v>-21.590909090909197</v>
      </c>
      <c r="K480" s="23">
        <f>'Leave Record'!C482</f>
        <v>0</v>
      </c>
    </row>
    <row r="481" spans="1:11" x14ac:dyDescent="0.25">
      <c r="A481" s="38">
        <f t="shared" si="58"/>
        <v>1</v>
      </c>
      <c r="B481" s="38">
        <f>IF(K481=$P$15,$M$4,IF(K481=$P$13,'Leave Entry'!$B$4,F481-1))</f>
        <v>-1</v>
      </c>
      <c r="C481" s="23">
        <f t="shared" si="55"/>
        <v>-1</v>
      </c>
      <c r="D481" s="42">
        <f t="shared" si="57"/>
        <v>-4.5454545454545456E-2</v>
      </c>
      <c r="E481" s="42">
        <f t="shared" si="59"/>
        <v>-21.636363636363743</v>
      </c>
      <c r="F481" s="38">
        <f>'Leave Record'!A483</f>
        <v>0</v>
      </c>
      <c r="G481" s="38">
        <f>'Leave Record'!B483</f>
        <v>0</v>
      </c>
      <c r="H481" s="23">
        <f t="shared" si="56"/>
        <v>1</v>
      </c>
      <c r="I481" s="23">
        <f t="shared" si="60"/>
        <v>0</v>
      </c>
      <c r="J481" s="42">
        <f t="shared" si="61"/>
        <v>-21.636363636363743</v>
      </c>
      <c r="K481" s="23">
        <f>'Leave Record'!C483</f>
        <v>0</v>
      </c>
    </row>
    <row r="482" spans="1:11" x14ac:dyDescent="0.25">
      <c r="A482" s="38">
        <f t="shared" si="58"/>
        <v>1</v>
      </c>
      <c r="B482" s="38">
        <f>IF(K482=$P$15,$M$4,IF(K482=$P$13,'Leave Entry'!$B$4,F482-1))</f>
        <v>-1</v>
      </c>
      <c r="C482" s="23">
        <f t="shared" si="55"/>
        <v>-1</v>
      </c>
      <c r="D482" s="42">
        <f t="shared" si="57"/>
        <v>-4.5454545454545456E-2</v>
      </c>
      <c r="E482" s="42">
        <f t="shared" si="59"/>
        <v>-21.68181818181829</v>
      </c>
      <c r="F482" s="38">
        <f>'Leave Record'!A484</f>
        <v>0</v>
      </c>
      <c r="G482" s="38">
        <f>'Leave Record'!B484</f>
        <v>0</v>
      </c>
      <c r="H482" s="23">
        <f t="shared" si="56"/>
        <v>1</v>
      </c>
      <c r="I482" s="23">
        <f t="shared" si="60"/>
        <v>0</v>
      </c>
      <c r="J482" s="42">
        <f t="shared" si="61"/>
        <v>-21.68181818181829</v>
      </c>
      <c r="K482" s="23">
        <f>'Leave Record'!C484</f>
        <v>0</v>
      </c>
    </row>
    <row r="483" spans="1:11" x14ac:dyDescent="0.25">
      <c r="A483" s="38">
        <f t="shared" si="58"/>
        <v>1</v>
      </c>
      <c r="B483" s="38">
        <f>IF(K483=$P$15,$M$4,IF(K483=$P$13,'Leave Entry'!$B$4,F483-1))</f>
        <v>-1</v>
      </c>
      <c r="C483" s="23">
        <f t="shared" si="55"/>
        <v>-1</v>
      </c>
      <c r="D483" s="42">
        <f t="shared" si="57"/>
        <v>-4.5454545454545456E-2</v>
      </c>
      <c r="E483" s="42">
        <f t="shared" si="59"/>
        <v>-21.727272727272837</v>
      </c>
      <c r="F483" s="38">
        <f>'Leave Record'!A485</f>
        <v>0</v>
      </c>
      <c r="G483" s="38">
        <f>'Leave Record'!B485</f>
        <v>0</v>
      </c>
      <c r="H483" s="23">
        <f t="shared" si="56"/>
        <v>1</v>
      </c>
      <c r="I483" s="23">
        <f t="shared" si="60"/>
        <v>0</v>
      </c>
      <c r="J483" s="42">
        <f t="shared" si="61"/>
        <v>-21.727272727272837</v>
      </c>
      <c r="K483" s="23">
        <f>'Leave Record'!C485</f>
        <v>0</v>
      </c>
    </row>
    <row r="484" spans="1:11" x14ac:dyDescent="0.25">
      <c r="A484" s="38">
        <f t="shared" si="58"/>
        <v>1</v>
      </c>
      <c r="B484" s="38">
        <f>IF(K484=$P$15,$M$4,IF(K484=$P$13,'Leave Entry'!$B$4,F484-1))</f>
        <v>-1</v>
      </c>
      <c r="C484" s="23">
        <f t="shared" si="55"/>
        <v>-1</v>
      </c>
      <c r="D484" s="42">
        <f t="shared" si="57"/>
        <v>-4.5454545454545456E-2</v>
      </c>
      <c r="E484" s="42">
        <f t="shared" si="59"/>
        <v>-21.772727272727384</v>
      </c>
      <c r="F484" s="38">
        <f>'Leave Record'!A486</f>
        <v>0</v>
      </c>
      <c r="G484" s="38">
        <f>'Leave Record'!B486</f>
        <v>0</v>
      </c>
      <c r="H484" s="23">
        <f t="shared" si="56"/>
        <v>1</v>
      </c>
      <c r="I484" s="23">
        <f t="shared" si="60"/>
        <v>0</v>
      </c>
      <c r="J484" s="42">
        <f t="shared" si="61"/>
        <v>-21.772727272727384</v>
      </c>
      <c r="K484" s="23">
        <f>'Leave Record'!C486</f>
        <v>0</v>
      </c>
    </row>
    <row r="485" spans="1:11" x14ac:dyDescent="0.25">
      <c r="A485" s="38">
        <f t="shared" si="58"/>
        <v>1</v>
      </c>
      <c r="B485" s="38">
        <f>IF(K485=$P$15,$M$4,IF(K485=$P$13,'Leave Entry'!$B$4,F485-1))</f>
        <v>-1</v>
      </c>
      <c r="C485" s="23">
        <f t="shared" si="55"/>
        <v>-1</v>
      </c>
      <c r="D485" s="42">
        <f t="shared" si="57"/>
        <v>-4.5454545454545456E-2</v>
      </c>
      <c r="E485" s="42">
        <f t="shared" si="59"/>
        <v>-21.81818181818193</v>
      </c>
      <c r="F485" s="38">
        <f>'Leave Record'!A487</f>
        <v>0</v>
      </c>
      <c r="G485" s="38">
        <f>'Leave Record'!B487</f>
        <v>0</v>
      </c>
      <c r="H485" s="23">
        <f t="shared" si="56"/>
        <v>1</v>
      </c>
      <c r="I485" s="23">
        <f t="shared" si="60"/>
        <v>0</v>
      </c>
      <c r="J485" s="42">
        <f t="shared" si="61"/>
        <v>-21.81818181818193</v>
      </c>
      <c r="K485" s="23">
        <f>'Leave Record'!C487</f>
        <v>0</v>
      </c>
    </row>
    <row r="486" spans="1:11" x14ac:dyDescent="0.25">
      <c r="A486" s="38">
        <f t="shared" si="58"/>
        <v>1</v>
      </c>
      <c r="B486" s="38">
        <f>IF(K486=$P$15,$M$4,IF(K486=$P$13,'Leave Entry'!$B$4,F486-1))</f>
        <v>-1</v>
      </c>
      <c r="C486" s="23">
        <f t="shared" si="55"/>
        <v>-1</v>
      </c>
      <c r="D486" s="42">
        <f t="shared" si="57"/>
        <v>-4.5454545454545456E-2</v>
      </c>
      <c r="E486" s="42">
        <f t="shared" si="59"/>
        <v>-21.863636363636477</v>
      </c>
      <c r="F486" s="38">
        <f>'Leave Record'!A488</f>
        <v>0</v>
      </c>
      <c r="G486" s="38">
        <f>'Leave Record'!B488</f>
        <v>0</v>
      </c>
      <c r="H486" s="23">
        <f t="shared" si="56"/>
        <v>1</v>
      </c>
      <c r="I486" s="23">
        <f t="shared" si="60"/>
        <v>0</v>
      </c>
      <c r="J486" s="42">
        <f t="shared" si="61"/>
        <v>-21.863636363636477</v>
      </c>
      <c r="K486" s="23">
        <f>'Leave Record'!C488</f>
        <v>0</v>
      </c>
    </row>
    <row r="487" spans="1:11" x14ac:dyDescent="0.25">
      <c r="A487" s="38">
        <f t="shared" si="58"/>
        <v>1</v>
      </c>
      <c r="B487" s="38">
        <f>IF(K487=$P$15,$M$4,IF(K487=$P$13,'Leave Entry'!$B$4,F487-1))</f>
        <v>-1</v>
      </c>
      <c r="C487" s="23">
        <f t="shared" si="55"/>
        <v>-1</v>
      </c>
      <c r="D487" s="42">
        <f t="shared" si="57"/>
        <v>-4.5454545454545456E-2</v>
      </c>
      <c r="E487" s="42">
        <f t="shared" si="59"/>
        <v>-21.909090909091024</v>
      </c>
      <c r="F487" s="38">
        <f>'Leave Record'!A489</f>
        <v>0</v>
      </c>
      <c r="G487" s="38">
        <f>'Leave Record'!B489</f>
        <v>0</v>
      </c>
      <c r="H487" s="23">
        <f t="shared" si="56"/>
        <v>1</v>
      </c>
      <c r="I487" s="23">
        <f t="shared" si="60"/>
        <v>0</v>
      </c>
      <c r="J487" s="42">
        <f t="shared" si="61"/>
        <v>-21.909090909091024</v>
      </c>
      <c r="K487" s="23">
        <f>'Leave Record'!C489</f>
        <v>0</v>
      </c>
    </row>
    <row r="488" spans="1:11" x14ac:dyDescent="0.25">
      <c r="A488" s="38">
        <f t="shared" si="58"/>
        <v>1</v>
      </c>
      <c r="B488" s="38">
        <f>IF(K488=$P$15,$M$4,IF(K488=$P$13,'Leave Entry'!$B$4,F488-1))</f>
        <v>-1</v>
      </c>
      <c r="C488" s="23">
        <f t="shared" si="55"/>
        <v>-1</v>
      </c>
      <c r="D488" s="42">
        <f t="shared" si="57"/>
        <v>-4.5454545454545456E-2</v>
      </c>
      <c r="E488" s="42">
        <f t="shared" si="59"/>
        <v>-21.95454545454557</v>
      </c>
      <c r="F488" s="38">
        <f>'Leave Record'!A490</f>
        <v>0</v>
      </c>
      <c r="G488" s="38">
        <f>'Leave Record'!B490</f>
        <v>0</v>
      </c>
      <c r="H488" s="23">
        <f t="shared" si="56"/>
        <v>1</v>
      </c>
      <c r="I488" s="23">
        <f t="shared" si="60"/>
        <v>0</v>
      </c>
      <c r="J488" s="42">
        <f t="shared" si="61"/>
        <v>-21.95454545454557</v>
      </c>
      <c r="K488" s="23">
        <f>'Leave Record'!C490</f>
        <v>0</v>
      </c>
    </row>
    <row r="489" spans="1:11" x14ac:dyDescent="0.25">
      <c r="A489" s="38">
        <f t="shared" si="58"/>
        <v>1</v>
      </c>
      <c r="B489" s="38">
        <f>IF(K489=$P$15,$M$4,IF(K489=$P$13,'Leave Entry'!$B$4,F489-1))</f>
        <v>-1</v>
      </c>
      <c r="C489" s="23">
        <f t="shared" si="55"/>
        <v>-1</v>
      </c>
      <c r="D489" s="42">
        <f t="shared" si="57"/>
        <v>-4.5454545454545456E-2</v>
      </c>
      <c r="E489" s="42">
        <f t="shared" si="59"/>
        <v>-22.000000000000117</v>
      </c>
      <c r="F489" s="38">
        <f>'Leave Record'!A491</f>
        <v>0</v>
      </c>
      <c r="G489" s="38">
        <f>'Leave Record'!B491</f>
        <v>0</v>
      </c>
      <c r="H489" s="23">
        <f t="shared" si="56"/>
        <v>1</v>
      </c>
      <c r="I489" s="23">
        <f t="shared" si="60"/>
        <v>0</v>
      </c>
      <c r="J489" s="42">
        <f t="shared" si="61"/>
        <v>-22.000000000000117</v>
      </c>
      <c r="K489" s="23">
        <f>'Leave Record'!C491</f>
        <v>0</v>
      </c>
    </row>
    <row r="490" spans="1:11" x14ac:dyDescent="0.25">
      <c r="A490" s="38">
        <f t="shared" si="58"/>
        <v>1</v>
      </c>
      <c r="B490" s="38">
        <f>IF(K490=$P$15,$M$4,IF(K490=$P$13,'Leave Entry'!$B$4,F490-1))</f>
        <v>-1</v>
      </c>
      <c r="C490" s="23">
        <f t="shared" si="55"/>
        <v>-1</v>
      </c>
      <c r="D490" s="42">
        <f t="shared" si="57"/>
        <v>-4.5454545454545456E-2</v>
      </c>
      <c r="E490" s="42">
        <f t="shared" si="59"/>
        <v>-22.045454545454664</v>
      </c>
      <c r="F490" s="38">
        <f>'Leave Record'!A492</f>
        <v>0</v>
      </c>
      <c r="G490" s="38">
        <f>'Leave Record'!B492</f>
        <v>0</v>
      </c>
      <c r="H490" s="23">
        <f t="shared" si="56"/>
        <v>1</v>
      </c>
      <c r="I490" s="23">
        <f t="shared" si="60"/>
        <v>0</v>
      </c>
      <c r="J490" s="42">
        <f t="shared" si="61"/>
        <v>-22.045454545454664</v>
      </c>
      <c r="K490" s="23">
        <f>'Leave Record'!C492</f>
        <v>0</v>
      </c>
    </row>
    <row r="491" spans="1:11" x14ac:dyDescent="0.25">
      <c r="A491" s="38">
        <f t="shared" si="58"/>
        <v>1</v>
      </c>
      <c r="B491" s="38">
        <f>IF(K491=$P$15,$M$4,IF(K491=$P$13,'Leave Entry'!$B$4,F491-1))</f>
        <v>-1</v>
      </c>
      <c r="C491" s="23">
        <f t="shared" si="55"/>
        <v>-1</v>
      </c>
      <c r="D491" s="42">
        <f t="shared" si="57"/>
        <v>-4.5454545454545456E-2</v>
      </c>
      <c r="E491" s="42">
        <f t="shared" si="59"/>
        <v>-22.090909090909211</v>
      </c>
      <c r="F491" s="38">
        <f>'Leave Record'!A493</f>
        <v>0</v>
      </c>
      <c r="G491" s="38">
        <f>'Leave Record'!B493</f>
        <v>0</v>
      </c>
      <c r="H491" s="23">
        <f t="shared" si="56"/>
        <v>1</v>
      </c>
      <c r="I491" s="23">
        <f t="shared" si="60"/>
        <v>0</v>
      </c>
      <c r="J491" s="42">
        <f t="shared" si="61"/>
        <v>-22.090909090909211</v>
      </c>
      <c r="K491" s="23">
        <f>'Leave Record'!C493</f>
        <v>0</v>
      </c>
    </row>
    <row r="492" spans="1:11" x14ac:dyDescent="0.25">
      <c r="A492" s="38">
        <f t="shared" si="58"/>
        <v>1</v>
      </c>
      <c r="B492" s="38">
        <f>IF(K492=$P$15,$M$4,IF(K492=$P$13,'Leave Entry'!$B$4,F492-1))</f>
        <v>-1</v>
      </c>
      <c r="C492" s="23">
        <f t="shared" si="55"/>
        <v>-1</v>
      </c>
      <c r="D492" s="42">
        <f t="shared" si="57"/>
        <v>-4.5454545454545456E-2</v>
      </c>
      <c r="E492" s="42">
        <f t="shared" si="59"/>
        <v>-22.136363636363757</v>
      </c>
      <c r="F492" s="38">
        <f>'Leave Record'!A494</f>
        <v>0</v>
      </c>
      <c r="G492" s="38">
        <f>'Leave Record'!B494</f>
        <v>0</v>
      </c>
      <c r="H492" s="23">
        <f t="shared" si="56"/>
        <v>1</v>
      </c>
      <c r="I492" s="23">
        <f t="shared" si="60"/>
        <v>0</v>
      </c>
      <c r="J492" s="42">
        <f t="shared" si="61"/>
        <v>-22.136363636363757</v>
      </c>
      <c r="K492" s="23">
        <f>'Leave Record'!C494</f>
        <v>0</v>
      </c>
    </row>
    <row r="493" spans="1:11" x14ac:dyDescent="0.25">
      <c r="A493" s="38">
        <f t="shared" si="58"/>
        <v>1</v>
      </c>
      <c r="B493" s="38">
        <f>IF(K493=$P$15,$M$4,IF(K493=$P$13,'Leave Entry'!$B$4,F493-1))</f>
        <v>-1</v>
      </c>
      <c r="C493" s="23">
        <f t="shared" si="55"/>
        <v>-1</v>
      </c>
      <c r="D493" s="42">
        <f t="shared" si="57"/>
        <v>-4.5454545454545456E-2</v>
      </c>
      <c r="E493" s="42">
        <f t="shared" si="59"/>
        <v>-22.181818181818304</v>
      </c>
      <c r="F493" s="38">
        <f>'Leave Record'!A495</f>
        <v>0</v>
      </c>
      <c r="G493" s="38">
        <f>'Leave Record'!B495</f>
        <v>0</v>
      </c>
      <c r="H493" s="23">
        <f t="shared" si="56"/>
        <v>1</v>
      </c>
      <c r="I493" s="23">
        <f t="shared" si="60"/>
        <v>0</v>
      </c>
      <c r="J493" s="42">
        <f t="shared" si="61"/>
        <v>-22.181818181818304</v>
      </c>
      <c r="K493" s="23">
        <f>'Leave Record'!C495</f>
        <v>0</v>
      </c>
    </row>
    <row r="494" spans="1:11" x14ac:dyDescent="0.25">
      <c r="A494" s="38">
        <f t="shared" si="58"/>
        <v>1</v>
      </c>
      <c r="B494" s="38">
        <f>IF(K494=$P$15,$M$4,IF(K494=$P$13,'Leave Entry'!$B$4,F494-1))</f>
        <v>-1</v>
      </c>
      <c r="C494" s="23">
        <f t="shared" si="55"/>
        <v>-1</v>
      </c>
      <c r="D494" s="42">
        <f t="shared" si="57"/>
        <v>-4.5454545454545456E-2</v>
      </c>
      <c r="E494" s="42">
        <f t="shared" si="59"/>
        <v>-22.227272727272851</v>
      </c>
      <c r="F494" s="38">
        <f>'Leave Record'!A496</f>
        <v>0</v>
      </c>
      <c r="G494" s="38">
        <f>'Leave Record'!B496</f>
        <v>0</v>
      </c>
      <c r="H494" s="23">
        <f t="shared" si="56"/>
        <v>1</v>
      </c>
      <c r="I494" s="23">
        <f t="shared" si="60"/>
        <v>0</v>
      </c>
      <c r="J494" s="42">
        <f t="shared" si="61"/>
        <v>-22.227272727272851</v>
      </c>
      <c r="K494" s="23">
        <f>'Leave Record'!C496</f>
        <v>0</v>
      </c>
    </row>
    <row r="495" spans="1:11" x14ac:dyDescent="0.25">
      <c r="A495" s="38">
        <f t="shared" si="58"/>
        <v>1</v>
      </c>
      <c r="B495" s="38">
        <f>IF(K495=$P$15,$M$4,IF(K495=$P$13,'Leave Entry'!$B$4,F495-1))</f>
        <v>-1</v>
      </c>
      <c r="C495" s="23">
        <f t="shared" si="55"/>
        <v>-1</v>
      </c>
      <c r="D495" s="42">
        <f t="shared" si="57"/>
        <v>-4.5454545454545456E-2</v>
      </c>
      <c r="E495" s="42">
        <f t="shared" si="59"/>
        <v>-22.272727272727398</v>
      </c>
      <c r="F495" s="38">
        <f>'Leave Record'!A497</f>
        <v>0</v>
      </c>
      <c r="G495" s="38">
        <f>'Leave Record'!B497</f>
        <v>0</v>
      </c>
      <c r="H495" s="23">
        <f t="shared" si="56"/>
        <v>1</v>
      </c>
      <c r="I495" s="23">
        <f t="shared" si="60"/>
        <v>0</v>
      </c>
      <c r="J495" s="42">
        <f t="shared" si="61"/>
        <v>-22.272727272727398</v>
      </c>
      <c r="K495" s="23">
        <f>'Leave Record'!C497</f>
        <v>0</v>
      </c>
    </row>
    <row r="496" spans="1:11" x14ac:dyDescent="0.25">
      <c r="A496" s="38">
        <f t="shared" si="58"/>
        <v>1</v>
      </c>
      <c r="B496" s="38">
        <f>IF(K496=$P$15,$M$4,IF(K496=$P$13,'Leave Entry'!$B$4,F496-1))</f>
        <v>-1</v>
      </c>
      <c r="C496" s="23">
        <f t="shared" si="55"/>
        <v>-1</v>
      </c>
      <c r="D496" s="42">
        <f t="shared" si="57"/>
        <v>-4.5454545454545456E-2</v>
      </c>
      <c r="E496" s="42">
        <f t="shared" si="59"/>
        <v>-22.318181818181944</v>
      </c>
      <c r="F496" s="38">
        <f>'Leave Record'!A498</f>
        <v>0</v>
      </c>
      <c r="G496" s="38">
        <f>'Leave Record'!B498</f>
        <v>0</v>
      </c>
      <c r="H496" s="23">
        <f t="shared" si="56"/>
        <v>1</v>
      </c>
      <c r="I496" s="23">
        <f t="shared" si="60"/>
        <v>0</v>
      </c>
      <c r="J496" s="42">
        <f t="shared" si="61"/>
        <v>-22.318181818181944</v>
      </c>
      <c r="K496" s="23">
        <f>'Leave Record'!C498</f>
        <v>0</v>
      </c>
    </row>
    <row r="497" spans="1:11" x14ac:dyDescent="0.25">
      <c r="A497" s="38">
        <f t="shared" si="58"/>
        <v>1</v>
      </c>
      <c r="B497" s="38">
        <f>IF(K497=$P$15,$M$4,IF(K497=$P$13,'Leave Entry'!$B$4,F497-1))</f>
        <v>-1</v>
      </c>
      <c r="C497" s="23">
        <f t="shared" si="55"/>
        <v>-1</v>
      </c>
      <c r="D497" s="42">
        <f t="shared" si="57"/>
        <v>-4.5454545454545456E-2</v>
      </c>
      <c r="E497" s="42">
        <f t="shared" si="59"/>
        <v>-22.363636363636491</v>
      </c>
      <c r="F497" s="38">
        <f>'Leave Record'!A499</f>
        <v>0</v>
      </c>
      <c r="G497" s="38">
        <f>'Leave Record'!B499</f>
        <v>0</v>
      </c>
      <c r="H497" s="23">
        <f t="shared" si="56"/>
        <v>1</v>
      </c>
      <c r="I497" s="23">
        <f t="shared" si="60"/>
        <v>0</v>
      </c>
      <c r="J497" s="42">
        <f t="shared" si="61"/>
        <v>-22.363636363636491</v>
      </c>
      <c r="K497" s="23">
        <f>'Leave Record'!C499</f>
        <v>0</v>
      </c>
    </row>
    <row r="498" spans="1:11" x14ac:dyDescent="0.25">
      <c r="A498" s="38">
        <f t="shared" si="58"/>
        <v>1</v>
      </c>
      <c r="B498" s="38">
        <f>IF(K498=$P$15,$M$4,IF(K498=$P$13,'Leave Entry'!$B$4,F498-1))</f>
        <v>-1</v>
      </c>
      <c r="C498" s="23">
        <f t="shared" si="55"/>
        <v>-1</v>
      </c>
      <c r="D498" s="42">
        <f t="shared" si="57"/>
        <v>-4.5454545454545456E-2</v>
      </c>
      <c r="E498" s="42">
        <f t="shared" si="59"/>
        <v>-22.409090909091038</v>
      </c>
      <c r="F498" s="38">
        <f>'Leave Record'!A500</f>
        <v>0</v>
      </c>
      <c r="G498" s="38">
        <f>'Leave Record'!B500</f>
        <v>0</v>
      </c>
      <c r="H498" s="23">
        <f t="shared" si="56"/>
        <v>1</v>
      </c>
      <c r="I498" s="23">
        <f t="shared" si="60"/>
        <v>0</v>
      </c>
      <c r="J498" s="42">
        <f t="shared" si="61"/>
        <v>-22.409090909091038</v>
      </c>
      <c r="K498" s="23">
        <f>'Leave Record'!C500</f>
        <v>0</v>
      </c>
    </row>
    <row r="499" spans="1:11" x14ac:dyDescent="0.25">
      <c r="A499" s="38">
        <f t="shared" si="58"/>
        <v>1</v>
      </c>
      <c r="B499" s="38">
        <f>IF(K499=$P$15,$M$4,IF(K499=$P$13,'Leave Entry'!$B$4,F499-1))</f>
        <v>-1</v>
      </c>
      <c r="C499" s="23">
        <f t="shared" si="55"/>
        <v>-1</v>
      </c>
      <c r="D499" s="42">
        <f t="shared" si="57"/>
        <v>-4.5454545454545456E-2</v>
      </c>
      <c r="E499" s="42">
        <f t="shared" si="59"/>
        <v>-22.454545454545585</v>
      </c>
      <c r="F499" s="38">
        <f>'Leave Record'!A501</f>
        <v>0</v>
      </c>
      <c r="G499" s="38">
        <f>'Leave Record'!B501</f>
        <v>0</v>
      </c>
      <c r="H499" s="23">
        <f t="shared" si="56"/>
        <v>1</v>
      </c>
      <c r="I499" s="23">
        <f t="shared" si="60"/>
        <v>0</v>
      </c>
      <c r="J499" s="42">
        <f t="shared" si="61"/>
        <v>-22.454545454545585</v>
      </c>
      <c r="K499" s="23">
        <f>'Leave Record'!C501</f>
        <v>0</v>
      </c>
    </row>
    <row r="500" spans="1:11" x14ac:dyDescent="0.25">
      <c r="A500" s="38">
        <f t="shared" si="58"/>
        <v>1</v>
      </c>
      <c r="B500" s="38">
        <f>IF(K500=$P$15,$M$4,IF(K500=$P$13,'Leave Entry'!$B$4,F500-1))</f>
        <v>-1</v>
      </c>
      <c r="C500" s="23">
        <f t="shared" si="55"/>
        <v>-1</v>
      </c>
      <c r="D500" s="42">
        <f t="shared" si="57"/>
        <v>-4.5454545454545456E-2</v>
      </c>
      <c r="E500" s="42">
        <f t="shared" si="59"/>
        <v>-22.500000000000131</v>
      </c>
      <c r="F500" s="38">
        <f>'Leave Record'!A502</f>
        <v>0</v>
      </c>
      <c r="G500" s="38">
        <f>'Leave Record'!B502</f>
        <v>0</v>
      </c>
      <c r="H500" s="23">
        <f t="shared" si="56"/>
        <v>1</v>
      </c>
      <c r="I500" s="23">
        <f t="shared" si="60"/>
        <v>0</v>
      </c>
      <c r="J500" s="42">
        <f t="shared" si="61"/>
        <v>-22.500000000000131</v>
      </c>
      <c r="K500" s="23">
        <f>'Leave Record'!C502</f>
        <v>0</v>
      </c>
    </row>
  </sheetData>
  <mergeCells count="16">
    <mergeCell ref="H3:H4"/>
    <mergeCell ref="B1:C1"/>
    <mergeCell ref="D1:H1"/>
    <mergeCell ref="J1:K1"/>
    <mergeCell ref="A2:C2"/>
    <mergeCell ref="D2:D4"/>
    <mergeCell ref="E2:E4"/>
    <mergeCell ref="F2:H2"/>
    <mergeCell ref="I2:I4"/>
    <mergeCell ref="J2:J4"/>
    <mergeCell ref="K2:K4"/>
    <mergeCell ref="A3:A4"/>
    <mergeCell ref="B3:B4"/>
    <mergeCell ref="C3:C4"/>
    <mergeCell ref="F3:F4"/>
    <mergeCell ref="G3:G4"/>
  </mergeCells>
  <conditionalFormatting sqref="C1">
    <cfRule type="cellIs" dxfId="7" priority="6" operator="between">
      <formula>-20000</formula>
      <formula>-1.1</formula>
    </cfRule>
  </conditionalFormatting>
  <conditionalFormatting sqref="H1">
    <cfRule type="cellIs" dxfId="6" priority="5" operator="between">
      <formula>-20000</formula>
      <formula>-0.5</formula>
    </cfRule>
  </conditionalFormatting>
  <conditionalFormatting sqref="C2:C4">
    <cfRule type="cellIs" dxfId="5" priority="4" operator="between">
      <formula>-20000</formula>
      <formula>-1.1</formula>
    </cfRule>
  </conditionalFormatting>
  <conditionalFormatting sqref="H2:H4">
    <cfRule type="cellIs" dxfId="4" priority="3" operator="between">
      <formula>-20000</formula>
      <formula>-0.5</formula>
    </cfRule>
  </conditionalFormatting>
  <conditionalFormatting sqref="K2:K4">
    <cfRule type="cellIs" dxfId="3" priority="2" operator="equal">
      <formula>"1 YEAR COMPLETED"</formula>
    </cfRule>
  </conditionalFormatting>
  <conditionalFormatting sqref="A5:K500">
    <cfRule type="expression" dxfId="2" priority="7" stopIfTrue="1">
      <formula>MOD(ROW()-5,2*1)+1&lt;=1</formula>
    </cfRule>
  </conditionalFormatting>
  <dataValidations count="1">
    <dataValidation type="list" allowBlank="1" showInputMessage="1" showErrorMessage="1" sqref="K5:K500" xr:uid="{5BC1E772-1CAA-44AA-8925-41FAC7EE55F2}">
      <formula1>$P$8:$P$16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-0.249977111117893"/>
  </sheetPr>
  <dimension ref="A1:V501"/>
  <sheetViews>
    <sheetView workbookViewId="0">
      <pane ySplit="6" topLeftCell="A7" activePane="bottomLeft" state="frozen"/>
      <selection pane="bottomLeft" activeCell="A7" sqref="A7"/>
    </sheetView>
  </sheetViews>
  <sheetFormatPr defaultColWidth="0" defaultRowHeight="15" x14ac:dyDescent="0.25"/>
  <cols>
    <col min="1" max="1" width="12.7109375" style="27" customWidth="1"/>
    <col min="2" max="2" width="10.7109375" style="27" customWidth="1"/>
    <col min="3" max="3" width="21.28515625" style="7" customWidth="1"/>
    <col min="4" max="5" width="10.7109375" style="27" customWidth="1"/>
    <col min="6" max="6" width="21.85546875" style="7" customWidth="1"/>
    <col min="7" max="7" width="10.7109375" style="27" customWidth="1"/>
    <col min="8" max="8" width="8.7109375" style="27" customWidth="1"/>
    <col min="9" max="9" width="18" style="7" customWidth="1"/>
    <col min="10" max="10" width="0" style="5" hidden="1" customWidth="1"/>
    <col min="11" max="22" width="0" style="6" hidden="1" customWidth="1"/>
    <col min="23" max="16384" width="9.140625" style="6" hidden="1"/>
  </cols>
  <sheetData>
    <row r="1" spans="1:10" ht="15.75" x14ac:dyDescent="0.25">
      <c r="A1" s="53"/>
      <c r="B1" s="54"/>
      <c r="C1" s="54"/>
      <c r="D1" s="54"/>
      <c r="E1" s="54"/>
      <c r="F1" s="54"/>
      <c r="G1" s="54"/>
      <c r="H1" s="54"/>
      <c r="I1" s="54"/>
    </row>
    <row r="2" spans="1:10" x14ac:dyDescent="0.25">
      <c r="F2" s="19" t="s">
        <v>14</v>
      </c>
      <c r="I2" s="19" t="s">
        <v>14</v>
      </c>
    </row>
    <row r="3" spans="1:10" x14ac:dyDescent="0.25">
      <c r="F3" s="19" t="s">
        <v>15</v>
      </c>
      <c r="I3" s="19" t="s">
        <v>15</v>
      </c>
    </row>
    <row r="4" spans="1:10" x14ac:dyDescent="0.25">
      <c r="A4" s="9">
        <f>'Leave Entry'!B3</f>
        <v>0</v>
      </c>
      <c r="B4" s="9">
        <f>'Leave Entry'!E1</f>
        <v>365</v>
      </c>
      <c r="C4" s="9"/>
      <c r="D4" s="9">
        <f>B4+1</f>
        <v>366</v>
      </c>
      <c r="E4" s="9">
        <f>'Leave Entry'!E2</f>
        <v>7304</v>
      </c>
      <c r="F4" s="22" t="s">
        <v>16</v>
      </c>
      <c r="G4" s="9">
        <f>E4+1</f>
        <v>7305</v>
      </c>
      <c r="H4" s="9">
        <f>'Leave Entry'!B4</f>
        <v>0</v>
      </c>
      <c r="I4" s="22" t="s">
        <v>16</v>
      </c>
      <c r="J4" s="5" t="e">
        <f>DATE(YEAR(#REF!)+1,MONTH(#REF!),DAY(#REF!))</f>
        <v>#REF!</v>
      </c>
    </row>
    <row r="5" spans="1:10" x14ac:dyDescent="0.25">
      <c r="A5" s="52" t="s">
        <v>20</v>
      </c>
      <c r="B5" s="52"/>
      <c r="C5" s="18"/>
      <c r="D5" s="52" t="s">
        <v>26</v>
      </c>
      <c r="E5" s="52"/>
      <c r="F5" s="20" t="s">
        <v>18</v>
      </c>
      <c r="G5" s="52" t="s">
        <v>21</v>
      </c>
      <c r="H5" s="52"/>
      <c r="I5" s="20" t="s">
        <v>18</v>
      </c>
    </row>
    <row r="6" spans="1:10" x14ac:dyDescent="0.25">
      <c r="A6" s="28" t="s">
        <v>9</v>
      </c>
      <c r="B6" s="28" t="s">
        <v>10</v>
      </c>
      <c r="C6" s="25"/>
      <c r="D6" s="28" t="s">
        <v>9</v>
      </c>
      <c r="E6" s="28" t="s">
        <v>10</v>
      </c>
      <c r="F6" s="26" t="s">
        <v>17</v>
      </c>
      <c r="G6" s="28" t="s">
        <v>9</v>
      </c>
      <c r="H6" s="28" t="s">
        <v>10</v>
      </c>
      <c r="I6" s="26" t="s">
        <v>17</v>
      </c>
    </row>
    <row r="7" spans="1:10" x14ac:dyDescent="0.25">
      <c r="A7"/>
      <c r="B7"/>
      <c r="C7"/>
      <c r="D7"/>
      <c r="E7"/>
      <c r="F7"/>
      <c r="G7"/>
      <c r="H7"/>
      <c r="I7"/>
    </row>
    <row r="8" spans="1:10" x14ac:dyDescent="0.25">
      <c r="A8"/>
      <c r="B8"/>
      <c r="C8"/>
      <c r="D8"/>
      <c r="E8"/>
      <c r="F8"/>
      <c r="G8"/>
      <c r="H8"/>
      <c r="I8"/>
    </row>
    <row r="9" spans="1:10" x14ac:dyDescent="0.25">
      <c r="A9"/>
      <c r="B9"/>
      <c r="C9"/>
      <c r="D9"/>
      <c r="E9"/>
      <c r="F9"/>
      <c r="G9"/>
      <c r="H9"/>
      <c r="I9"/>
    </row>
    <row r="10" spans="1:10" x14ac:dyDescent="0.25">
      <c r="A10"/>
      <c r="B10"/>
      <c r="C10"/>
      <c r="D10"/>
      <c r="E10"/>
      <c r="F10"/>
      <c r="G10"/>
      <c r="H10"/>
      <c r="I10"/>
    </row>
    <row r="11" spans="1:10" x14ac:dyDescent="0.25">
      <c r="A11"/>
      <c r="B11"/>
      <c r="C11"/>
      <c r="D11"/>
      <c r="E11"/>
      <c r="F11"/>
      <c r="G11"/>
      <c r="H11"/>
      <c r="I11"/>
    </row>
    <row r="12" spans="1:10" x14ac:dyDescent="0.25">
      <c r="A12"/>
      <c r="B12"/>
      <c r="C12"/>
      <c r="D12"/>
      <c r="E12"/>
      <c r="F12"/>
      <c r="G12"/>
      <c r="H12"/>
      <c r="I12"/>
    </row>
    <row r="13" spans="1:10" x14ac:dyDescent="0.25">
      <c r="A13"/>
      <c r="B13"/>
      <c r="C13"/>
      <c r="D13"/>
      <c r="E13"/>
      <c r="F13"/>
      <c r="G13"/>
      <c r="H13"/>
      <c r="I13"/>
    </row>
    <row r="14" spans="1:10" x14ac:dyDescent="0.25">
      <c r="A14"/>
      <c r="B14"/>
      <c r="C14"/>
      <c r="D14"/>
      <c r="E14"/>
      <c r="F14"/>
      <c r="G14"/>
      <c r="H14"/>
      <c r="I14"/>
    </row>
    <row r="15" spans="1:10" x14ac:dyDescent="0.25">
      <c r="A15"/>
      <c r="B15"/>
      <c r="C15"/>
      <c r="D15"/>
      <c r="E15"/>
      <c r="F15"/>
      <c r="G15"/>
      <c r="H15"/>
      <c r="I15"/>
    </row>
    <row r="16" spans="1:10" x14ac:dyDescent="0.25">
      <c r="A16"/>
      <c r="B16"/>
      <c r="C16"/>
      <c r="D16"/>
      <c r="E16"/>
      <c r="F16"/>
      <c r="G16"/>
      <c r="H16"/>
      <c r="I16"/>
    </row>
    <row r="17" spans="1:9" x14ac:dyDescent="0.25">
      <c r="A17"/>
      <c r="B17"/>
      <c r="C17"/>
      <c r="D17"/>
      <c r="E17"/>
      <c r="F17"/>
      <c r="G17"/>
      <c r="H17"/>
      <c r="I17"/>
    </row>
    <row r="18" spans="1:9" x14ac:dyDescent="0.25">
      <c r="A18"/>
      <c r="B18"/>
      <c r="C18"/>
      <c r="D18"/>
      <c r="E18"/>
      <c r="F18"/>
      <c r="G18"/>
      <c r="H18"/>
      <c r="I18"/>
    </row>
    <row r="19" spans="1:9" x14ac:dyDescent="0.25">
      <c r="A19"/>
      <c r="B19"/>
      <c r="C19"/>
      <c r="D19"/>
      <c r="E19"/>
      <c r="F19"/>
      <c r="G19"/>
      <c r="H19"/>
      <c r="I19"/>
    </row>
    <row r="20" spans="1:9" x14ac:dyDescent="0.25">
      <c r="A20"/>
      <c r="B20"/>
      <c r="C20"/>
      <c r="D20"/>
      <c r="E20"/>
      <c r="F20"/>
      <c r="G20"/>
      <c r="H20"/>
      <c r="I20"/>
    </row>
    <row r="21" spans="1:9" x14ac:dyDescent="0.25">
      <c r="A21"/>
      <c r="B21"/>
      <c r="C21"/>
      <c r="D21"/>
      <c r="E21"/>
      <c r="F21"/>
      <c r="G21"/>
      <c r="H21"/>
      <c r="I21"/>
    </row>
    <row r="22" spans="1:9" x14ac:dyDescent="0.25">
      <c r="A22"/>
      <c r="B22"/>
      <c r="C22"/>
      <c r="D22"/>
      <c r="E22"/>
      <c r="F22"/>
      <c r="G22"/>
      <c r="H22"/>
      <c r="I22"/>
    </row>
    <row r="23" spans="1:9" x14ac:dyDescent="0.25">
      <c r="A23"/>
      <c r="B23"/>
      <c r="C23"/>
      <c r="D23"/>
      <c r="E23"/>
      <c r="F23"/>
      <c r="G23"/>
      <c r="H23"/>
      <c r="I23"/>
    </row>
    <row r="24" spans="1:9" x14ac:dyDescent="0.25">
      <c r="A24"/>
      <c r="B24"/>
      <c r="C24"/>
      <c r="D24"/>
      <c r="E24"/>
      <c r="F24"/>
      <c r="G24"/>
      <c r="H24"/>
      <c r="I24"/>
    </row>
    <row r="25" spans="1:9" x14ac:dyDescent="0.25">
      <c r="A25"/>
      <c r="B25"/>
      <c r="C25"/>
      <c r="D25"/>
      <c r="E25"/>
      <c r="F25"/>
      <c r="G25"/>
      <c r="H25"/>
      <c r="I25"/>
    </row>
    <row r="26" spans="1:9" x14ac:dyDescent="0.25">
      <c r="A26"/>
      <c r="B26"/>
      <c r="C26"/>
      <c r="D26"/>
      <c r="E26"/>
      <c r="F26"/>
      <c r="G26"/>
      <c r="H26"/>
      <c r="I26"/>
    </row>
    <row r="27" spans="1:9" x14ac:dyDescent="0.25">
      <c r="A27"/>
      <c r="B27"/>
      <c r="C27"/>
      <c r="D27"/>
      <c r="E27"/>
      <c r="F27"/>
      <c r="G27"/>
      <c r="H27"/>
      <c r="I27"/>
    </row>
    <row r="28" spans="1:9" x14ac:dyDescent="0.25">
      <c r="A28"/>
      <c r="B28"/>
      <c r="C28"/>
      <c r="D28"/>
      <c r="E28"/>
      <c r="F28"/>
      <c r="G28"/>
      <c r="H28"/>
      <c r="I28"/>
    </row>
    <row r="29" spans="1:9" x14ac:dyDescent="0.25">
      <c r="A29"/>
      <c r="B29"/>
      <c r="C29"/>
      <c r="D29"/>
      <c r="E29"/>
      <c r="F29"/>
      <c r="G29"/>
      <c r="H29"/>
      <c r="I29"/>
    </row>
    <row r="30" spans="1:9" x14ac:dyDescent="0.25">
      <c r="A30"/>
      <c r="B30"/>
      <c r="C30"/>
      <c r="D30"/>
      <c r="E30"/>
      <c r="F30"/>
      <c r="G30"/>
      <c r="H30"/>
      <c r="I30"/>
    </row>
    <row r="31" spans="1:9" x14ac:dyDescent="0.25">
      <c r="A31"/>
      <c r="B31"/>
      <c r="C31"/>
      <c r="D31"/>
      <c r="E31"/>
      <c r="F31"/>
      <c r="G31"/>
      <c r="H31"/>
      <c r="I31"/>
    </row>
    <row r="32" spans="1:9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  <c r="D46"/>
      <c r="E46"/>
      <c r="F46"/>
      <c r="G46"/>
      <c r="H46"/>
      <c r="I46"/>
    </row>
    <row r="47" spans="1:9" x14ac:dyDescent="0.25">
      <c r="A47"/>
      <c r="B47"/>
      <c r="C47"/>
      <c r="D47"/>
      <c r="E47"/>
      <c r="F47"/>
      <c r="G47"/>
      <c r="H47"/>
      <c r="I47"/>
    </row>
    <row r="48" spans="1:9" x14ac:dyDescent="0.25">
      <c r="A48"/>
      <c r="B48"/>
      <c r="C48"/>
      <c r="D48"/>
      <c r="E48"/>
      <c r="F48"/>
      <c r="G48"/>
      <c r="H48"/>
      <c r="I48"/>
    </row>
    <row r="49" spans="1:9" x14ac:dyDescent="0.25">
      <c r="A49"/>
      <c r="B49"/>
      <c r="C49"/>
      <c r="D49"/>
      <c r="E49"/>
      <c r="F49"/>
      <c r="G49"/>
      <c r="H49"/>
      <c r="I49"/>
    </row>
    <row r="50" spans="1:9" x14ac:dyDescent="0.25">
      <c r="A50"/>
      <c r="B50"/>
      <c r="C50"/>
      <c r="D50"/>
      <c r="E50"/>
      <c r="F50"/>
      <c r="G50"/>
      <c r="H50"/>
      <c r="I50"/>
    </row>
    <row r="51" spans="1:9" x14ac:dyDescent="0.25">
      <c r="A51"/>
      <c r="B51"/>
      <c r="C51"/>
      <c r="D51"/>
      <c r="E51"/>
      <c r="F51"/>
      <c r="G51"/>
      <c r="H51"/>
      <c r="I51"/>
    </row>
    <row r="52" spans="1:9" x14ac:dyDescent="0.25">
      <c r="A52"/>
      <c r="B52"/>
      <c r="C52"/>
      <c r="D52"/>
      <c r="E52"/>
      <c r="F52"/>
      <c r="G52"/>
      <c r="H52"/>
      <c r="I52"/>
    </row>
    <row r="53" spans="1:9" x14ac:dyDescent="0.25">
      <c r="A53"/>
      <c r="B53"/>
      <c r="C53"/>
      <c r="D53"/>
      <c r="E53"/>
      <c r="F53"/>
      <c r="G53"/>
      <c r="H53"/>
      <c r="I53"/>
    </row>
    <row r="54" spans="1:9" x14ac:dyDescent="0.25">
      <c r="A54"/>
      <c r="B54"/>
      <c r="C54"/>
      <c r="D54"/>
      <c r="E54"/>
      <c r="F54"/>
      <c r="G54"/>
      <c r="H54"/>
      <c r="I54"/>
    </row>
    <row r="55" spans="1:9" x14ac:dyDescent="0.25">
      <c r="A55"/>
      <c r="B55"/>
      <c r="C55"/>
      <c r="D55"/>
      <c r="E55"/>
      <c r="F55"/>
      <c r="G55"/>
      <c r="H55"/>
      <c r="I55"/>
    </row>
    <row r="56" spans="1:9" x14ac:dyDescent="0.25">
      <c r="A56"/>
      <c r="B56"/>
      <c r="C56"/>
      <c r="D56"/>
      <c r="E56"/>
      <c r="F56"/>
      <c r="G56"/>
      <c r="H56"/>
      <c r="I56"/>
    </row>
    <row r="57" spans="1:9" x14ac:dyDescent="0.25">
      <c r="A57"/>
      <c r="B57"/>
      <c r="C57"/>
      <c r="D57"/>
      <c r="E57"/>
      <c r="F57"/>
      <c r="G57"/>
      <c r="H57"/>
      <c r="I57"/>
    </row>
    <row r="58" spans="1:9" x14ac:dyDescent="0.25">
      <c r="A58"/>
      <c r="B58"/>
      <c r="C58"/>
      <c r="D58"/>
      <c r="E58"/>
      <c r="F58"/>
      <c r="G58"/>
      <c r="H58"/>
      <c r="I58"/>
    </row>
    <row r="59" spans="1:9" x14ac:dyDescent="0.25">
      <c r="A59"/>
      <c r="B59"/>
      <c r="C59"/>
      <c r="D59"/>
      <c r="E59"/>
      <c r="F59"/>
      <c r="G59"/>
      <c r="H59"/>
      <c r="I59"/>
    </row>
    <row r="60" spans="1:9" x14ac:dyDescent="0.25">
      <c r="A60"/>
      <c r="B60"/>
      <c r="C60"/>
      <c r="D60"/>
      <c r="E60"/>
      <c r="F60"/>
      <c r="G60"/>
      <c r="H60"/>
      <c r="I60"/>
    </row>
    <row r="61" spans="1:9" x14ac:dyDescent="0.25">
      <c r="A61"/>
      <c r="B61"/>
      <c r="C61"/>
      <c r="D61"/>
      <c r="E61"/>
      <c r="F61"/>
      <c r="G61"/>
      <c r="H61"/>
      <c r="I61"/>
    </row>
    <row r="62" spans="1:9" x14ac:dyDescent="0.25">
      <c r="A62"/>
      <c r="B62"/>
      <c r="C62"/>
      <c r="D62"/>
      <c r="E62"/>
      <c r="F62"/>
      <c r="G62"/>
      <c r="H62"/>
      <c r="I62"/>
    </row>
    <row r="63" spans="1:9" x14ac:dyDescent="0.25">
      <c r="A63"/>
      <c r="B63"/>
      <c r="C63"/>
      <c r="D63"/>
      <c r="E63"/>
      <c r="F63"/>
      <c r="G63"/>
      <c r="H63"/>
      <c r="I63"/>
    </row>
    <row r="64" spans="1:9" x14ac:dyDescent="0.25">
      <c r="A64"/>
      <c r="B64"/>
      <c r="C64"/>
      <c r="D64"/>
      <c r="E64"/>
      <c r="F64"/>
      <c r="G64"/>
      <c r="H64"/>
      <c r="I64"/>
    </row>
    <row r="65" spans="1:9" x14ac:dyDescent="0.25">
      <c r="A65"/>
      <c r="B65"/>
      <c r="C65"/>
      <c r="D65"/>
      <c r="E65"/>
      <c r="F65"/>
      <c r="G65"/>
      <c r="H65"/>
      <c r="I65"/>
    </row>
    <row r="66" spans="1:9" x14ac:dyDescent="0.25">
      <c r="A66"/>
      <c r="B66"/>
      <c r="C66"/>
      <c r="D66"/>
      <c r="E66"/>
      <c r="F66"/>
      <c r="G66"/>
      <c r="H66"/>
      <c r="I66"/>
    </row>
    <row r="67" spans="1:9" x14ac:dyDescent="0.25">
      <c r="A67"/>
      <c r="B67"/>
      <c r="C67"/>
      <c r="D67"/>
      <c r="E67"/>
      <c r="F67"/>
      <c r="G67"/>
      <c r="H67"/>
      <c r="I67"/>
    </row>
    <row r="68" spans="1:9" x14ac:dyDescent="0.25">
      <c r="A68"/>
      <c r="B68"/>
      <c r="C68"/>
      <c r="D68"/>
      <c r="E68"/>
      <c r="F68"/>
      <c r="G68"/>
      <c r="H68"/>
      <c r="I68"/>
    </row>
    <row r="69" spans="1:9" x14ac:dyDescent="0.25">
      <c r="A69"/>
      <c r="B69"/>
      <c r="C69"/>
      <c r="D69"/>
      <c r="E69"/>
      <c r="F69"/>
      <c r="G69"/>
      <c r="H69"/>
      <c r="I69"/>
    </row>
    <row r="70" spans="1:9" x14ac:dyDescent="0.25">
      <c r="A70"/>
      <c r="B70"/>
      <c r="C70"/>
      <c r="D70"/>
      <c r="E70"/>
      <c r="F70"/>
      <c r="G70"/>
      <c r="H70"/>
      <c r="I70"/>
    </row>
    <row r="71" spans="1:9" x14ac:dyDescent="0.25">
      <c r="A71"/>
      <c r="B71"/>
      <c r="C71"/>
      <c r="D71"/>
      <c r="E71"/>
      <c r="F71"/>
      <c r="G71"/>
      <c r="H71"/>
      <c r="I71"/>
    </row>
    <row r="72" spans="1:9" x14ac:dyDescent="0.25">
      <c r="A72"/>
      <c r="B72"/>
      <c r="C72"/>
      <c r="D72"/>
      <c r="E72"/>
      <c r="F72"/>
      <c r="G72"/>
      <c r="H72"/>
      <c r="I72"/>
    </row>
    <row r="73" spans="1:9" x14ac:dyDescent="0.25">
      <c r="A73"/>
      <c r="B73"/>
      <c r="C73"/>
      <c r="D73"/>
      <c r="E73"/>
      <c r="F73"/>
      <c r="G73"/>
      <c r="H73"/>
      <c r="I73"/>
    </row>
    <row r="74" spans="1:9" x14ac:dyDescent="0.25">
      <c r="A74"/>
      <c r="B74"/>
      <c r="C74"/>
      <c r="D74"/>
      <c r="E74"/>
      <c r="F74"/>
      <c r="G74"/>
      <c r="H74"/>
      <c r="I74"/>
    </row>
    <row r="75" spans="1:9" x14ac:dyDescent="0.25">
      <c r="A75"/>
      <c r="B75"/>
      <c r="C75"/>
      <c r="D75"/>
      <c r="E75"/>
      <c r="F75"/>
      <c r="G75"/>
      <c r="H75"/>
      <c r="I75"/>
    </row>
    <row r="76" spans="1:9" x14ac:dyDescent="0.25">
      <c r="A76"/>
      <c r="B76"/>
      <c r="C76"/>
      <c r="D76"/>
      <c r="E76"/>
      <c r="F76"/>
      <c r="G76"/>
      <c r="H76"/>
      <c r="I76"/>
    </row>
    <row r="77" spans="1:9" x14ac:dyDescent="0.25">
      <c r="A77"/>
      <c r="B77"/>
      <c r="C77"/>
      <c r="D77"/>
      <c r="E77"/>
      <c r="F77"/>
      <c r="G77"/>
      <c r="H77"/>
      <c r="I77"/>
    </row>
    <row r="78" spans="1:9" x14ac:dyDescent="0.25">
      <c r="A78"/>
      <c r="B78"/>
      <c r="C78"/>
      <c r="D78"/>
      <c r="E78"/>
      <c r="F78"/>
      <c r="G78"/>
      <c r="H78"/>
      <c r="I78"/>
    </row>
    <row r="79" spans="1:9" x14ac:dyDescent="0.25">
      <c r="A79"/>
      <c r="B79"/>
      <c r="C79"/>
      <c r="D79"/>
      <c r="E79"/>
      <c r="F79"/>
      <c r="G79"/>
      <c r="H79"/>
      <c r="I79"/>
    </row>
    <row r="80" spans="1:9" x14ac:dyDescent="0.25">
      <c r="A80"/>
      <c r="B80"/>
      <c r="C80"/>
      <c r="D80"/>
      <c r="E80"/>
      <c r="F80"/>
      <c r="G80"/>
      <c r="H80"/>
      <c r="I80"/>
    </row>
    <row r="81" spans="1:9" x14ac:dyDescent="0.25">
      <c r="A81"/>
      <c r="B81"/>
      <c r="C81"/>
      <c r="D81"/>
      <c r="E81"/>
      <c r="F81"/>
      <c r="G81"/>
      <c r="H81"/>
      <c r="I81"/>
    </row>
    <row r="82" spans="1:9" x14ac:dyDescent="0.25">
      <c r="A82"/>
      <c r="B82"/>
      <c r="C82"/>
      <c r="D82"/>
      <c r="E82"/>
      <c r="F82"/>
      <c r="G82"/>
      <c r="H82"/>
      <c r="I82"/>
    </row>
    <row r="83" spans="1:9" x14ac:dyDescent="0.25">
      <c r="A83"/>
      <c r="B83"/>
      <c r="C83"/>
      <c r="D83"/>
      <c r="E83"/>
      <c r="F83"/>
      <c r="G83"/>
      <c r="H83"/>
      <c r="I83"/>
    </row>
    <row r="84" spans="1:9" x14ac:dyDescent="0.25">
      <c r="A84"/>
      <c r="B84"/>
      <c r="C84"/>
      <c r="D84"/>
      <c r="E84"/>
      <c r="F84"/>
      <c r="G84"/>
      <c r="H84"/>
      <c r="I84"/>
    </row>
    <row r="85" spans="1:9" x14ac:dyDescent="0.25">
      <c r="A85"/>
      <c r="B85"/>
      <c r="C85"/>
      <c r="D85"/>
      <c r="E85"/>
      <c r="F85"/>
      <c r="G85"/>
      <c r="H85"/>
      <c r="I85"/>
    </row>
    <row r="86" spans="1:9" x14ac:dyDescent="0.25">
      <c r="A86"/>
      <c r="B86"/>
      <c r="C86"/>
      <c r="D86"/>
      <c r="E86"/>
      <c r="F86"/>
      <c r="G86"/>
      <c r="H86"/>
      <c r="I86"/>
    </row>
    <row r="87" spans="1:9" x14ac:dyDescent="0.25">
      <c r="A87"/>
      <c r="B87"/>
      <c r="C87"/>
      <c r="D87"/>
      <c r="E87"/>
      <c r="F87"/>
      <c r="G87"/>
      <c r="H87"/>
      <c r="I87"/>
    </row>
    <row r="88" spans="1:9" x14ac:dyDescent="0.25">
      <c r="A88"/>
      <c r="B88"/>
      <c r="C88"/>
      <c r="D88"/>
      <c r="E88"/>
      <c r="F88"/>
      <c r="G88"/>
      <c r="H88"/>
      <c r="I88"/>
    </row>
    <row r="89" spans="1:9" x14ac:dyDescent="0.25">
      <c r="A89"/>
      <c r="B89"/>
      <c r="C89"/>
      <c r="D89"/>
      <c r="E89"/>
      <c r="F89"/>
      <c r="G89"/>
      <c r="H89"/>
      <c r="I89"/>
    </row>
    <row r="90" spans="1:9" x14ac:dyDescent="0.25">
      <c r="A90"/>
      <c r="B90"/>
      <c r="C90"/>
      <c r="D90"/>
      <c r="E90"/>
      <c r="F90"/>
      <c r="G90"/>
      <c r="H90"/>
      <c r="I90"/>
    </row>
    <row r="91" spans="1:9" x14ac:dyDescent="0.25">
      <c r="A91"/>
      <c r="B91"/>
      <c r="C91"/>
      <c r="D91"/>
      <c r="E91"/>
      <c r="F91"/>
      <c r="G91"/>
      <c r="H91"/>
      <c r="I91"/>
    </row>
    <row r="92" spans="1:9" x14ac:dyDescent="0.25">
      <c r="A92"/>
      <c r="B92"/>
      <c r="C92"/>
      <c r="D92"/>
      <c r="E92"/>
      <c r="F92"/>
      <c r="G92"/>
      <c r="H92"/>
      <c r="I92"/>
    </row>
    <row r="93" spans="1:9" x14ac:dyDescent="0.25">
      <c r="A93"/>
      <c r="B93"/>
      <c r="C93"/>
      <c r="D93"/>
      <c r="E93"/>
      <c r="F93"/>
      <c r="G93"/>
      <c r="H93"/>
      <c r="I93"/>
    </row>
    <row r="94" spans="1:9" x14ac:dyDescent="0.25">
      <c r="A94"/>
      <c r="B94"/>
      <c r="C94"/>
      <c r="D94"/>
      <c r="E94"/>
      <c r="F94"/>
      <c r="G94"/>
      <c r="H94"/>
      <c r="I94"/>
    </row>
    <row r="95" spans="1:9" x14ac:dyDescent="0.25">
      <c r="A95"/>
      <c r="B95"/>
      <c r="C95"/>
      <c r="D95"/>
      <c r="E95"/>
      <c r="F95"/>
      <c r="G95"/>
      <c r="H95"/>
      <c r="I95"/>
    </row>
    <row r="96" spans="1:9" x14ac:dyDescent="0.25">
      <c r="A96"/>
      <c r="B96"/>
      <c r="C96"/>
      <c r="D96"/>
      <c r="E96"/>
      <c r="F96"/>
      <c r="G96"/>
      <c r="H96"/>
      <c r="I96"/>
    </row>
    <row r="97" spans="1:9" x14ac:dyDescent="0.25">
      <c r="A97"/>
      <c r="B97"/>
      <c r="C97"/>
      <c r="D97"/>
      <c r="E97"/>
      <c r="F97"/>
      <c r="G97"/>
      <c r="H97"/>
      <c r="I97"/>
    </row>
    <row r="98" spans="1:9" x14ac:dyDescent="0.25">
      <c r="A98"/>
      <c r="B98"/>
      <c r="C98"/>
      <c r="D98"/>
      <c r="E98"/>
      <c r="F98"/>
      <c r="G98"/>
      <c r="H98"/>
      <c r="I98"/>
    </row>
    <row r="99" spans="1:9" x14ac:dyDescent="0.25">
      <c r="A99"/>
      <c r="B99"/>
      <c r="C99"/>
      <c r="D99"/>
      <c r="E99"/>
      <c r="F99"/>
      <c r="G99"/>
      <c r="H99"/>
      <c r="I99"/>
    </row>
    <row r="100" spans="1:9" x14ac:dyDescent="0.25">
      <c r="A100"/>
      <c r="B100"/>
      <c r="C100"/>
      <c r="D100"/>
      <c r="E100"/>
      <c r="F100"/>
      <c r="G100"/>
      <c r="H100"/>
      <c r="I100"/>
    </row>
    <row r="101" spans="1:9" x14ac:dyDescent="0.25">
      <c r="A101"/>
      <c r="B101"/>
      <c r="C101"/>
      <c r="D101"/>
      <c r="E101"/>
      <c r="F101"/>
      <c r="G101"/>
      <c r="H101"/>
      <c r="I101"/>
    </row>
    <row r="102" spans="1:9" x14ac:dyDescent="0.25">
      <c r="A102"/>
      <c r="B102"/>
      <c r="C102"/>
      <c r="D102"/>
      <c r="E102"/>
      <c r="F102"/>
      <c r="G102"/>
      <c r="H102"/>
      <c r="I102"/>
    </row>
    <row r="103" spans="1:9" x14ac:dyDescent="0.25">
      <c r="A103"/>
      <c r="B103"/>
      <c r="C103"/>
      <c r="D103"/>
      <c r="E103"/>
      <c r="F103"/>
      <c r="G103"/>
      <c r="H103"/>
      <c r="I103"/>
    </row>
    <row r="104" spans="1:9" x14ac:dyDescent="0.25">
      <c r="A104"/>
      <c r="B104"/>
      <c r="C104"/>
      <c r="D104"/>
      <c r="E104"/>
      <c r="F104"/>
      <c r="G104"/>
      <c r="H104"/>
      <c r="I104"/>
    </row>
    <row r="105" spans="1:9" x14ac:dyDescent="0.25">
      <c r="A105"/>
      <c r="B105"/>
      <c r="C105"/>
      <c r="D105"/>
      <c r="E105"/>
      <c r="F105"/>
      <c r="G105"/>
      <c r="H105"/>
      <c r="I105"/>
    </row>
    <row r="106" spans="1:9" x14ac:dyDescent="0.25">
      <c r="A106"/>
      <c r="B106"/>
      <c r="C106"/>
      <c r="D106"/>
      <c r="E106"/>
      <c r="F106"/>
      <c r="G106"/>
      <c r="H106"/>
      <c r="I106"/>
    </row>
    <row r="107" spans="1:9" x14ac:dyDescent="0.25">
      <c r="A107"/>
      <c r="B107"/>
      <c r="C107"/>
      <c r="D107"/>
      <c r="E107"/>
      <c r="F107"/>
      <c r="G107"/>
      <c r="H107"/>
      <c r="I107"/>
    </row>
    <row r="108" spans="1:9" x14ac:dyDescent="0.25">
      <c r="A108"/>
      <c r="B108"/>
      <c r="C108"/>
      <c r="D108"/>
      <c r="E108"/>
      <c r="F108"/>
      <c r="G108"/>
      <c r="H108"/>
      <c r="I108"/>
    </row>
    <row r="109" spans="1:9" x14ac:dyDescent="0.25">
      <c r="A109"/>
      <c r="B109"/>
      <c r="C109"/>
      <c r="D109"/>
      <c r="E109"/>
      <c r="F109"/>
      <c r="G109"/>
      <c r="H109"/>
      <c r="I109"/>
    </row>
    <row r="110" spans="1:9" x14ac:dyDescent="0.25">
      <c r="A110"/>
      <c r="B110"/>
      <c r="C110"/>
      <c r="D110"/>
      <c r="E110"/>
      <c r="F110"/>
      <c r="G110"/>
      <c r="H110"/>
      <c r="I110"/>
    </row>
    <row r="111" spans="1:9" x14ac:dyDescent="0.25">
      <c r="A111"/>
      <c r="B111"/>
      <c r="C111"/>
      <c r="D111"/>
      <c r="E111"/>
      <c r="F111"/>
      <c r="G111"/>
      <c r="H111"/>
      <c r="I111"/>
    </row>
    <row r="112" spans="1:9" x14ac:dyDescent="0.25">
      <c r="A112"/>
      <c r="B112"/>
      <c r="C112"/>
      <c r="D112"/>
      <c r="E112"/>
      <c r="F112"/>
      <c r="G112"/>
      <c r="H112"/>
      <c r="I112"/>
    </row>
    <row r="113" spans="1:9" x14ac:dyDescent="0.25">
      <c r="A113"/>
      <c r="B113"/>
      <c r="C113"/>
      <c r="D113"/>
      <c r="E113"/>
      <c r="F113"/>
      <c r="G113"/>
      <c r="H113"/>
      <c r="I113"/>
    </row>
    <row r="114" spans="1:9" x14ac:dyDescent="0.25">
      <c r="A114"/>
      <c r="B114"/>
      <c r="C114"/>
      <c r="D114"/>
      <c r="E114"/>
      <c r="F114"/>
      <c r="G114"/>
      <c r="H114"/>
      <c r="I114"/>
    </row>
    <row r="115" spans="1:9" x14ac:dyDescent="0.25">
      <c r="A115"/>
      <c r="B115"/>
      <c r="C115"/>
      <c r="D115"/>
      <c r="E115"/>
      <c r="F115"/>
      <c r="G115"/>
      <c r="H115"/>
      <c r="I115"/>
    </row>
    <row r="116" spans="1:9" x14ac:dyDescent="0.25">
      <c r="A116"/>
      <c r="B116"/>
      <c r="C116"/>
      <c r="D116"/>
      <c r="E116"/>
      <c r="F116"/>
      <c r="G116"/>
      <c r="H116"/>
      <c r="I116"/>
    </row>
    <row r="117" spans="1:9" x14ac:dyDescent="0.25">
      <c r="A117"/>
      <c r="B117"/>
      <c r="C117"/>
      <c r="D117"/>
      <c r="E117"/>
      <c r="F117"/>
      <c r="G117"/>
      <c r="H117"/>
      <c r="I117"/>
    </row>
    <row r="118" spans="1:9" x14ac:dyDescent="0.25">
      <c r="A118"/>
      <c r="B118"/>
      <c r="C118"/>
      <c r="D118"/>
      <c r="E118"/>
      <c r="F118"/>
      <c r="G118"/>
      <c r="H118"/>
      <c r="I118"/>
    </row>
    <row r="119" spans="1:9" x14ac:dyDescent="0.25">
      <c r="A119"/>
      <c r="B119"/>
      <c r="C119"/>
      <c r="D119"/>
      <c r="E119"/>
      <c r="F119"/>
      <c r="G119"/>
      <c r="H119"/>
      <c r="I119"/>
    </row>
    <row r="120" spans="1:9" x14ac:dyDescent="0.25">
      <c r="A120"/>
      <c r="B120"/>
      <c r="C120"/>
      <c r="D120"/>
      <c r="E120"/>
      <c r="F120"/>
      <c r="G120"/>
      <c r="H120"/>
      <c r="I120"/>
    </row>
    <row r="121" spans="1:9" x14ac:dyDescent="0.25">
      <c r="A121"/>
      <c r="B121"/>
      <c r="C121"/>
      <c r="D121"/>
      <c r="E121"/>
      <c r="F121"/>
      <c r="G121"/>
      <c r="H121"/>
      <c r="I121"/>
    </row>
    <row r="122" spans="1:9" x14ac:dyDescent="0.25">
      <c r="A122"/>
      <c r="B122"/>
      <c r="C122"/>
      <c r="D122"/>
      <c r="E122"/>
      <c r="F122"/>
      <c r="G122"/>
      <c r="H122"/>
      <c r="I122"/>
    </row>
    <row r="123" spans="1:9" x14ac:dyDescent="0.25">
      <c r="A123"/>
      <c r="B123"/>
      <c r="C123"/>
      <c r="D123"/>
      <c r="E123"/>
      <c r="F123"/>
      <c r="G123"/>
      <c r="H123"/>
      <c r="I123"/>
    </row>
    <row r="124" spans="1:9" x14ac:dyDescent="0.25">
      <c r="A124"/>
      <c r="B124"/>
      <c r="C124"/>
      <c r="D124"/>
      <c r="E124"/>
      <c r="F124"/>
      <c r="G124"/>
      <c r="H124"/>
      <c r="I124"/>
    </row>
    <row r="125" spans="1:9" x14ac:dyDescent="0.25">
      <c r="A125"/>
      <c r="B125"/>
      <c r="C125"/>
      <c r="D125"/>
      <c r="E125"/>
      <c r="F125"/>
      <c r="G125"/>
      <c r="H125"/>
      <c r="I125"/>
    </row>
    <row r="126" spans="1:9" x14ac:dyDescent="0.25">
      <c r="A126"/>
      <c r="B126"/>
      <c r="C126"/>
      <c r="D126"/>
      <c r="E126"/>
      <c r="F126"/>
      <c r="G126"/>
      <c r="H126"/>
      <c r="I126"/>
    </row>
    <row r="127" spans="1:9" x14ac:dyDescent="0.25">
      <c r="A127"/>
      <c r="B127"/>
      <c r="C127"/>
      <c r="D127"/>
      <c r="E127"/>
      <c r="F127"/>
      <c r="G127"/>
      <c r="H127"/>
      <c r="I127"/>
    </row>
    <row r="128" spans="1:9" x14ac:dyDescent="0.25">
      <c r="A128"/>
      <c r="B128"/>
      <c r="C128"/>
      <c r="D128"/>
      <c r="E128"/>
      <c r="F128"/>
      <c r="G128"/>
      <c r="H128"/>
      <c r="I128"/>
    </row>
    <row r="129" spans="1:9" x14ac:dyDescent="0.25">
      <c r="A129"/>
      <c r="B129"/>
      <c r="C129"/>
      <c r="D129"/>
      <c r="E129"/>
      <c r="F129"/>
      <c r="G129"/>
      <c r="H129"/>
      <c r="I129"/>
    </row>
    <row r="130" spans="1:9" x14ac:dyDescent="0.25">
      <c r="A130"/>
      <c r="B130"/>
      <c r="C130"/>
      <c r="D130"/>
      <c r="E130"/>
      <c r="F130"/>
      <c r="G130"/>
      <c r="H130"/>
      <c r="I130"/>
    </row>
    <row r="131" spans="1:9" x14ac:dyDescent="0.25">
      <c r="A131"/>
      <c r="B131"/>
      <c r="C131"/>
      <c r="D131"/>
      <c r="E131"/>
      <c r="F131"/>
      <c r="G131"/>
      <c r="H131"/>
      <c r="I131"/>
    </row>
    <row r="132" spans="1:9" x14ac:dyDescent="0.25">
      <c r="A132"/>
      <c r="B132"/>
      <c r="C132"/>
      <c r="D132"/>
      <c r="E132"/>
      <c r="F132"/>
      <c r="G132"/>
      <c r="H132"/>
      <c r="I132"/>
    </row>
    <row r="133" spans="1:9" x14ac:dyDescent="0.25">
      <c r="A133"/>
      <c r="B133"/>
      <c r="C133"/>
      <c r="D133"/>
      <c r="E133"/>
      <c r="F133"/>
      <c r="G133"/>
      <c r="H133"/>
      <c r="I133"/>
    </row>
    <row r="134" spans="1:9" x14ac:dyDescent="0.25">
      <c r="A134"/>
      <c r="B134"/>
      <c r="C134"/>
      <c r="D134"/>
      <c r="E134"/>
      <c r="F134"/>
      <c r="G134"/>
      <c r="H134"/>
      <c r="I134"/>
    </row>
    <row r="135" spans="1:9" x14ac:dyDescent="0.25">
      <c r="A135"/>
      <c r="B135"/>
      <c r="C135"/>
      <c r="D135"/>
      <c r="E135"/>
      <c r="F135"/>
      <c r="G135"/>
      <c r="H135"/>
      <c r="I135"/>
    </row>
    <row r="136" spans="1:9" x14ac:dyDescent="0.25">
      <c r="A136"/>
      <c r="B136"/>
      <c r="C136"/>
      <c r="D136"/>
      <c r="E136"/>
      <c r="F136"/>
      <c r="G136"/>
      <c r="H136"/>
      <c r="I136"/>
    </row>
    <row r="137" spans="1:9" x14ac:dyDescent="0.25">
      <c r="A137"/>
      <c r="B137"/>
      <c r="C137"/>
      <c r="D137"/>
      <c r="E137"/>
      <c r="F137"/>
      <c r="G137"/>
      <c r="H137"/>
      <c r="I137"/>
    </row>
    <row r="138" spans="1:9" x14ac:dyDescent="0.25">
      <c r="A138"/>
      <c r="B138"/>
      <c r="C138"/>
      <c r="D138"/>
      <c r="E138"/>
      <c r="F138"/>
      <c r="G138"/>
      <c r="H138"/>
      <c r="I138"/>
    </row>
    <row r="139" spans="1:9" x14ac:dyDescent="0.25">
      <c r="A139"/>
      <c r="B139"/>
      <c r="C139"/>
      <c r="D139"/>
      <c r="E139"/>
      <c r="F139"/>
      <c r="G139"/>
      <c r="H139"/>
      <c r="I139"/>
    </row>
    <row r="140" spans="1:9" x14ac:dyDescent="0.25">
      <c r="A140"/>
      <c r="B140"/>
      <c r="C140"/>
      <c r="D140"/>
      <c r="E140"/>
      <c r="F140"/>
      <c r="G140"/>
      <c r="H140"/>
      <c r="I140"/>
    </row>
    <row r="141" spans="1:9" x14ac:dyDescent="0.25">
      <c r="A141"/>
      <c r="B141"/>
      <c r="C141"/>
      <c r="D141"/>
      <c r="E141"/>
      <c r="F141"/>
      <c r="G141"/>
      <c r="H141"/>
      <c r="I141"/>
    </row>
    <row r="142" spans="1:9" x14ac:dyDescent="0.25">
      <c r="A142"/>
      <c r="B142"/>
      <c r="C142"/>
      <c r="D142"/>
      <c r="E142"/>
      <c r="F142"/>
      <c r="G142"/>
      <c r="H142"/>
      <c r="I142"/>
    </row>
    <row r="143" spans="1:9" x14ac:dyDescent="0.25">
      <c r="A143"/>
      <c r="B143"/>
      <c r="C143"/>
      <c r="D143"/>
      <c r="E143"/>
      <c r="F143"/>
      <c r="G143"/>
      <c r="H143"/>
      <c r="I143"/>
    </row>
    <row r="144" spans="1:9" x14ac:dyDescent="0.25">
      <c r="A144"/>
      <c r="B144"/>
      <c r="C144"/>
      <c r="D144"/>
      <c r="E144"/>
      <c r="F144"/>
      <c r="G144"/>
      <c r="H144"/>
      <c r="I144"/>
    </row>
    <row r="145" spans="1:9" x14ac:dyDescent="0.25">
      <c r="A145"/>
      <c r="B145"/>
      <c r="C145"/>
      <c r="D145"/>
      <c r="E145"/>
      <c r="F145"/>
      <c r="G145"/>
      <c r="H145"/>
      <c r="I145"/>
    </row>
    <row r="146" spans="1:9" x14ac:dyDescent="0.25">
      <c r="A146"/>
      <c r="B146"/>
      <c r="C146"/>
      <c r="D146"/>
      <c r="E146"/>
      <c r="F146"/>
      <c r="G146"/>
      <c r="H146"/>
      <c r="I146"/>
    </row>
    <row r="147" spans="1:9" x14ac:dyDescent="0.25">
      <c r="A147"/>
      <c r="B147"/>
      <c r="C147"/>
      <c r="D147"/>
      <c r="E147"/>
      <c r="F147"/>
      <c r="G147"/>
      <c r="H147"/>
      <c r="I147"/>
    </row>
    <row r="148" spans="1:9" x14ac:dyDescent="0.25">
      <c r="A148"/>
      <c r="B148"/>
      <c r="C148"/>
      <c r="D148"/>
      <c r="E148"/>
      <c r="F148"/>
      <c r="G148"/>
      <c r="H148"/>
      <c r="I148"/>
    </row>
    <row r="149" spans="1:9" x14ac:dyDescent="0.25">
      <c r="A149"/>
      <c r="B149"/>
      <c r="C149"/>
      <c r="D149"/>
      <c r="E149"/>
      <c r="F149"/>
      <c r="G149"/>
      <c r="H149"/>
      <c r="I149"/>
    </row>
    <row r="150" spans="1:9" x14ac:dyDescent="0.25">
      <c r="A150"/>
      <c r="B150"/>
      <c r="C150"/>
      <c r="D150"/>
      <c r="E150"/>
      <c r="F150"/>
      <c r="G150"/>
      <c r="H150"/>
      <c r="I150"/>
    </row>
    <row r="151" spans="1:9" x14ac:dyDescent="0.25">
      <c r="A151"/>
      <c r="B151"/>
      <c r="C151"/>
      <c r="D151"/>
      <c r="E151"/>
      <c r="F151"/>
      <c r="G151"/>
      <c r="H151"/>
      <c r="I151"/>
    </row>
    <row r="152" spans="1:9" x14ac:dyDescent="0.25">
      <c r="A152"/>
      <c r="B152"/>
      <c r="C152"/>
      <c r="D152"/>
      <c r="E152"/>
      <c r="F152"/>
      <c r="G152"/>
      <c r="H152"/>
      <c r="I152"/>
    </row>
    <row r="153" spans="1:9" x14ac:dyDescent="0.25">
      <c r="A153"/>
      <c r="B153"/>
      <c r="C153"/>
      <c r="D153"/>
      <c r="E153"/>
      <c r="F153"/>
      <c r="G153"/>
      <c r="H153"/>
      <c r="I153"/>
    </row>
    <row r="154" spans="1:9" x14ac:dyDescent="0.25">
      <c r="A154"/>
      <c r="B154"/>
      <c r="C154"/>
      <c r="D154"/>
      <c r="E154"/>
      <c r="F154"/>
      <c r="G154"/>
      <c r="H154"/>
      <c r="I154"/>
    </row>
    <row r="155" spans="1:9" x14ac:dyDescent="0.25">
      <c r="A155"/>
      <c r="B155"/>
      <c r="C155"/>
      <c r="D155"/>
      <c r="E155"/>
      <c r="F155"/>
      <c r="G155"/>
      <c r="H155"/>
      <c r="I155"/>
    </row>
    <row r="156" spans="1:9" x14ac:dyDescent="0.25">
      <c r="A156"/>
      <c r="B156"/>
      <c r="C156"/>
      <c r="D156"/>
      <c r="E156"/>
      <c r="F156"/>
      <c r="G156"/>
      <c r="H156"/>
      <c r="I156"/>
    </row>
    <row r="157" spans="1:9" x14ac:dyDescent="0.25">
      <c r="A157"/>
      <c r="B157"/>
      <c r="C157"/>
      <c r="D157"/>
      <c r="E157"/>
      <c r="F157"/>
      <c r="G157"/>
      <c r="H157"/>
      <c r="I157"/>
    </row>
    <row r="158" spans="1:9" x14ac:dyDescent="0.25">
      <c r="A158"/>
      <c r="B158"/>
      <c r="C158"/>
      <c r="D158"/>
      <c r="E158"/>
      <c r="F158"/>
      <c r="G158"/>
      <c r="H158"/>
      <c r="I158"/>
    </row>
    <row r="159" spans="1:9" x14ac:dyDescent="0.25">
      <c r="A159"/>
      <c r="B159"/>
      <c r="C159"/>
      <c r="D159"/>
      <c r="E159"/>
      <c r="F159"/>
      <c r="G159"/>
      <c r="H159"/>
      <c r="I159"/>
    </row>
    <row r="160" spans="1:9" x14ac:dyDescent="0.25">
      <c r="A160"/>
      <c r="B160"/>
      <c r="C160"/>
      <c r="D160"/>
      <c r="E160"/>
      <c r="F160"/>
      <c r="G160"/>
      <c r="H160"/>
      <c r="I160"/>
    </row>
    <row r="161" spans="1:9" x14ac:dyDescent="0.25">
      <c r="A161"/>
      <c r="B161"/>
      <c r="C161"/>
      <c r="D161"/>
      <c r="E161"/>
      <c r="F161"/>
      <c r="G161"/>
      <c r="H161"/>
      <c r="I161"/>
    </row>
    <row r="162" spans="1:9" x14ac:dyDescent="0.25">
      <c r="A162"/>
      <c r="B162"/>
      <c r="C162"/>
      <c r="D162"/>
      <c r="E162"/>
      <c r="F162"/>
      <c r="G162"/>
      <c r="H162"/>
      <c r="I162"/>
    </row>
    <row r="163" spans="1:9" x14ac:dyDescent="0.25">
      <c r="A163"/>
      <c r="B163"/>
      <c r="C163"/>
      <c r="D163"/>
      <c r="E163"/>
      <c r="F163"/>
      <c r="G163"/>
      <c r="H163"/>
      <c r="I163"/>
    </row>
    <row r="164" spans="1:9" x14ac:dyDescent="0.25">
      <c r="A164"/>
      <c r="B164"/>
      <c r="C164"/>
      <c r="D164"/>
      <c r="E164"/>
      <c r="F164"/>
      <c r="G164"/>
      <c r="H164"/>
      <c r="I164"/>
    </row>
    <row r="165" spans="1:9" x14ac:dyDescent="0.25">
      <c r="A165"/>
      <c r="B165"/>
      <c r="C165"/>
      <c r="D165"/>
      <c r="E165"/>
      <c r="F165"/>
      <c r="G165"/>
      <c r="H165"/>
      <c r="I165"/>
    </row>
    <row r="166" spans="1:9" x14ac:dyDescent="0.25">
      <c r="A166"/>
      <c r="B166"/>
      <c r="C166"/>
      <c r="D166"/>
      <c r="E166"/>
      <c r="F166"/>
      <c r="G166"/>
      <c r="H166"/>
      <c r="I166"/>
    </row>
    <row r="167" spans="1:9" x14ac:dyDescent="0.25">
      <c r="A167"/>
      <c r="B167"/>
      <c r="C167"/>
      <c r="D167"/>
      <c r="E167"/>
      <c r="F167"/>
      <c r="G167"/>
      <c r="H167"/>
      <c r="I167"/>
    </row>
    <row r="168" spans="1:9" x14ac:dyDescent="0.25">
      <c r="A168"/>
      <c r="B168"/>
      <c r="C168"/>
      <c r="D168"/>
      <c r="E168"/>
      <c r="F168"/>
      <c r="G168"/>
      <c r="H168"/>
      <c r="I168"/>
    </row>
    <row r="169" spans="1:9" x14ac:dyDescent="0.25">
      <c r="A169"/>
      <c r="B169"/>
      <c r="C169"/>
      <c r="D169"/>
      <c r="E169"/>
      <c r="F169"/>
      <c r="G169"/>
      <c r="H169"/>
      <c r="I169"/>
    </row>
    <row r="170" spans="1:9" x14ac:dyDescent="0.25">
      <c r="A170"/>
      <c r="B170"/>
      <c r="C170"/>
      <c r="D170"/>
      <c r="E170"/>
      <c r="F170"/>
      <c r="G170"/>
      <c r="H170"/>
      <c r="I170"/>
    </row>
    <row r="171" spans="1:9" x14ac:dyDescent="0.25">
      <c r="A171"/>
      <c r="B171"/>
      <c r="C171"/>
      <c r="D171"/>
      <c r="E171"/>
      <c r="F171"/>
      <c r="G171"/>
      <c r="H171"/>
      <c r="I171"/>
    </row>
    <row r="172" spans="1:9" x14ac:dyDescent="0.25">
      <c r="A172"/>
      <c r="B172"/>
      <c r="C172"/>
      <c r="D172"/>
      <c r="E172"/>
      <c r="F172"/>
      <c r="G172"/>
      <c r="H172"/>
      <c r="I172"/>
    </row>
    <row r="173" spans="1:9" x14ac:dyDescent="0.25">
      <c r="A173"/>
      <c r="B173"/>
      <c r="C173"/>
      <c r="D173"/>
      <c r="E173"/>
      <c r="F173"/>
      <c r="G173"/>
      <c r="H173"/>
      <c r="I173"/>
    </row>
    <row r="174" spans="1:9" x14ac:dyDescent="0.25">
      <c r="A174"/>
      <c r="B174"/>
      <c r="C174"/>
      <c r="D174"/>
      <c r="E174"/>
      <c r="F174"/>
      <c r="G174"/>
      <c r="H174"/>
      <c r="I174"/>
    </row>
    <row r="175" spans="1:9" x14ac:dyDescent="0.25">
      <c r="A175"/>
      <c r="B175"/>
      <c r="C175"/>
      <c r="D175"/>
      <c r="E175"/>
      <c r="F175"/>
      <c r="G175"/>
      <c r="H175"/>
      <c r="I175"/>
    </row>
    <row r="176" spans="1:9" x14ac:dyDescent="0.25">
      <c r="A176"/>
      <c r="B176"/>
      <c r="C176"/>
      <c r="D176"/>
      <c r="E176"/>
      <c r="F176"/>
      <c r="G176"/>
      <c r="H176"/>
      <c r="I176"/>
    </row>
    <row r="177" spans="1:9" x14ac:dyDescent="0.25">
      <c r="A177"/>
      <c r="B177"/>
      <c r="C177"/>
      <c r="D177"/>
      <c r="E177"/>
      <c r="F177"/>
      <c r="G177"/>
      <c r="H177"/>
      <c r="I177"/>
    </row>
    <row r="178" spans="1:9" x14ac:dyDescent="0.25">
      <c r="A178"/>
      <c r="B178"/>
      <c r="C178"/>
      <c r="D178"/>
      <c r="E178"/>
      <c r="F178"/>
      <c r="G178"/>
      <c r="H178"/>
      <c r="I178"/>
    </row>
    <row r="179" spans="1:9" x14ac:dyDescent="0.25">
      <c r="A179"/>
      <c r="B179"/>
      <c r="C179"/>
      <c r="D179"/>
      <c r="E179"/>
      <c r="F179"/>
      <c r="G179"/>
      <c r="H179"/>
      <c r="I179"/>
    </row>
    <row r="180" spans="1:9" x14ac:dyDescent="0.25">
      <c r="A180"/>
      <c r="B180"/>
      <c r="C180"/>
      <c r="D180"/>
      <c r="E180"/>
      <c r="F180"/>
      <c r="G180"/>
      <c r="H180"/>
      <c r="I180"/>
    </row>
    <row r="181" spans="1:9" x14ac:dyDescent="0.25">
      <c r="A181"/>
      <c r="B181"/>
      <c r="C181"/>
      <c r="D181"/>
      <c r="E181"/>
      <c r="F181"/>
      <c r="G181"/>
      <c r="H181"/>
      <c r="I181"/>
    </row>
    <row r="182" spans="1:9" x14ac:dyDescent="0.25">
      <c r="A182"/>
      <c r="B182"/>
      <c r="C182"/>
      <c r="D182"/>
      <c r="E182"/>
      <c r="F182"/>
      <c r="G182"/>
      <c r="H182"/>
      <c r="I182"/>
    </row>
    <row r="183" spans="1:9" x14ac:dyDescent="0.25">
      <c r="A183"/>
      <c r="B183"/>
      <c r="C183"/>
      <c r="D183"/>
      <c r="E183"/>
      <c r="F183"/>
      <c r="G183"/>
      <c r="H183"/>
      <c r="I183"/>
    </row>
    <row r="184" spans="1:9" x14ac:dyDescent="0.25">
      <c r="A184"/>
      <c r="B184"/>
      <c r="C184"/>
      <c r="D184"/>
      <c r="E184"/>
      <c r="F184"/>
      <c r="G184"/>
      <c r="H184"/>
      <c r="I184"/>
    </row>
    <row r="185" spans="1:9" x14ac:dyDescent="0.25">
      <c r="A185"/>
      <c r="B185"/>
      <c r="C185"/>
      <c r="D185"/>
      <c r="E185"/>
      <c r="F185"/>
      <c r="G185"/>
      <c r="H185"/>
      <c r="I185"/>
    </row>
    <row r="186" spans="1:9" x14ac:dyDescent="0.25">
      <c r="A186"/>
      <c r="B186"/>
      <c r="C186"/>
      <c r="D186"/>
      <c r="E186"/>
      <c r="F186"/>
      <c r="G186"/>
      <c r="H186"/>
      <c r="I186"/>
    </row>
    <row r="187" spans="1:9" x14ac:dyDescent="0.25">
      <c r="A187"/>
      <c r="B187"/>
      <c r="C187"/>
      <c r="D187"/>
      <c r="E187"/>
      <c r="F187"/>
      <c r="G187"/>
      <c r="H187"/>
      <c r="I187"/>
    </row>
    <row r="188" spans="1:9" x14ac:dyDescent="0.25">
      <c r="A188"/>
      <c r="B188"/>
      <c r="C188"/>
      <c r="D188"/>
      <c r="E188"/>
      <c r="F188"/>
      <c r="G188"/>
      <c r="H188"/>
      <c r="I188"/>
    </row>
    <row r="189" spans="1:9" x14ac:dyDescent="0.25">
      <c r="A189"/>
      <c r="B189"/>
      <c r="C189"/>
      <c r="D189"/>
      <c r="E189"/>
      <c r="F189"/>
      <c r="G189"/>
      <c r="H189"/>
      <c r="I189"/>
    </row>
    <row r="190" spans="1:9" x14ac:dyDescent="0.25">
      <c r="A190"/>
      <c r="B190"/>
      <c r="C190"/>
      <c r="D190"/>
      <c r="E190"/>
      <c r="F190"/>
      <c r="G190"/>
      <c r="H190"/>
      <c r="I190"/>
    </row>
    <row r="191" spans="1:9" x14ac:dyDescent="0.25">
      <c r="A191"/>
      <c r="B191"/>
      <c r="C191"/>
      <c r="D191"/>
      <c r="E191"/>
      <c r="F191"/>
      <c r="G191"/>
      <c r="H191"/>
      <c r="I191"/>
    </row>
    <row r="192" spans="1:9" x14ac:dyDescent="0.25">
      <c r="A192"/>
      <c r="B192"/>
      <c r="C192"/>
      <c r="D192"/>
      <c r="E192"/>
      <c r="F192"/>
      <c r="G192"/>
      <c r="H192"/>
      <c r="I192"/>
    </row>
    <row r="193" spans="1:9" x14ac:dyDescent="0.25">
      <c r="A193"/>
      <c r="B193"/>
      <c r="C193"/>
      <c r="D193"/>
      <c r="E193"/>
      <c r="F193"/>
      <c r="G193"/>
      <c r="H193"/>
      <c r="I193"/>
    </row>
    <row r="194" spans="1:9" x14ac:dyDescent="0.25">
      <c r="A194"/>
      <c r="B194"/>
      <c r="C194"/>
      <c r="D194"/>
      <c r="E194"/>
      <c r="F194"/>
      <c r="G194"/>
      <c r="H194"/>
      <c r="I194"/>
    </row>
    <row r="195" spans="1:9" x14ac:dyDescent="0.25">
      <c r="A195"/>
      <c r="B195"/>
      <c r="C195"/>
      <c r="D195"/>
      <c r="E195"/>
      <c r="F195"/>
      <c r="G195"/>
      <c r="H195"/>
      <c r="I195"/>
    </row>
    <row r="196" spans="1:9" x14ac:dyDescent="0.25">
      <c r="A196"/>
      <c r="B196"/>
      <c r="C196"/>
      <c r="D196"/>
      <c r="E196"/>
      <c r="F196"/>
      <c r="G196"/>
      <c r="H196"/>
      <c r="I196"/>
    </row>
    <row r="197" spans="1:9" x14ac:dyDescent="0.25">
      <c r="A197"/>
      <c r="B197"/>
      <c r="C197"/>
      <c r="D197"/>
      <c r="E197"/>
      <c r="F197"/>
      <c r="G197"/>
      <c r="H197"/>
      <c r="I197"/>
    </row>
    <row r="198" spans="1:9" x14ac:dyDescent="0.25">
      <c r="A198"/>
      <c r="B198"/>
      <c r="C198"/>
      <c r="D198"/>
      <c r="E198"/>
      <c r="F198"/>
      <c r="G198"/>
      <c r="H198"/>
      <c r="I198"/>
    </row>
    <row r="199" spans="1:9" x14ac:dyDescent="0.25">
      <c r="A199"/>
      <c r="B199"/>
      <c r="C199"/>
      <c r="D199"/>
      <c r="E199"/>
      <c r="F199"/>
      <c r="G199"/>
      <c r="H199"/>
      <c r="I199"/>
    </row>
    <row r="200" spans="1:9" x14ac:dyDescent="0.25">
      <c r="A200"/>
      <c r="B200"/>
      <c r="C200"/>
      <c r="D200"/>
      <c r="E200"/>
      <c r="F200"/>
      <c r="G200"/>
      <c r="H200"/>
      <c r="I200"/>
    </row>
    <row r="201" spans="1:9" x14ac:dyDescent="0.25">
      <c r="A201"/>
      <c r="B201"/>
      <c r="C201"/>
      <c r="D201"/>
      <c r="E201"/>
      <c r="F201"/>
      <c r="G201"/>
      <c r="H201"/>
      <c r="I201"/>
    </row>
    <row r="202" spans="1:9" x14ac:dyDescent="0.25">
      <c r="A202"/>
      <c r="B202"/>
      <c r="C202"/>
      <c r="D202"/>
      <c r="E202"/>
      <c r="F202"/>
      <c r="G202"/>
      <c r="H202"/>
      <c r="I202"/>
    </row>
    <row r="203" spans="1:9" x14ac:dyDescent="0.25">
      <c r="A203"/>
      <c r="B203"/>
      <c r="C203"/>
      <c r="D203"/>
      <c r="E203"/>
      <c r="F203"/>
      <c r="G203"/>
      <c r="H203"/>
      <c r="I203"/>
    </row>
    <row r="204" spans="1:9" x14ac:dyDescent="0.25">
      <c r="A204"/>
      <c r="B204"/>
      <c r="C204"/>
      <c r="D204"/>
      <c r="E204"/>
      <c r="F204"/>
      <c r="G204"/>
      <c r="H204"/>
      <c r="I204"/>
    </row>
    <row r="205" spans="1:9" x14ac:dyDescent="0.25">
      <c r="A205"/>
      <c r="B205"/>
      <c r="C205"/>
      <c r="D205"/>
      <c r="E205"/>
      <c r="F205"/>
      <c r="G205"/>
      <c r="H205"/>
      <c r="I205"/>
    </row>
    <row r="206" spans="1:9" x14ac:dyDescent="0.25">
      <c r="A206"/>
      <c r="B206"/>
      <c r="C206"/>
      <c r="D206"/>
      <c r="E206"/>
      <c r="F206"/>
      <c r="G206"/>
      <c r="H206"/>
      <c r="I206"/>
    </row>
    <row r="207" spans="1:9" x14ac:dyDescent="0.25">
      <c r="A207"/>
      <c r="B207"/>
      <c r="C207"/>
      <c r="D207"/>
      <c r="E207"/>
      <c r="F207"/>
      <c r="G207"/>
      <c r="H207"/>
      <c r="I207"/>
    </row>
    <row r="208" spans="1:9" x14ac:dyDescent="0.25">
      <c r="A208"/>
      <c r="B208"/>
      <c r="C208"/>
      <c r="D208"/>
      <c r="E208"/>
      <c r="F208"/>
      <c r="G208"/>
      <c r="H208"/>
      <c r="I208"/>
    </row>
    <row r="209" spans="1:9" x14ac:dyDescent="0.25">
      <c r="A209"/>
      <c r="B209"/>
      <c r="C209"/>
      <c r="D209"/>
      <c r="E209"/>
      <c r="F209"/>
      <c r="G209"/>
      <c r="H209"/>
      <c r="I209"/>
    </row>
    <row r="210" spans="1:9" x14ac:dyDescent="0.25">
      <c r="A210"/>
      <c r="B210"/>
      <c r="C210"/>
      <c r="D210"/>
      <c r="E210"/>
      <c r="F210"/>
      <c r="G210"/>
      <c r="H210"/>
      <c r="I210"/>
    </row>
    <row r="211" spans="1:9" x14ac:dyDescent="0.25">
      <c r="A211"/>
      <c r="B211"/>
      <c r="C211"/>
      <c r="D211"/>
      <c r="E211"/>
      <c r="F211"/>
      <c r="G211"/>
      <c r="H211"/>
      <c r="I211"/>
    </row>
    <row r="212" spans="1:9" x14ac:dyDescent="0.25">
      <c r="A212"/>
      <c r="B212"/>
      <c r="C212"/>
      <c r="D212"/>
      <c r="E212"/>
      <c r="F212"/>
      <c r="G212"/>
      <c r="H212"/>
      <c r="I212"/>
    </row>
    <row r="213" spans="1:9" x14ac:dyDescent="0.25">
      <c r="A213"/>
      <c r="B213"/>
      <c r="C213"/>
      <c r="D213"/>
      <c r="E213"/>
      <c r="F213"/>
      <c r="G213"/>
      <c r="H213"/>
      <c r="I213"/>
    </row>
    <row r="214" spans="1:9" x14ac:dyDescent="0.25">
      <c r="A214"/>
      <c r="B214"/>
      <c r="C214"/>
      <c r="D214"/>
      <c r="E214"/>
      <c r="F214"/>
      <c r="G214"/>
      <c r="H214"/>
      <c r="I214"/>
    </row>
    <row r="215" spans="1:9" x14ac:dyDescent="0.25">
      <c r="A215"/>
      <c r="B215"/>
      <c r="C215"/>
      <c r="D215"/>
      <c r="E215"/>
      <c r="F215"/>
      <c r="G215"/>
      <c r="H215"/>
      <c r="I215"/>
    </row>
    <row r="216" spans="1:9" x14ac:dyDescent="0.25">
      <c r="A216"/>
      <c r="B216"/>
      <c r="C216"/>
      <c r="D216"/>
      <c r="E216"/>
      <c r="F216"/>
      <c r="G216"/>
      <c r="H216"/>
      <c r="I216"/>
    </row>
    <row r="217" spans="1:9" x14ac:dyDescent="0.25">
      <c r="A217"/>
      <c r="B217"/>
      <c r="C217"/>
      <c r="D217"/>
      <c r="E217"/>
      <c r="F217"/>
      <c r="G217"/>
      <c r="H217"/>
      <c r="I217"/>
    </row>
    <row r="218" spans="1:9" x14ac:dyDescent="0.25">
      <c r="A218"/>
      <c r="B218"/>
      <c r="C218"/>
      <c r="D218"/>
      <c r="E218"/>
      <c r="F218"/>
      <c r="G218"/>
      <c r="H218"/>
      <c r="I218"/>
    </row>
    <row r="219" spans="1:9" x14ac:dyDescent="0.25">
      <c r="A219"/>
      <c r="B219"/>
      <c r="C219"/>
      <c r="D219"/>
      <c r="E219"/>
      <c r="F219"/>
      <c r="G219"/>
      <c r="H219"/>
      <c r="I219"/>
    </row>
    <row r="220" spans="1:9" x14ac:dyDescent="0.25">
      <c r="A220"/>
      <c r="B220"/>
      <c r="C220"/>
      <c r="D220"/>
      <c r="E220"/>
      <c r="F220"/>
      <c r="G220"/>
      <c r="H220"/>
      <c r="I220"/>
    </row>
    <row r="221" spans="1:9" x14ac:dyDescent="0.25">
      <c r="A221"/>
      <c r="B221"/>
      <c r="C221"/>
      <c r="D221"/>
      <c r="E221"/>
      <c r="F221"/>
      <c r="G221"/>
      <c r="H221"/>
      <c r="I221"/>
    </row>
    <row r="222" spans="1:9" x14ac:dyDescent="0.25">
      <c r="A222"/>
      <c r="B222"/>
      <c r="C222"/>
      <c r="D222"/>
      <c r="E222"/>
      <c r="F222"/>
      <c r="G222"/>
      <c r="H222"/>
      <c r="I222"/>
    </row>
    <row r="223" spans="1:9" x14ac:dyDescent="0.25">
      <c r="A223"/>
      <c r="B223"/>
      <c r="C223"/>
      <c r="D223"/>
      <c r="E223"/>
      <c r="F223"/>
      <c r="G223"/>
      <c r="H223"/>
      <c r="I223"/>
    </row>
    <row r="224" spans="1:9" x14ac:dyDescent="0.25">
      <c r="A224"/>
      <c r="B224"/>
      <c r="C224"/>
      <c r="D224"/>
      <c r="E224"/>
      <c r="F224"/>
      <c r="G224"/>
      <c r="H224"/>
      <c r="I224"/>
    </row>
    <row r="225" spans="1:9" x14ac:dyDescent="0.25">
      <c r="A225"/>
      <c r="B225"/>
      <c r="C225"/>
      <c r="D225"/>
      <c r="E225"/>
      <c r="F225"/>
      <c r="G225"/>
      <c r="H225"/>
      <c r="I225"/>
    </row>
    <row r="226" spans="1:9" x14ac:dyDescent="0.25">
      <c r="A226"/>
      <c r="B226"/>
      <c r="C226"/>
      <c r="D226"/>
      <c r="E226"/>
      <c r="F226"/>
      <c r="G226"/>
      <c r="H226"/>
      <c r="I226"/>
    </row>
    <row r="227" spans="1:9" x14ac:dyDescent="0.25">
      <c r="A227"/>
      <c r="B227"/>
      <c r="C227"/>
      <c r="D227"/>
      <c r="E227"/>
      <c r="F227"/>
      <c r="G227"/>
      <c r="H227"/>
      <c r="I227"/>
    </row>
    <row r="228" spans="1:9" x14ac:dyDescent="0.25">
      <c r="A228"/>
      <c r="B228"/>
      <c r="C228"/>
      <c r="D228"/>
      <c r="E228"/>
      <c r="F228"/>
      <c r="G228"/>
      <c r="H228"/>
      <c r="I228"/>
    </row>
    <row r="229" spans="1:9" x14ac:dyDescent="0.25">
      <c r="A229"/>
      <c r="B229"/>
      <c r="C229"/>
      <c r="D229"/>
      <c r="E229"/>
      <c r="F229"/>
      <c r="G229"/>
      <c r="H229"/>
      <c r="I229"/>
    </row>
    <row r="230" spans="1:9" x14ac:dyDescent="0.25">
      <c r="A230"/>
      <c r="B230"/>
      <c r="C230"/>
      <c r="D230"/>
      <c r="E230"/>
      <c r="F230"/>
      <c r="G230"/>
      <c r="H230"/>
      <c r="I230"/>
    </row>
    <row r="231" spans="1:9" x14ac:dyDescent="0.25">
      <c r="A231"/>
      <c r="B231"/>
      <c r="C231"/>
      <c r="D231"/>
      <c r="E231"/>
      <c r="F231"/>
      <c r="G231"/>
      <c r="H231"/>
      <c r="I231"/>
    </row>
    <row r="232" spans="1:9" x14ac:dyDescent="0.25">
      <c r="A232"/>
      <c r="B232"/>
      <c r="C232"/>
      <c r="D232"/>
      <c r="E232"/>
      <c r="F232"/>
      <c r="G232"/>
      <c r="H232"/>
      <c r="I232"/>
    </row>
    <row r="233" spans="1:9" x14ac:dyDescent="0.25">
      <c r="A233"/>
      <c r="B233"/>
      <c r="C233"/>
      <c r="D233"/>
      <c r="E233"/>
      <c r="F233"/>
      <c r="G233"/>
      <c r="H233"/>
      <c r="I233"/>
    </row>
    <row r="234" spans="1:9" x14ac:dyDescent="0.25">
      <c r="A234"/>
      <c r="B234"/>
      <c r="C234"/>
      <c r="D234"/>
      <c r="E234"/>
      <c r="F234"/>
      <c r="G234"/>
      <c r="H234"/>
      <c r="I234"/>
    </row>
    <row r="235" spans="1:9" x14ac:dyDescent="0.25">
      <c r="A235"/>
      <c r="B235"/>
      <c r="C235"/>
      <c r="D235"/>
      <c r="E235"/>
      <c r="F235"/>
      <c r="G235"/>
      <c r="H235"/>
      <c r="I235"/>
    </row>
    <row r="236" spans="1:9" x14ac:dyDescent="0.25">
      <c r="A236"/>
      <c r="B236"/>
      <c r="C236"/>
      <c r="D236"/>
      <c r="E236"/>
      <c r="F236"/>
      <c r="G236"/>
      <c r="H236"/>
      <c r="I236"/>
    </row>
    <row r="237" spans="1:9" x14ac:dyDescent="0.25">
      <c r="A237"/>
      <c r="B237"/>
      <c r="C237"/>
      <c r="D237"/>
      <c r="E237"/>
      <c r="F237"/>
      <c r="G237"/>
      <c r="H237"/>
      <c r="I237"/>
    </row>
    <row r="238" spans="1:9" x14ac:dyDescent="0.25">
      <c r="A238"/>
      <c r="B238"/>
      <c r="C238"/>
      <c r="D238"/>
      <c r="E238"/>
      <c r="F238"/>
      <c r="G238"/>
      <c r="H238"/>
      <c r="I238"/>
    </row>
    <row r="239" spans="1:9" x14ac:dyDescent="0.25">
      <c r="A239"/>
      <c r="B239"/>
      <c r="C239"/>
      <c r="D239"/>
      <c r="E239"/>
      <c r="F239"/>
      <c r="G239"/>
      <c r="H239"/>
      <c r="I239"/>
    </row>
    <row r="240" spans="1:9" x14ac:dyDescent="0.25">
      <c r="A240"/>
      <c r="B240"/>
      <c r="C240"/>
      <c r="D240"/>
      <c r="E240"/>
      <c r="F240"/>
      <c r="G240"/>
      <c r="H240"/>
      <c r="I240"/>
    </row>
    <row r="241" spans="1:9" x14ac:dyDescent="0.25">
      <c r="A241"/>
      <c r="B241"/>
      <c r="C241"/>
      <c r="D241"/>
      <c r="E241"/>
      <c r="F241"/>
      <c r="G241"/>
      <c r="H241"/>
      <c r="I241"/>
    </row>
    <row r="242" spans="1:9" x14ac:dyDescent="0.25">
      <c r="A242"/>
      <c r="B242"/>
      <c r="C242"/>
      <c r="D242"/>
      <c r="E242"/>
      <c r="F242"/>
      <c r="G242"/>
      <c r="H242"/>
      <c r="I242"/>
    </row>
    <row r="243" spans="1:9" x14ac:dyDescent="0.25">
      <c r="A243"/>
      <c r="B243"/>
      <c r="C243"/>
      <c r="D243"/>
      <c r="E243"/>
      <c r="F243"/>
      <c r="G243"/>
      <c r="H243"/>
      <c r="I243"/>
    </row>
    <row r="244" spans="1:9" x14ac:dyDescent="0.25">
      <c r="A244"/>
      <c r="B244"/>
      <c r="C244"/>
      <c r="D244"/>
      <c r="E244"/>
      <c r="F244"/>
      <c r="G244"/>
      <c r="H244"/>
      <c r="I244"/>
    </row>
    <row r="245" spans="1:9" x14ac:dyDescent="0.25">
      <c r="A245"/>
      <c r="B245"/>
      <c r="C245"/>
      <c r="D245"/>
      <c r="E245"/>
      <c r="F245"/>
      <c r="G245"/>
      <c r="H245"/>
      <c r="I245"/>
    </row>
    <row r="246" spans="1:9" x14ac:dyDescent="0.25">
      <c r="A246"/>
      <c r="B246"/>
      <c r="C246"/>
      <c r="D246"/>
      <c r="E246"/>
      <c r="F246"/>
      <c r="G246"/>
      <c r="H246"/>
      <c r="I246"/>
    </row>
    <row r="247" spans="1:9" x14ac:dyDescent="0.25">
      <c r="A247"/>
      <c r="B247"/>
      <c r="C247"/>
      <c r="D247"/>
      <c r="E247"/>
      <c r="F247"/>
      <c r="G247"/>
      <c r="H247"/>
      <c r="I247"/>
    </row>
    <row r="248" spans="1:9" x14ac:dyDescent="0.25">
      <c r="A248"/>
      <c r="B248"/>
      <c r="C248"/>
      <c r="D248"/>
      <c r="E248"/>
      <c r="F248"/>
      <c r="G248"/>
      <c r="H248"/>
      <c r="I248"/>
    </row>
    <row r="249" spans="1:9" x14ac:dyDescent="0.25">
      <c r="A249"/>
      <c r="B249"/>
      <c r="C249"/>
      <c r="D249"/>
      <c r="E249"/>
      <c r="F249"/>
      <c r="G249"/>
      <c r="H249"/>
      <c r="I249"/>
    </row>
    <row r="250" spans="1:9" x14ac:dyDescent="0.25">
      <c r="A250"/>
      <c r="B250"/>
      <c r="C250"/>
      <c r="D250"/>
      <c r="E250"/>
      <c r="F250"/>
      <c r="G250"/>
      <c r="H250"/>
      <c r="I250"/>
    </row>
    <row r="251" spans="1:9" x14ac:dyDescent="0.25">
      <c r="A251"/>
      <c r="B251"/>
      <c r="C251"/>
      <c r="D251"/>
      <c r="E251"/>
      <c r="F251"/>
      <c r="G251"/>
      <c r="H251"/>
      <c r="I251"/>
    </row>
    <row r="252" spans="1:9" x14ac:dyDescent="0.25">
      <c r="A252"/>
      <c r="B252"/>
      <c r="C252"/>
      <c r="D252"/>
      <c r="E252"/>
      <c r="F252"/>
      <c r="G252"/>
      <c r="H252"/>
      <c r="I252"/>
    </row>
    <row r="253" spans="1:9" x14ac:dyDescent="0.25">
      <c r="A253"/>
      <c r="B253"/>
      <c r="C253"/>
      <c r="D253"/>
      <c r="E253"/>
      <c r="F253"/>
      <c r="G253"/>
      <c r="H253"/>
      <c r="I253"/>
    </row>
    <row r="254" spans="1:9" x14ac:dyDescent="0.25">
      <c r="A254"/>
      <c r="B254"/>
      <c r="C254"/>
      <c r="D254"/>
      <c r="E254"/>
      <c r="F254"/>
      <c r="G254"/>
      <c r="H254"/>
      <c r="I254"/>
    </row>
    <row r="255" spans="1:9" x14ac:dyDescent="0.25">
      <c r="A255"/>
      <c r="B255"/>
      <c r="C255"/>
      <c r="D255"/>
      <c r="E255"/>
      <c r="F255"/>
      <c r="G255"/>
      <c r="H255"/>
      <c r="I255"/>
    </row>
    <row r="256" spans="1:9" x14ac:dyDescent="0.25">
      <c r="A256"/>
      <c r="B256"/>
      <c r="C256"/>
      <c r="D256"/>
      <c r="E256"/>
      <c r="F256"/>
      <c r="G256"/>
      <c r="H256"/>
      <c r="I256"/>
    </row>
    <row r="257" spans="1:9" x14ac:dyDescent="0.25">
      <c r="A257"/>
      <c r="B257"/>
      <c r="C257"/>
      <c r="D257"/>
      <c r="E257"/>
      <c r="F257"/>
      <c r="G257"/>
      <c r="H257"/>
      <c r="I257"/>
    </row>
    <row r="258" spans="1:9" x14ac:dyDescent="0.25">
      <c r="A258"/>
      <c r="B258"/>
      <c r="C258"/>
      <c r="D258"/>
      <c r="E258"/>
      <c r="F258"/>
      <c r="G258"/>
      <c r="H258"/>
      <c r="I258"/>
    </row>
    <row r="259" spans="1:9" x14ac:dyDescent="0.25">
      <c r="A259"/>
      <c r="B259"/>
      <c r="C259"/>
      <c r="D259"/>
      <c r="E259"/>
      <c r="F259"/>
      <c r="G259"/>
      <c r="H259"/>
      <c r="I259"/>
    </row>
    <row r="260" spans="1:9" x14ac:dyDescent="0.25">
      <c r="A260"/>
      <c r="B260"/>
      <c r="C260"/>
      <c r="D260"/>
      <c r="E260"/>
      <c r="F260"/>
      <c r="G260"/>
      <c r="H260"/>
      <c r="I260"/>
    </row>
    <row r="261" spans="1:9" x14ac:dyDescent="0.25">
      <c r="A261"/>
      <c r="B261"/>
      <c r="C261"/>
      <c r="D261"/>
      <c r="E261"/>
      <c r="F261"/>
      <c r="G261"/>
      <c r="H261"/>
      <c r="I261"/>
    </row>
    <row r="262" spans="1:9" x14ac:dyDescent="0.25">
      <c r="A262"/>
      <c r="B262"/>
      <c r="C262"/>
      <c r="D262"/>
      <c r="E262"/>
      <c r="F262"/>
      <c r="G262"/>
      <c r="H262"/>
      <c r="I262"/>
    </row>
    <row r="263" spans="1:9" x14ac:dyDescent="0.25">
      <c r="A263"/>
      <c r="B263"/>
      <c r="C263"/>
      <c r="D263"/>
      <c r="E263"/>
      <c r="F263"/>
      <c r="G263"/>
      <c r="H263"/>
      <c r="I263"/>
    </row>
    <row r="264" spans="1:9" x14ac:dyDescent="0.25">
      <c r="A264"/>
      <c r="B264"/>
      <c r="C264"/>
      <c r="D264"/>
      <c r="E264"/>
      <c r="F264"/>
      <c r="G264"/>
      <c r="H264"/>
      <c r="I264"/>
    </row>
    <row r="265" spans="1:9" x14ac:dyDescent="0.25">
      <c r="A265"/>
      <c r="B265"/>
      <c r="C265"/>
      <c r="D265"/>
      <c r="E265"/>
      <c r="F265"/>
      <c r="G265"/>
      <c r="H265"/>
      <c r="I265"/>
    </row>
    <row r="266" spans="1:9" x14ac:dyDescent="0.25">
      <c r="A266"/>
      <c r="B266"/>
      <c r="C266"/>
      <c r="D266"/>
      <c r="E266"/>
      <c r="F266"/>
      <c r="G266"/>
      <c r="H266"/>
      <c r="I266"/>
    </row>
    <row r="267" spans="1:9" x14ac:dyDescent="0.25">
      <c r="A267"/>
      <c r="B267"/>
      <c r="C267"/>
      <c r="D267"/>
      <c r="E267"/>
      <c r="F267"/>
      <c r="G267"/>
      <c r="H267"/>
      <c r="I267"/>
    </row>
    <row r="268" spans="1:9" x14ac:dyDescent="0.25">
      <c r="A268"/>
      <c r="B268"/>
      <c r="C268"/>
      <c r="D268"/>
      <c r="E268"/>
      <c r="F268"/>
      <c r="G268"/>
      <c r="H268"/>
      <c r="I268"/>
    </row>
    <row r="269" spans="1:9" x14ac:dyDescent="0.25">
      <c r="A269"/>
      <c r="B269"/>
      <c r="C269"/>
      <c r="D269"/>
      <c r="E269"/>
      <c r="F269"/>
      <c r="G269"/>
      <c r="H269"/>
      <c r="I269"/>
    </row>
    <row r="270" spans="1:9" x14ac:dyDescent="0.25">
      <c r="A270"/>
      <c r="B270"/>
      <c r="C270"/>
      <c r="D270"/>
      <c r="E270"/>
      <c r="F270"/>
      <c r="G270"/>
      <c r="H270"/>
      <c r="I270"/>
    </row>
    <row r="271" spans="1:9" x14ac:dyDescent="0.25">
      <c r="A271"/>
      <c r="B271"/>
      <c r="C271"/>
      <c r="D271"/>
      <c r="E271"/>
      <c r="F271"/>
      <c r="G271"/>
      <c r="H271"/>
      <c r="I271"/>
    </row>
    <row r="272" spans="1:9" x14ac:dyDescent="0.25">
      <c r="A272"/>
      <c r="B272"/>
      <c r="C272"/>
      <c r="D272"/>
      <c r="E272"/>
      <c r="F272"/>
      <c r="G272"/>
      <c r="H272"/>
      <c r="I272"/>
    </row>
    <row r="273" spans="1:9" x14ac:dyDescent="0.25">
      <c r="A273"/>
      <c r="B273"/>
      <c r="C273"/>
      <c r="D273"/>
      <c r="E273"/>
      <c r="F273"/>
      <c r="G273"/>
      <c r="H273"/>
      <c r="I273"/>
    </row>
    <row r="274" spans="1:9" x14ac:dyDescent="0.25">
      <c r="A274"/>
      <c r="B274"/>
      <c r="C274"/>
      <c r="D274"/>
      <c r="E274"/>
      <c r="F274"/>
      <c r="G274"/>
      <c r="H274"/>
      <c r="I274"/>
    </row>
    <row r="275" spans="1:9" x14ac:dyDescent="0.25">
      <c r="A275"/>
      <c r="B275"/>
      <c r="C275"/>
      <c r="D275"/>
      <c r="E275"/>
      <c r="F275"/>
      <c r="G275"/>
      <c r="H275"/>
      <c r="I275"/>
    </row>
    <row r="276" spans="1:9" x14ac:dyDescent="0.25">
      <c r="A276"/>
      <c r="B276"/>
      <c r="C276"/>
      <c r="D276"/>
      <c r="E276"/>
      <c r="F276"/>
      <c r="G276"/>
      <c r="H276"/>
      <c r="I276"/>
    </row>
    <row r="277" spans="1:9" x14ac:dyDescent="0.25">
      <c r="A277"/>
      <c r="B277"/>
      <c r="C277"/>
      <c r="D277"/>
      <c r="E277"/>
      <c r="F277"/>
      <c r="G277"/>
      <c r="H277"/>
      <c r="I277"/>
    </row>
    <row r="278" spans="1:9" x14ac:dyDescent="0.25">
      <c r="A278"/>
      <c r="B278"/>
      <c r="C278"/>
      <c r="D278"/>
      <c r="E278"/>
      <c r="F278"/>
      <c r="G278"/>
      <c r="H278"/>
      <c r="I278"/>
    </row>
    <row r="279" spans="1:9" x14ac:dyDescent="0.25">
      <c r="A279"/>
      <c r="B279"/>
      <c r="C279"/>
      <c r="D279"/>
      <c r="E279"/>
      <c r="F279"/>
      <c r="G279"/>
      <c r="H279"/>
      <c r="I279"/>
    </row>
    <row r="280" spans="1:9" x14ac:dyDescent="0.25">
      <c r="A280"/>
      <c r="B280"/>
      <c r="C280"/>
      <c r="D280"/>
      <c r="E280"/>
      <c r="F280"/>
      <c r="G280"/>
      <c r="H280"/>
      <c r="I280"/>
    </row>
    <row r="281" spans="1:9" x14ac:dyDescent="0.25">
      <c r="A281"/>
      <c r="B281"/>
      <c r="C281"/>
      <c r="D281"/>
      <c r="E281"/>
      <c r="F281"/>
      <c r="G281"/>
      <c r="H281"/>
      <c r="I281"/>
    </row>
    <row r="282" spans="1:9" x14ac:dyDescent="0.25">
      <c r="A282"/>
      <c r="B282"/>
      <c r="C282"/>
      <c r="D282"/>
      <c r="E282"/>
      <c r="F282"/>
      <c r="G282"/>
      <c r="H282"/>
      <c r="I282"/>
    </row>
    <row r="283" spans="1:9" x14ac:dyDescent="0.25">
      <c r="A283"/>
      <c r="B283"/>
      <c r="C283"/>
      <c r="D283"/>
      <c r="E283"/>
      <c r="F283"/>
      <c r="G283"/>
      <c r="H283"/>
      <c r="I283"/>
    </row>
    <row r="284" spans="1:9" x14ac:dyDescent="0.25">
      <c r="A284"/>
      <c r="B284"/>
      <c r="C284"/>
      <c r="D284"/>
      <c r="E284"/>
      <c r="F284"/>
      <c r="G284"/>
      <c r="H284"/>
      <c r="I284"/>
    </row>
    <row r="285" spans="1:9" x14ac:dyDescent="0.25">
      <c r="A285"/>
      <c r="B285"/>
      <c r="C285"/>
      <c r="D285"/>
      <c r="E285"/>
      <c r="F285"/>
      <c r="G285"/>
      <c r="H285"/>
      <c r="I285"/>
    </row>
    <row r="286" spans="1:9" x14ac:dyDescent="0.25">
      <c r="A286"/>
      <c r="B286"/>
      <c r="C286"/>
      <c r="D286"/>
      <c r="E286"/>
      <c r="F286"/>
      <c r="G286"/>
      <c r="H286"/>
      <c r="I286"/>
    </row>
    <row r="287" spans="1:9" x14ac:dyDescent="0.25">
      <c r="A287"/>
      <c r="B287"/>
      <c r="C287"/>
      <c r="D287"/>
      <c r="E287"/>
      <c r="F287"/>
      <c r="G287"/>
      <c r="H287"/>
      <c r="I287"/>
    </row>
    <row r="288" spans="1:9" x14ac:dyDescent="0.25">
      <c r="A288"/>
      <c r="B288"/>
      <c r="C288"/>
      <c r="D288"/>
      <c r="E288"/>
      <c r="F288"/>
      <c r="G288"/>
      <c r="H288"/>
      <c r="I288"/>
    </row>
    <row r="289" spans="1:9" x14ac:dyDescent="0.25">
      <c r="A289"/>
      <c r="B289"/>
      <c r="C289"/>
      <c r="D289"/>
      <c r="E289"/>
      <c r="F289"/>
      <c r="G289"/>
      <c r="H289"/>
      <c r="I289"/>
    </row>
    <row r="290" spans="1:9" x14ac:dyDescent="0.25">
      <c r="A290"/>
      <c r="B290"/>
      <c r="C290"/>
      <c r="D290"/>
      <c r="E290"/>
      <c r="F290"/>
      <c r="G290"/>
      <c r="H290"/>
      <c r="I290"/>
    </row>
    <row r="291" spans="1:9" x14ac:dyDescent="0.25">
      <c r="A291"/>
      <c r="B291"/>
      <c r="C291"/>
      <c r="D291"/>
      <c r="E291"/>
      <c r="F291"/>
      <c r="G291"/>
      <c r="H291"/>
      <c r="I291"/>
    </row>
    <row r="292" spans="1:9" x14ac:dyDescent="0.25">
      <c r="A292"/>
      <c r="B292"/>
      <c r="C292"/>
      <c r="D292"/>
      <c r="E292"/>
      <c r="F292"/>
      <c r="G292"/>
      <c r="H292"/>
      <c r="I292"/>
    </row>
    <row r="293" spans="1:9" x14ac:dyDescent="0.25">
      <c r="A293"/>
      <c r="B293"/>
      <c r="C293"/>
      <c r="D293"/>
      <c r="E293"/>
      <c r="F293"/>
      <c r="G293"/>
      <c r="H293"/>
      <c r="I293"/>
    </row>
    <row r="294" spans="1:9" x14ac:dyDescent="0.25">
      <c r="A294"/>
      <c r="B294"/>
      <c r="C294"/>
      <c r="D294"/>
      <c r="E294"/>
      <c r="F294"/>
      <c r="G294"/>
      <c r="H294"/>
      <c r="I294"/>
    </row>
    <row r="295" spans="1:9" x14ac:dyDescent="0.25">
      <c r="A295"/>
      <c r="B295"/>
      <c r="C295"/>
      <c r="D295"/>
      <c r="E295"/>
      <c r="F295"/>
      <c r="G295"/>
      <c r="H295"/>
      <c r="I295"/>
    </row>
    <row r="296" spans="1:9" x14ac:dyDescent="0.25">
      <c r="A296"/>
      <c r="B296"/>
      <c r="C296"/>
      <c r="D296"/>
      <c r="E296"/>
      <c r="F296"/>
      <c r="G296"/>
      <c r="H296"/>
      <c r="I296"/>
    </row>
    <row r="297" spans="1:9" x14ac:dyDescent="0.25">
      <c r="A297"/>
      <c r="B297"/>
      <c r="C297"/>
      <c r="D297"/>
      <c r="E297"/>
      <c r="F297"/>
      <c r="G297"/>
      <c r="H297"/>
      <c r="I297"/>
    </row>
    <row r="298" spans="1:9" x14ac:dyDescent="0.25">
      <c r="A298"/>
      <c r="B298"/>
      <c r="C298"/>
      <c r="D298"/>
      <c r="E298"/>
      <c r="F298"/>
      <c r="G298"/>
      <c r="H298"/>
      <c r="I298"/>
    </row>
    <row r="299" spans="1:9" x14ac:dyDescent="0.25">
      <c r="A299"/>
      <c r="B299"/>
      <c r="C299"/>
      <c r="D299"/>
      <c r="E299"/>
      <c r="F299"/>
      <c r="G299"/>
      <c r="H299"/>
      <c r="I299"/>
    </row>
    <row r="300" spans="1:9" x14ac:dyDescent="0.25">
      <c r="A300"/>
      <c r="B300"/>
      <c r="C300"/>
      <c r="D300"/>
      <c r="E300"/>
      <c r="F300"/>
      <c r="G300"/>
      <c r="H300"/>
      <c r="I300"/>
    </row>
    <row r="301" spans="1:9" x14ac:dyDescent="0.25">
      <c r="A301"/>
      <c r="B301"/>
      <c r="C301"/>
      <c r="D301"/>
      <c r="E301"/>
      <c r="F301"/>
      <c r="G301"/>
      <c r="H301"/>
      <c r="I301"/>
    </row>
    <row r="302" spans="1:9" x14ac:dyDescent="0.25">
      <c r="A302"/>
      <c r="B302"/>
      <c r="C302"/>
      <c r="D302"/>
      <c r="E302"/>
      <c r="F302"/>
      <c r="G302"/>
      <c r="H302"/>
      <c r="I302"/>
    </row>
    <row r="303" spans="1:9" x14ac:dyDescent="0.25">
      <c r="A303"/>
      <c r="B303"/>
      <c r="C303"/>
      <c r="D303"/>
      <c r="E303"/>
      <c r="F303"/>
      <c r="G303"/>
      <c r="H303"/>
      <c r="I303"/>
    </row>
    <row r="304" spans="1:9" x14ac:dyDescent="0.25">
      <c r="A304"/>
      <c r="B304"/>
      <c r="C304"/>
      <c r="D304"/>
      <c r="E304"/>
      <c r="F304"/>
      <c r="G304"/>
      <c r="H304"/>
      <c r="I304"/>
    </row>
    <row r="305" spans="1:9" x14ac:dyDescent="0.25">
      <c r="A305"/>
      <c r="B305"/>
      <c r="C305"/>
      <c r="D305"/>
      <c r="E305"/>
      <c r="F305"/>
      <c r="G305"/>
      <c r="H305"/>
      <c r="I305"/>
    </row>
    <row r="306" spans="1:9" x14ac:dyDescent="0.25">
      <c r="A306"/>
      <c r="B306"/>
      <c r="C306"/>
      <c r="D306"/>
      <c r="E306"/>
      <c r="F306"/>
      <c r="G306"/>
      <c r="H306"/>
      <c r="I306"/>
    </row>
    <row r="307" spans="1:9" x14ac:dyDescent="0.25">
      <c r="A307"/>
      <c r="B307"/>
      <c r="C307"/>
      <c r="D307"/>
      <c r="E307"/>
      <c r="F307"/>
      <c r="G307"/>
      <c r="H307"/>
      <c r="I307"/>
    </row>
    <row r="308" spans="1:9" x14ac:dyDescent="0.25">
      <c r="A308"/>
      <c r="B308"/>
      <c r="C308"/>
      <c r="D308"/>
      <c r="E308"/>
      <c r="F308"/>
      <c r="G308"/>
      <c r="H308"/>
      <c r="I308"/>
    </row>
    <row r="309" spans="1:9" x14ac:dyDescent="0.25">
      <c r="A309"/>
      <c r="B309"/>
      <c r="C309"/>
      <c r="D309"/>
      <c r="E309"/>
      <c r="F309"/>
      <c r="G309"/>
      <c r="H309"/>
      <c r="I309"/>
    </row>
    <row r="310" spans="1:9" x14ac:dyDescent="0.25">
      <c r="A310"/>
      <c r="B310"/>
      <c r="C310"/>
      <c r="D310"/>
      <c r="E310"/>
      <c r="F310"/>
      <c r="G310"/>
      <c r="H310"/>
      <c r="I310"/>
    </row>
    <row r="311" spans="1:9" x14ac:dyDescent="0.25">
      <c r="A311"/>
      <c r="B311"/>
      <c r="C311"/>
      <c r="D311"/>
      <c r="E311"/>
      <c r="F311"/>
      <c r="G311"/>
      <c r="H311"/>
      <c r="I311"/>
    </row>
    <row r="312" spans="1:9" x14ac:dyDescent="0.25">
      <c r="A312"/>
      <c r="B312"/>
      <c r="C312"/>
      <c r="D312"/>
      <c r="E312"/>
      <c r="F312"/>
      <c r="G312"/>
      <c r="H312"/>
      <c r="I312"/>
    </row>
    <row r="313" spans="1:9" x14ac:dyDescent="0.25">
      <c r="A313"/>
      <c r="B313"/>
      <c r="C313"/>
      <c r="D313"/>
      <c r="E313"/>
      <c r="F313"/>
      <c r="G313"/>
      <c r="H313"/>
      <c r="I313"/>
    </row>
    <row r="314" spans="1:9" x14ac:dyDescent="0.25">
      <c r="A314"/>
      <c r="B314"/>
      <c r="C314"/>
      <c r="D314"/>
      <c r="E314"/>
      <c r="F314"/>
      <c r="G314"/>
      <c r="H314"/>
      <c r="I314"/>
    </row>
    <row r="315" spans="1:9" x14ac:dyDescent="0.25">
      <c r="A315"/>
      <c r="B315"/>
      <c r="C315"/>
      <c r="D315"/>
      <c r="E315"/>
      <c r="F315"/>
      <c r="G315"/>
      <c r="H315"/>
      <c r="I315"/>
    </row>
    <row r="316" spans="1:9" x14ac:dyDescent="0.25">
      <c r="A316"/>
      <c r="B316"/>
      <c r="C316"/>
      <c r="D316"/>
      <c r="E316"/>
      <c r="F316"/>
      <c r="G316"/>
      <c r="H316"/>
      <c r="I316"/>
    </row>
    <row r="317" spans="1:9" x14ac:dyDescent="0.25">
      <c r="A317"/>
      <c r="B317"/>
      <c r="C317"/>
      <c r="D317"/>
      <c r="E317"/>
      <c r="F317"/>
      <c r="G317"/>
      <c r="H317"/>
      <c r="I317"/>
    </row>
    <row r="318" spans="1:9" x14ac:dyDescent="0.25">
      <c r="A318"/>
      <c r="B318"/>
      <c r="C318"/>
      <c r="D318"/>
      <c r="E318"/>
      <c r="F318"/>
      <c r="G318"/>
      <c r="H318"/>
      <c r="I318"/>
    </row>
    <row r="319" spans="1:9" x14ac:dyDescent="0.25">
      <c r="A319"/>
      <c r="B319"/>
      <c r="C319"/>
      <c r="D319"/>
      <c r="E319"/>
      <c r="F319"/>
      <c r="G319"/>
      <c r="H319"/>
      <c r="I319"/>
    </row>
    <row r="320" spans="1:9" x14ac:dyDescent="0.25">
      <c r="A320"/>
      <c r="B320"/>
      <c r="C320"/>
      <c r="D320"/>
      <c r="E320"/>
      <c r="F320"/>
      <c r="G320"/>
      <c r="H320"/>
      <c r="I320"/>
    </row>
    <row r="321" spans="1:9" x14ac:dyDescent="0.25">
      <c r="A321"/>
      <c r="B321"/>
      <c r="C321"/>
      <c r="D321"/>
      <c r="E321"/>
      <c r="F321"/>
      <c r="G321"/>
      <c r="H321"/>
      <c r="I321"/>
    </row>
    <row r="322" spans="1:9" x14ac:dyDescent="0.25">
      <c r="A322"/>
      <c r="B322"/>
      <c r="C322"/>
      <c r="D322"/>
      <c r="E322"/>
      <c r="F322"/>
      <c r="G322"/>
      <c r="H322"/>
      <c r="I322"/>
    </row>
    <row r="323" spans="1:9" x14ac:dyDescent="0.25">
      <c r="A323"/>
      <c r="B323"/>
      <c r="C323"/>
      <c r="D323"/>
      <c r="E323"/>
      <c r="F323"/>
      <c r="G323"/>
      <c r="H323"/>
      <c r="I323"/>
    </row>
    <row r="324" spans="1:9" x14ac:dyDescent="0.25">
      <c r="A324"/>
      <c r="B324"/>
      <c r="C324"/>
      <c r="D324"/>
      <c r="E324"/>
      <c r="F324"/>
      <c r="G324"/>
      <c r="H324"/>
      <c r="I324"/>
    </row>
    <row r="325" spans="1:9" x14ac:dyDescent="0.25">
      <c r="A325"/>
      <c r="B325"/>
      <c r="C325"/>
      <c r="D325"/>
      <c r="E325"/>
      <c r="F325"/>
      <c r="G325"/>
      <c r="H325"/>
      <c r="I325"/>
    </row>
    <row r="326" spans="1:9" x14ac:dyDescent="0.25">
      <c r="A326"/>
      <c r="B326"/>
      <c r="C326"/>
      <c r="D326"/>
      <c r="E326"/>
      <c r="F326"/>
      <c r="G326"/>
      <c r="H326"/>
      <c r="I326"/>
    </row>
    <row r="327" spans="1:9" x14ac:dyDescent="0.25">
      <c r="A327"/>
      <c r="B327"/>
      <c r="C327"/>
      <c r="D327"/>
      <c r="E327"/>
      <c r="F327"/>
      <c r="G327"/>
      <c r="H327"/>
      <c r="I327"/>
    </row>
    <row r="328" spans="1:9" x14ac:dyDescent="0.25">
      <c r="A328"/>
      <c r="B328"/>
      <c r="C328"/>
      <c r="D328"/>
      <c r="E328"/>
      <c r="F328"/>
      <c r="G328"/>
      <c r="H328"/>
      <c r="I328"/>
    </row>
    <row r="329" spans="1:9" x14ac:dyDescent="0.25">
      <c r="A329"/>
      <c r="B329"/>
      <c r="C329"/>
      <c r="D329"/>
      <c r="E329"/>
      <c r="F329"/>
      <c r="G329"/>
      <c r="H329"/>
      <c r="I329"/>
    </row>
    <row r="330" spans="1:9" x14ac:dyDescent="0.25">
      <c r="A330"/>
      <c r="B330"/>
      <c r="C330"/>
      <c r="D330"/>
      <c r="E330"/>
      <c r="F330"/>
      <c r="G330"/>
      <c r="H330"/>
      <c r="I330"/>
    </row>
    <row r="331" spans="1:9" x14ac:dyDescent="0.25">
      <c r="A331"/>
      <c r="B331"/>
      <c r="C331"/>
      <c r="D331"/>
      <c r="E331"/>
      <c r="F331"/>
      <c r="G331"/>
      <c r="H331"/>
      <c r="I331"/>
    </row>
    <row r="332" spans="1:9" x14ac:dyDescent="0.25">
      <c r="A332"/>
      <c r="B332"/>
      <c r="C332"/>
      <c r="D332"/>
      <c r="E332"/>
      <c r="F332"/>
      <c r="G332"/>
      <c r="H332"/>
      <c r="I332"/>
    </row>
    <row r="333" spans="1:9" x14ac:dyDescent="0.25">
      <c r="A333"/>
      <c r="B333"/>
      <c r="C333"/>
      <c r="D333"/>
      <c r="E333"/>
      <c r="F333"/>
      <c r="G333"/>
      <c r="H333"/>
      <c r="I333"/>
    </row>
    <row r="334" spans="1:9" x14ac:dyDescent="0.25">
      <c r="A334"/>
      <c r="B334"/>
      <c r="C334"/>
      <c r="D334"/>
      <c r="E334"/>
      <c r="F334"/>
      <c r="G334"/>
      <c r="H334"/>
      <c r="I334"/>
    </row>
    <row r="335" spans="1:9" x14ac:dyDescent="0.25">
      <c r="A335"/>
      <c r="B335"/>
      <c r="C335"/>
      <c r="D335"/>
      <c r="E335"/>
      <c r="F335"/>
      <c r="G335"/>
      <c r="H335"/>
      <c r="I335"/>
    </row>
    <row r="336" spans="1:9" x14ac:dyDescent="0.25">
      <c r="A336"/>
      <c r="B336"/>
      <c r="C336"/>
      <c r="D336"/>
      <c r="E336"/>
      <c r="F336"/>
      <c r="G336"/>
      <c r="H336"/>
      <c r="I336"/>
    </row>
    <row r="337" spans="1:9" x14ac:dyDescent="0.25">
      <c r="A337"/>
      <c r="B337"/>
      <c r="C337"/>
      <c r="D337"/>
      <c r="E337"/>
      <c r="F337"/>
      <c r="G337"/>
      <c r="H337"/>
      <c r="I337"/>
    </row>
    <row r="338" spans="1:9" x14ac:dyDescent="0.25">
      <c r="A338"/>
      <c r="B338"/>
      <c r="C338"/>
      <c r="D338"/>
      <c r="E338"/>
      <c r="F338"/>
      <c r="G338"/>
      <c r="H338"/>
      <c r="I338"/>
    </row>
    <row r="339" spans="1:9" x14ac:dyDescent="0.25">
      <c r="A339"/>
      <c r="B339"/>
      <c r="C339"/>
      <c r="D339"/>
      <c r="E339"/>
      <c r="F339"/>
      <c r="G339"/>
      <c r="H339"/>
      <c r="I339"/>
    </row>
    <row r="340" spans="1:9" x14ac:dyDescent="0.25">
      <c r="A340"/>
      <c r="B340"/>
      <c r="C340"/>
      <c r="D340"/>
      <c r="E340"/>
      <c r="F340"/>
      <c r="G340"/>
      <c r="H340"/>
      <c r="I340"/>
    </row>
    <row r="341" spans="1:9" x14ac:dyDescent="0.25">
      <c r="A341"/>
      <c r="B341"/>
      <c r="C341"/>
      <c r="D341"/>
      <c r="E341"/>
      <c r="F341"/>
      <c r="G341"/>
      <c r="H341"/>
      <c r="I341"/>
    </row>
    <row r="342" spans="1:9" x14ac:dyDescent="0.25">
      <c r="A342"/>
      <c r="B342"/>
      <c r="C342"/>
      <c r="D342"/>
      <c r="E342"/>
      <c r="F342"/>
      <c r="G342"/>
      <c r="H342"/>
      <c r="I342"/>
    </row>
    <row r="343" spans="1:9" x14ac:dyDescent="0.25">
      <c r="A343"/>
      <c r="B343"/>
      <c r="C343"/>
      <c r="D343"/>
      <c r="E343"/>
      <c r="F343"/>
      <c r="G343"/>
      <c r="H343"/>
      <c r="I343"/>
    </row>
    <row r="344" spans="1:9" x14ac:dyDescent="0.25">
      <c r="A344"/>
      <c r="B344"/>
      <c r="C344"/>
      <c r="D344"/>
      <c r="E344"/>
      <c r="F344"/>
      <c r="G344"/>
      <c r="H344"/>
      <c r="I344"/>
    </row>
    <row r="345" spans="1:9" x14ac:dyDescent="0.25">
      <c r="A345"/>
      <c r="B345"/>
      <c r="C345"/>
      <c r="D345"/>
      <c r="E345"/>
      <c r="F345"/>
      <c r="G345"/>
      <c r="H345"/>
      <c r="I345"/>
    </row>
    <row r="346" spans="1:9" x14ac:dyDescent="0.25">
      <c r="A346"/>
      <c r="B346"/>
      <c r="C346"/>
      <c r="D346"/>
      <c r="E346"/>
      <c r="F346"/>
      <c r="G346"/>
      <c r="H346"/>
      <c r="I346"/>
    </row>
    <row r="347" spans="1:9" x14ac:dyDescent="0.25">
      <c r="A347"/>
      <c r="B347"/>
      <c r="C347"/>
      <c r="D347"/>
      <c r="E347"/>
      <c r="F347"/>
      <c r="G347"/>
      <c r="H347"/>
      <c r="I347"/>
    </row>
    <row r="348" spans="1:9" x14ac:dyDescent="0.25">
      <c r="A348"/>
      <c r="B348"/>
      <c r="C348"/>
      <c r="D348"/>
      <c r="E348"/>
      <c r="F348"/>
      <c r="G348"/>
      <c r="H348"/>
      <c r="I348"/>
    </row>
    <row r="349" spans="1:9" x14ac:dyDescent="0.25">
      <c r="A349"/>
      <c r="B349"/>
      <c r="C349"/>
      <c r="D349"/>
      <c r="E349"/>
      <c r="F349"/>
      <c r="G349"/>
      <c r="H349"/>
      <c r="I349"/>
    </row>
    <row r="350" spans="1:9" x14ac:dyDescent="0.25">
      <c r="A350"/>
      <c r="B350"/>
      <c r="C350"/>
      <c r="D350"/>
      <c r="E350"/>
      <c r="F350"/>
      <c r="G350"/>
      <c r="H350"/>
      <c r="I350"/>
    </row>
    <row r="351" spans="1:9" x14ac:dyDescent="0.25">
      <c r="A351"/>
      <c r="B351"/>
      <c r="C351"/>
      <c r="D351"/>
      <c r="E351"/>
      <c r="F351"/>
      <c r="G351"/>
      <c r="H351"/>
      <c r="I351"/>
    </row>
    <row r="352" spans="1:9" x14ac:dyDescent="0.25">
      <c r="A352"/>
      <c r="B352"/>
      <c r="C352"/>
      <c r="D352"/>
      <c r="E352"/>
      <c r="F352"/>
      <c r="G352"/>
      <c r="H352"/>
      <c r="I352"/>
    </row>
    <row r="353" spans="1:9" x14ac:dyDescent="0.25">
      <c r="A353"/>
      <c r="B353"/>
      <c r="C353"/>
      <c r="D353"/>
      <c r="E353"/>
      <c r="F353"/>
      <c r="G353"/>
      <c r="H353"/>
      <c r="I353"/>
    </row>
    <row r="354" spans="1:9" x14ac:dyDescent="0.25">
      <c r="A354"/>
      <c r="B354"/>
      <c r="C354"/>
      <c r="D354"/>
      <c r="E354"/>
      <c r="F354"/>
      <c r="G354"/>
      <c r="H354"/>
      <c r="I354"/>
    </row>
    <row r="355" spans="1:9" x14ac:dyDescent="0.25">
      <c r="A355"/>
      <c r="B355"/>
      <c r="C355"/>
      <c r="D355"/>
      <c r="E355"/>
      <c r="F355"/>
      <c r="G355"/>
      <c r="H355"/>
      <c r="I355"/>
    </row>
    <row r="356" spans="1:9" x14ac:dyDescent="0.25">
      <c r="A356"/>
      <c r="B356"/>
      <c r="C356"/>
      <c r="D356"/>
      <c r="E356"/>
      <c r="F356"/>
      <c r="G356"/>
      <c r="H356"/>
      <c r="I356"/>
    </row>
    <row r="357" spans="1:9" x14ac:dyDescent="0.25">
      <c r="A357"/>
      <c r="B357"/>
      <c r="C357"/>
      <c r="D357"/>
      <c r="E357"/>
      <c r="F357"/>
      <c r="G357"/>
      <c r="H357"/>
      <c r="I357"/>
    </row>
    <row r="358" spans="1:9" x14ac:dyDescent="0.25">
      <c r="A358"/>
      <c r="B358"/>
      <c r="C358"/>
      <c r="D358"/>
      <c r="E358"/>
      <c r="F358"/>
      <c r="G358"/>
      <c r="H358"/>
      <c r="I358"/>
    </row>
    <row r="359" spans="1:9" x14ac:dyDescent="0.25">
      <c r="A359"/>
      <c r="B359"/>
      <c r="C359"/>
      <c r="D359"/>
      <c r="E359"/>
      <c r="F359"/>
      <c r="G359"/>
      <c r="H359"/>
      <c r="I359"/>
    </row>
    <row r="360" spans="1:9" x14ac:dyDescent="0.25">
      <c r="A360"/>
      <c r="B360"/>
      <c r="C360"/>
      <c r="D360"/>
      <c r="E360"/>
      <c r="F360"/>
      <c r="G360"/>
      <c r="H360"/>
      <c r="I360"/>
    </row>
    <row r="361" spans="1:9" x14ac:dyDescent="0.25">
      <c r="A361"/>
      <c r="B361"/>
      <c r="C361"/>
      <c r="D361"/>
      <c r="E361"/>
      <c r="F361"/>
      <c r="G361"/>
      <c r="H361"/>
      <c r="I361"/>
    </row>
    <row r="362" spans="1:9" x14ac:dyDescent="0.25">
      <c r="A362"/>
      <c r="B362"/>
      <c r="C362"/>
      <c r="D362"/>
      <c r="E362"/>
      <c r="F362"/>
      <c r="G362"/>
      <c r="H362"/>
      <c r="I362"/>
    </row>
    <row r="363" spans="1:9" x14ac:dyDescent="0.25">
      <c r="A363"/>
      <c r="B363"/>
      <c r="C363"/>
      <c r="D363"/>
      <c r="E363"/>
      <c r="F363"/>
      <c r="G363"/>
      <c r="H363"/>
      <c r="I363"/>
    </row>
    <row r="364" spans="1:9" x14ac:dyDescent="0.25">
      <c r="A364"/>
      <c r="B364"/>
      <c r="C364"/>
      <c r="D364"/>
      <c r="E364"/>
      <c r="F364"/>
      <c r="G364"/>
      <c r="H364"/>
      <c r="I364"/>
    </row>
    <row r="365" spans="1:9" x14ac:dyDescent="0.25">
      <c r="A365"/>
      <c r="B365"/>
      <c r="C365"/>
      <c r="D365"/>
      <c r="E365"/>
      <c r="F365"/>
      <c r="G365"/>
      <c r="H365"/>
      <c r="I365"/>
    </row>
    <row r="366" spans="1:9" x14ac:dyDescent="0.25">
      <c r="A366"/>
      <c r="B366"/>
      <c r="C366"/>
      <c r="D366"/>
      <c r="E366"/>
      <c r="F366"/>
      <c r="G366"/>
      <c r="H366"/>
      <c r="I366"/>
    </row>
    <row r="367" spans="1:9" x14ac:dyDescent="0.25">
      <c r="A367"/>
      <c r="B367"/>
      <c r="C367"/>
      <c r="D367"/>
      <c r="E367"/>
      <c r="F367"/>
      <c r="G367"/>
      <c r="H367"/>
      <c r="I367"/>
    </row>
    <row r="368" spans="1:9" x14ac:dyDescent="0.25">
      <c r="A368"/>
      <c r="B368"/>
      <c r="C368"/>
      <c r="D368"/>
      <c r="E368"/>
      <c r="F368"/>
      <c r="G368"/>
      <c r="H368"/>
      <c r="I368"/>
    </row>
    <row r="369" spans="1:9" x14ac:dyDescent="0.25">
      <c r="A369"/>
      <c r="B369"/>
      <c r="C369"/>
      <c r="D369"/>
      <c r="E369"/>
      <c r="F369"/>
      <c r="G369"/>
      <c r="H369"/>
      <c r="I369"/>
    </row>
    <row r="370" spans="1:9" x14ac:dyDescent="0.25">
      <c r="A370"/>
      <c r="B370"/>
      <c r="C370"/>
      <c r="D370"/>
      <c r="E370"/>
      <c r="F370"/>
      <c r="G370"/>
      <c r="H370"/>
      <c r="I370"/>
    </row>
    <row r="371" spans="1:9" x14ac:dyDescent="0.25">
      <c r="A371"/>
      <c r="B371"/>
      <c r="C371"/>
      <c r="D371"/>
      <c r="E371"/>
      <c r="F371"/>
      <c r="G371"/>
      <c r="H371"/>
      <c r="I371"/>
    </row>
    <row r="372" spans="1:9" x14ac:dyDescent="0.25">
      <c r="A372"/>
      <c r="B372"/>
      <c r="C372"/>
      <c r="D372"/>
      <c r="E372"/>
      <c r="F372"/>
      <c r="G372"/>
      <c r="H372"/>
      <c r="I372"/>
    </row>
    <row r="373" spans="1:9" x14ac:dyDescent="0.25">
      <c r="A373"/>
      <c r="B373"/>
      <c r="C373"/>
      <c r="D373"/>
      <c r="E373"/>
      <c r="F373"/>
      <c r="G373"/>
      <c r="H373"/>
      <c r="I373"/>
    </row>
    <row r="374" spans="1:9" x14ac:dyDescent="0.25">
      <c r="A374"/>
      <c r="B374"/>
      <c r="C374"/>
      <c r="D374"/>
      <c r="E374"/>
      <c r="F374"/>
      <c r="G374"/>
      <c r="H374"/>
      <c r="I374"/>
    </row>
    <row r="375" spans="1:9" x14ac:dyDescent="0.25">
      <c r="A375"/>
      <c r="B375"/>
      <c r="C375"/>
      <c r="D375"/>
      <c r="E375"/>
      <c r="F375"/>
      <c r="G375"/>
      <c r="H375"/>
      <c r="I375"/>
    </row>
    <row r="376" spans="1:9" x14ac:dyDescent="0.25">
      <c r="A376"/>
      <c r="B376"/>
      <c r="C376"/>
      <c r="D376"/>
      <c r="E376"/>
      <c r="F376"/>
      <c r="G376"/>
      <c r="H376"/>
      <c r="I376"/>
    </row>
    <row r="377" spans="1:9" x14ac:dyDescent="0.25">
      <c r="A377"/>
      <c r="B377"/>
      <c r="C377"/>
      <c r="D377"/>
      <c r="E377"/>
      <c r="F377"/>
      <c r="G377"/>
      <c r="H377"/>
      <c r="I377"/>
    </row>
    <row r="378" spans="1:9" x14ac:dyDescent="0.25">
      <c r="A378"/>
      <c r="B378"/>
      <c r="C378"/>
      <c r="D378"/>
      <c r="E378"/>
      <c r="F378"/>
      <c r="G378"/>
      <c r="H378"/>
      <c r="I378"/>
    </row>
    <row r="379" spans="1:9" x14ac:dyDescent="0.25">
      <c r="A379"/>
      <c r="B379"/>
      <c r="C379"/>
      <c r="D379"/>
      <c r="E379"/>
      <c r="F379"/>
      <c r="G379"/>
      <c r="H379"/>
      <c r="I379"/>
    </row>
    <row r="380" spans="1:9" x14ac:dyDescent="0.25">
      <c r="A380"/>
      <c r="B380"/>
      <c r="C380"/>
      <c r="D380"/>
      <c r="E380"/>
      <c r="F380"/>
      <c r="G380"/>
      <c r="H380"/>
      <c r="I380"/>
    </row>
    <row r="381" spans="1:9" x14ac:dyDescent="0.25">
      <c r="A381"/>
      <c r="B381"/>
      <c r="C381"/>
      <c r="D381"/>
      <c r="E381"/>
      <c r="F381"/>
      <c r="G381"/>
      <c r="H381"/>
      <c r="I381"/>
    </row>
    <row r="382" spans="1:9" x14ac:dyDescent="0.25">
      <c r="A382"/>
      <c r="B382"/>
      <c r="C382"/>
      <c r="D382"/>
      <c r="E382"/>
      <c r="F382"/>
      <c r="G382"/>
      <c r="H382"/>
      <c r="I382"/>
    </row>
    <row r="383" spans="1:9" x14ac:dyDescent="0.25">
      <c r="A383"/>
      <c r="B383"/>
      <c r="C383"/>
      <c r="D383"/>
      <c r="E383"/>
      <c r="F383"/>
      <c r="G383"/>
      <c r="H383"/>
      <c r="I383"/>
    </row>
    <row r="384" spans="1:9" x14ac:dyDescent="0.25">
      <c r="A384"/>
      <c r="B384"/>
      <c r="C384"/>
      <c r="D384"/>
      <c r="E384"/>
      <c r="F384"/>
      <c r="G384"/>
      <c r="H384"/>
      <c r="I384"/>
    </row>
    <row r="385" spans="1:9" x14ac:dyDescent="0.25">
      <c r="A385"/>
      <c r="B385"/>
      <c r="C385"/>
      <c r="D385"/>
      <c r="E385"/>
      <c r="F385"/>
      <c r="G385"/>
      <c r="H385"/>
      <c r="I385"/>
    </row>
    <row r="386" spans="1:9" x14ac:dyDescent="0.25">
      <c r="A386"/>
      <c r="B386"/>
      <c r="C386"/>
      <c r="D386"/>
      <c r="E386"/>
      <c r="F386"/>
      <c r="G386"/>
      <c r="H386"/>
      <c r="I386"/>
    </row>
    <row r="387" spans="1:9" x14ac:dyDescent="0.25">
      <c r="A387"/>
      <c r="B387"/>
      <c r="C387"/>
      <c r="D387"/>
      <c r="E387"/>
      <c r="F387"/>
      <c r="G387"/>
      <c r="H387"/>
      <c r="I387"/>
    </row>
    <row r="388" spans="1:9" x14ac:dyDescent="0.25">
      <c r="A388"/>
      <c r="B388"/>
      <c r="C388"/>
      <c r="D388"/>
      <c r="E388"/>
      <c r="F388"/>
      <c r="G388"/>
      <c r="H388"/>
      <c r="I388"/>
    </row>
    <row r="389" spans="1:9" x14ac:dyDescent="0.25">
      <c r="A389"/>
      <c r="B389"/>
      <c r="C389"/>
      <c r="D389"/>
      <c r="E389"/>
      <c r="F389"/>
      <c r="G389"/>
      <c r="H389"/>
      <c r="I389"/>
    </row>
    <row r="390" spans="1:9" x14ac:dyDescent="0.25">
      <c r="A390"/>
      <c r="B390"/>
      <c r="C390"/>
      <c r="D390"/>
      <c r="E390"/>
      <c r="F390"/>
      <c r="G390"/>
      <c r="H390"/>
      <c r="I390"/>
    </row>
    <row r="391" spans="1:9" x14ac:dyDescent="0.25">
      <c r="A391"/>
      <c r="B391"/>
      <c r="C391"/>
      <c r="D391"/>
      <c r="E391"/>
      <c r="F391"/>
      <c r="G391"/>
      <c r="H391"/>
      <c r="I391"/>
    </row>
    <row r="392" spans="1:9" x14ac:dyDescent="0.25">
      <c r="A392"/>
      <c r="B392"/>
      <c r="C392"/>
      <c r="D392"/>
      <c r="E392"/>
      <c r="F392"/>
      <c r="G392"/>
      <c r="H392"/>
      <c r="I392"/>
    </row>
    <row r="393" spans="1:9" x14ac:dyDescent="0.25">
      <c r="A393"/>
      <c r="B393"/>
      <c r="C393"/>
      <c r="D393"/>
      <c r="E393"/>
      <c r="F393"/>
      <c r="G393"/>
      <c r="H393"/>
      <c r="I393"/>
    </row>
    <row r="394" spans="1:9" x14ac:dyDescent="0.25">
      <c r="A394"/>
      <c r="B394"/>
      <c r="C394"/>
      <c r="D394"/>
      <c r="E394"/>
      <c r="F394"/>
      <c r="G394"/>
      <c r="H394"/>
      <c r="I394"/>
    </row>
    <row r="395" spans="1:9" x14ac:dyDescent="0.25">
      <c r="A395"/>
      <c r="B395"/>
      <c r="C395"/>
      <c r="D395"/>
      <c r="E395"/>
      <c r="F395"/>
      <c r="G395"/>
      <c r="H395"/>
      <c r="I395"/>
    </row>
    <row r="396" spans="1:9" x14ac:dyDescent="0.25">
      <c r="A396"/>
      <c r="B396"/>
      <c r="C396"/>
      <c r="D396"/>
      <c r="E396"/>
      <c r="F396"/>
      <c r="G396"/>
      <c r="H396"/>
      <c r="I396"/>
    </row>
    <row r="397" spans="1:9" x14ac:dyDescent="0.25">
      <c r="A397"/>
      <c r="B397"/>
      <c r="C397"/>
      <c r="D397"/>
      <c r="E397"/>
      <c r="F397"/>
      <c r="G397"/>
      <c r="H397"/>
      <c r="I397"/>
    </row>
    <row r="398" spans="1:9" x14ac:dyDescent="0.25">
      <c r="A398"/>
      <c r="B398"/>
      <c r="C398"/>
      <c r="D398"/>
      <c r="E398"/>
      <c r="F398"/>
      <c r="G398"/>
      <c r="H398"/>
      <c r="I398"/>
    </row>
    <row r="399" spans="1:9" x14ac:dyDescent="0.25">
      <c r="A399"/>
      <c r="B399"/>
      <c r="C399"/>
      <c r="D399"/>
      <c r="E399"/>
      <c r="F399"/>
      <c r="G399"/>
      <c r="H399"/>
      <c r="I399"/>
    </row>
    <row r="400" spans="1:9" x14ac:dyDescent="0.25">
      <c r="A400"/>
      <c r="B400"/>
      <c r="C400"/>
      <c r="D400"/>
      <c r="E400"/>
      <c r="F400"/>
      <c r="G400"/>
      <c r="H400"/>
      <c r="I400"/>
    </row>
    <row r="401" spans="1:9" x14ac:dyDescent="0.25">
      <c r="A401"/>
      <c r="B401"/>
      <c r="C401"/>
      <c r="D401"/>
      <c r="E401"/>
      <c r="F401"/>
      <c r="G401"/>
      <c r="H401"/>
      <c r="I401"/>
    </row>
    <row r="402" spans="1:9" x14ac:dyDescent="0.25">
      <c r="A402"/>
      <c r="B402"/>
      <c r="C402"/>
      <c r="D402"/>
      <c r="E402"/>
      <c r="F402"/>
      <c r="G402"/>
      <c r="H402"/>
      <c r="I402"/>
    </row>
    <row r="403" spans="1:9" x14ac:dyDescent="0.25">
      <c r="A403"/>
      <c r="B403"/>
      <c r="C403"/>
      <c r="D403"/>
      <c r="E403"/>
      <c r="F403"/>
      <c r="G403"/>
      <c r="H403"/>
      <c r="I403"/>
    </row>
    <row r="404" spans="1:9" x14ac:dyDescent="0.25">
      <c r="A404"/>
      <c r="B404"/>
      <c r="C404"/>
      <c r="D404"/>
      <c r="E404"/>
      <c r="F404"/>
      <c r="G404"/>
      <c r="H404"/>
      <c r="I404"/>
    </row>
    <row r="405" spans="1:9" x14ac:dyDescent="0.25">
      <c r="A405"/>
      <c r="B405"/>
      <c r="C405"/>
      <c r="D405"/>
      <c r="E405"/>
      <c r="F405"/>
      <c r="G405"/>
      <c r="H405"/>
      <c r="I405"/>
    </row>
    <row r="406" spans="1:9" x14ac:dyDescent="0.25">
      <c r="A406"/>
      <c r="B406"/>
      <c r="C406"/>
      <c r="D406"/>
      <c r="E406"/>
      <c r="F406"/>
      <c r="G406"/>
      <c r="H406"/>
      <c r="I406"/>
    </row>
    <row r="407" spans="1:9" x14ac:dyDescent="0.25">
      <c r="A407"/>
      <c r="B407"/>
      <c r="C407"/>
      <c r="D407"/>
      <c r="E407"/>
      <c r="F407"/>
      <c r="G407"/>
      <c r="H407"/>
      <c r="I407"/>
    </row>
    <row r="408" spans="1:9" x14ac:dyDescent="0.25">
      <c r="A408"/>
      <c r="B408"/>
      <c r="C408"/>
      <c r="D408"/>
      <c r="E408"/>
      <c r="F408"/>
      <c r="G408"/>
      <c r="H408"/>
      <c r="I408"/>
    </row>
    <row r="409" spans="1:9" x14ac:dyDescent="0.25">
      <c r="A409"/>
      <c r="B409"/>
      <c r="C409"/>
      <c r="D409"/>
      <c r="E409"/>
      <c r="F409"/>
      <c r="G409"/>
      <c r="H409"/>
      <c r="I409"/>
    </row>
    <row r="410" spans="1:9" x14ac:dyDescent="0.25">
      <c r="A410"/>
      <c r="B410"/>
      <c r="C410"/>
      <c r="D410"/>
      <c r="E410"/>
      <c r="F410"/>
      <c r="G410"/>
      <c r="H410"/>
      <c r="I410"/>
    </row>
    <row r="411" spans="1:9" x14ac:dyDescent="0.25">
      <c r="A411"/>
      <c r="B411"/>
      <c r="C411"/>
      <c r="D411"/>
      <c r="E411"/>
      <c r="F411"/>
      <c r="G411"/>
      <c r="H411"/>
      <c r="I411"/>
    </row>
    <row r="412" spans="1:9" x14ac:dyDescent="0.25">
      <c r="A412"/>
      <c r="B412"/>
      <c r="C412"/>
      <c r="D412"/>
      <c r="E412"/>
      <c r="F412"/>
      <c r="G412"/>
      <c r="H412"/>
      <c r="I412"/>
    </row>
    <row r="413" spans="1:9" x14ac:dyDescent="0.25">
      <c r="A413"/>
      <c r="B413"/>
      <c r="C413"/>
      <c r="D413"/>
      <c r="E413"/>
      <c r="F413"/>
      <c r="G413"/>
      <c r="H413"/>
      <c r="I413"/>
    </row>
    <row r="414" spans="1:9" x14ac:dyDescent="0.25">
      <c r="A414"/>
      <c r="B414"/>
      <c r="C414"/>
      <c r="D414"/>
      <c r="E414"/>
      <c r="F414"/>
      <c r="G414"/>
      <c r="H414"/>
      <c r="I414"/>
    </row>
    <row r="415" spans="1:9" x14ac:dyDescent="0.25">
      <c r="A415"/>
      <c r="B415"/>
      <c r="C415"/>
      <c r="D415"/>
      <c r="E415"/>
      <c r="F415"/>
      <c r="G415"/>
      <c r="H415"/>
      <c r="I415"/>
    </row>
    <row r="416" spans="1:9" x14ac:dyDescent="0.25">
      <c r="A416"/>
      <c r="B416"/>
      <c r="C416"/>
      <c r="D416"/>
      <c r="E416"/>
      <c r="F416"/>
      <c r="G416"/>
      <c r="H416"/>
      <c r="I416"/>
    </row>
    <row r="417" spans="1:9" x14ac:dyDescent="0.25">
      <c r="A417"/>
      <c r="B417"/>
      <c r="C417"/>
      <c r="D417"/>
      <c r="E417"/>
      <c r="F417"/>
      <c r="G417"/>
      <c r="H417"/>
      <c r="I417"/>
    </row>
    <row r="418" spans="1:9" x14ac:dyDescent="0.25">
      <c r="A418"/>
      <c r="B418"/>
      <c r="C418"/>
      <c r="D418"/>
      <c r="E418"/>
      <c r="F418"/>
      <c r="G418"/>
      <c r="H418"/>
      <c r="I418"/>
    </row>
    <row r="419" spans="1:9" x14ac:dyDescent="0.25">
      <c r="A419"/>
      <c r="B419"/>
      <c r="C419"/>
      <c r="D419"/>
      <c r="E419"/>
      <c r="F419"/>
      <c r="G419"/>
      <c r="H419"/>
      <c r="I419"/>
    </row>
    <row r="420" spans="1:9" x14ac:dyDescent="0.25">
      <c r="A420"/>
      <c r="B420"/>
      <c r="C420"/>
      <c r="D420"/>
      <c r="E420"/>
      <c r="F420"/>
      <c r="G420"/>
      <c r="H420"/>
      <c r="I420"/>
    </row>
    <row r="421" spans="1:9" x14ac:dyDescent="0.25">
      <c r="A421"/>
      <c r="B421"/>
      <c r="C421"/>
      <c r="D421"/>
      <c r="E421"/>
      <c r="F421"/>
      <c r="G421"/>
      <c r="H421"/>
      <c r="I421"/>
    </row>
    <row r="422" spans="1:9" x14ac:dyDescent="0.25">
      <c r="A422"/>
      <c r="B422"/>
      <c r="C422"/>
      <c r="D422"/>
      <c r="E422"/>
      <c r="F422"/>
      <c r="G422"/>
      <c r="H422"/>
      <c r="I422"/>
    </row>
    <row r="423" spans="1:9" x14ac:dyDescent="0.25">
      <c r="A423"/>
      <c r="B423"/>
      <c r="C423"/>
      <c r="D423"/>
      <c r="E423"/>
      <c r="F423"/>
      <c r="G423"/>
      <c r="H423"/>
      <c r="I423"/>
    </row>
    <row r="424" spans="1:9" x14ac:dyDescent="0.25">
      <c r="A424"/>
      <c r="B424"/>
      <c r="C424"/>
      <c r="D424"/>
      <c r="E424"/>
      <c r="F424"/>
      <c r="G424"/>
      <c r="H424"/>
      <c r="I424"/>
    </row>
    <row r="425" spans="1:9" x14ac:dyDescent="0.25">
      <c r="A425"/>
      <c r="B425"/>
      <c r="C425"/>
      <c r="D425"/>
      <c r="E425"/>
      <c r="F425"/>
      <c r="G425"/>
      <c r="H425"/>
      <c r="I425"/>
    </row>
    <row r="426" spans="1:9" x14ac:dyDescent="0.25">
      <c r="A426"/>
      <c r="B426"/>
      <c r="C426"/>
      <c r="D426"/>
      <c r="E426"/>
      <c r="F426"/>
      <c r="G426"/>
      <c r="H426"/>
      <c r="I426"/>
    </row>
    <row r="427" spans="1:9" x14ac:dyDescent="0.25">
      <c r="A427"/>
      <c r="B427"/>
      <c r="C427"/>
      <c r="D427"/>
      <c r="E427"/>
      <c r="F427"/>
      <c r="G427"/>
      <c r="H427"/>
      <c r="I427"/>
    </row>
    <row r="428" spans="1:9" x14ac:dyDescent="0.25">
      <c r="A428"/>
      <c r="B428"/>
      <c r="C428"/>
      <c r="D428"/>
      <c r="E428"/>
      <c r="F428"/>
      <c r="G428"/>
      <c r="H428"/>
      <c r="I428"/>
    </row>
    <row r="429" spans="1:9" x14ac:dyDescent="0.25">
      <c r="A429"/>
      <c r="B429"/>
      <c r="C429"/>
      <c r="D429"/>
      <c r="E429"/>
      <c r="F429"/>
      <c r="G429"/>
      <c r="H429"/>
      <c r="I429"/>
    </row>
    <row r="430" spans="1:9" x14ac:dyDescent="0.25">
      <c r="A430"/>
      <c r="B430"/>
      <c r="C430"/>
      <c r="D430"/>
      <c r="E430"/>
      <c r="F430"/>
      <c r="G430"/>
      <c r="H430"/>
      <c r="I430"/>
    </row>
    <row r="431" spans="1:9" x14ac:dyDescent="0.25">
      <c r="A431"/>
      <c r="B431"/>
      <c r="C431"/>
      <c r="D431"/>
      <c r="E431"/>
      <c r="F431"/>
      <c r="G431"/>
      <c r="H431"/>
      <c r="I431"/>
    </row>
    <row r="432" spans="1:9" x14ac:dyDescent="0.25">
      <c r="A432"/>
      <c r="B432"/>
      <c r="C432"/>
      <c r="D432"/>
      <c r="E432"/>
      <c r="F432"/>
      <c r="G432"/>
      <c r="H432"/>
      <c r="I432"/>
    </row>
    <row r="433" spans="1:9" x14ac:dyDescent="0.25">
      <c r="A433"/>
      <c r="B433"/>
      <c r="C433"/>
      <c r="D433"/>
      <c r="E433"/>
      <c r="F433"/>
      <c r="G433"/>
      <c r="H433"/>
      <c r="I433"/>
    </row>
    <row r="434" spans="1:9" x14ac:dyDescent="0.25">
      <c r="A434"/>
      <c r="B434"/>
      <c r="C434"/>
      <c r="D434"/>
      <c r="E434"/>
      <c r="F434"/>
      <c r="G434"/>
      <c r="H434"/>
      <c r="I434"/>
    </row>
    <row r="435" spans="1:9" x14ac:dyDescent="0.25">
      <c r="A435"/>
      <c r="B435"/>
      <c r="C435"/>
      <c r="D435"/>
      <c r="E435"/>
      <c r="F435"/>
      <c r="G435"/>
      <c r="H435"/>
      <c r="I435"/>
    </row>
    <row r="436" spans="1:9" x14ac:dyDescent="0.25">
      <c r="A436"/>
      <c r="B436"/>
      <c r="C436"/>
      <c r="D436"/>
      <c r="E436"/>
      <c r="F436"/>
      <c r="G436"/>
      <c r="H436"/>
      <c r="I436"/>
    </row>
    <row r="437" spans="1:9" x14ac:dyDescent="0.25">
      <c r="A437"/>
      <c r="B437"/>
      <c r="C437"/>
      <c r="D437"/>
      <c r="E437"/>
      <c r="F437"/>
      <c r="G437"/>
      <c r="H437"/>
      <c r="I437"/>
    </row>
    <row r="438" spans="1:9" x14ac:dyDescent="0.25">
      <c r="A438"/>
      <c r="B438"/>
      <c r="C438"/>
      <c r="D438"/>
      <c r="E438"/>
      <c r="F438"/>
      <c r="G438"/>
      <c r="H438"/>
      <c r="I438"/>
    </row>
    <row r="439" spans="1:9" x14ac:dyDescent="0.25">
      <c r="A439"/>
      <c r="B439"/>
      <c r="C439"/>
      <c r="D439"/>
      <c r="E439"/>
      <c r="F439"/>
      <c r="G439"/>
      <c r="H439"/>
      <c r="I439"/>
    </row>
    <row r="440" spans="1:9" x14ac:dyDescent="0.25">
      <c r="A440"/>
      <c r="B440"/>
      <c r="C440"/>
      <c r="D440"/>
      <c r="E440"/>
      <c r="F440"/>
      <c r="G440"/>
      <c r="H440"/>
      <c r="I440"/>
    </row>
    <row r="441" spans="1:9" x14ac:dyDescent="0.25">
      <c r="A441"/>
      <c r="B441"/>
      <c r="C441"/>
      <c r="D441"/>
      <c r="E441"/>
      <c r="F441"/>
      <c r="G441"/>
      <c r="H441"/>
      <c r="I441"/>
    </row>
    <row r="442" spans="1:9" x14ac:dyDescent="0.25">
      <c r="A442"/>
      <c r="B442"/>
      <c r="C442"/>
      <c r="D442"/>
      <c r="E442"/>
      <c r="F442"/>
      <c r="G442"/>
      <c r="H442"/>
      <c r="I442"/>
    </row>
    <row r="443" spans="1:9" x14ac:dyDescent="0.25">
      <c r="A443"/>
      <c r="B443"/>
      <c r="C443"/>
      <c r="D443"/>
      <c r="E443"/>
      <c r="F443"/>
      <c r="G443"/>
      <c r="H443"/>
      <c r="I443"/>
    </row>
    <row r="444" spans="1:9" x14ac:dyDescent="0.25">
      <c r="A444"/>
      <c r="B444"/>
      <c r="C444"/>
      <c r="D444"/>
      <c r="E444"/>
      <c r="F444"/>
      <c r="G444"/>
      <c r="H444"/>
      <c r="I444"/>
    </row>
    <row r="445" spans="1:9" x14ac:dyDescent="0.25">
      <c r="A445"/>
      <c r="B445"/>
      <c r="C445"/>
      <c r="D445"/>
      <c r="E445"/>
      <c r="F445"/>
      <c r="G445"/>
      <c r="H445"/>
      <c r="I445"/>
    </row>
    <row r="446" spans="1:9" x14ac:dyDescent="0.25">
      <c r="A446"/>
      <c r="B446"/>
      <c r="C446"/>
      <c r="D446"/>
      <c r="E446"/>
      <c r="F446"/>
      <c r="G446"/>
      <c r="H446"/>
      <c r="I446"/>
    </row>
    <row r="447" spans="1:9" x14ac:dyDescent="0.25">
      <c r="A447"/>
      <c r="B447"/>
      <c r="C447"/>
      <c r="D447"/>
      <c r="E447"/>
      <c r="F447"/>
      <c r="G447"/>
      <c r="H447"/>
      <c r="I447"/>
    </row>
    <row r="448" spans="1:9" x14ac:dyDescent="0.25">
      <c r="A448"/>
      <c r="B448"/>
      <c r="C448"/>
      <c r="D448"/>
      <c r="E448"/>
      <c r="F448"/>
      <c r="G448"/>
      <c r="H448"/>
      <c r="I448"/>
    </row>
    <row r="449" spans="1:9" x14ac:dyDescent="0.25">
      <c r="A449"/>
      <c r="B449"/>
      <c r="C449"/>
      <c r="D449"/>
      <c r="E449"/>
      <c r="F449"/>
      <c r="G449"/>
      <c r="H449"/>
      <c r="I449"/>
    </row>
    <row r="450" spans="1:9" x14ac:dyDescent="0.25">
      <c r="A450"/>
      <c r="B450"/>
      <c r="C450"/>
      <c r="D450"/>
      <c r="E450"/>
      <c r="F450"/>
      <c r="G450"/>
      <c r="H450"/>
      <c r="I450"/>
    </row>
    <row r="451" spans="1:9" x14ac:dyDescent="0.25">
      <c r="A451"/>
      <c r="B451"/>
      <c r="C451"/>
      <c r="D451"/>
      <c r="E451"/>
      <c r="F451"/>
      <c r="G451"/>
      <c r="H451"/>
      <c r="I451"/>
    </row>
    <row r="452" spans="1:9" x14ac:dyDescent="0.25">
      <c r="A452"/>
      <c r="B452"/>
      <c r="C452"/>
      <c r="D452"/>
      <c r="E452"/>
      <c r="F452"/>
      <c r="G452"/>
      <c r="H452"/>
      <c r="I452"/>
    </row>
    <row r="453" spans="1:9" x14ac:dyDescent="0.25">
      <c r="A453"/>
      <c r="B453"/>
      <c r="C453"/>
      <c r="D453"/>
      <c r="E453"/>
      <c r="F453"/>
      <c r="G453"/>
      <c r="H453"/>
      <c r="I453"/>
    </row>
    <row r="454" spans="1:9" x14ac:dyDescent="0.25">
      <c r="A454"/>
      <c r="B454"/>
      <c r="C454"/>
      <c r="D454"/>
      <c r="E454"/>
      <c r="F454"/>
      <c r="G454"/>
      <c r="H454"/>
      <c r="I454"/>
    </row>
    <row r="455" spans="1:9" x14ac:dyDescent="0.25">
      <c r="A455"/>
      <c r="B455"/>
      <c r="C455"/>
      <c r="D455"/>
      <c r="E455"/>
      <c r="F455"/>
      <c r="G455"/>
      <c r="H455"/>
      <c r="I455"/>
    </row>
    <row r="456" spans="1:9" x14ac:dyDescent="0.25">
      <c r="A456"/>
      <c r="B456"/>
      <c r="C456"/>
      <c r="D456"/>
      <c r="E456"/>
      <c r="F456"/>
      <c r="G456"/>
      <c r="H456"/>
      <c r="I456"/>
    </row>
    <row r="457" spans="1:9" x14ac:dyDescent="0.25">
      <c r="A457"/>
      <c r="B457"/>
      <c r="C457"/>
      <c r="D457"/>
      <c r="E457"/>
      <c r="F457"/>
      <c r="G457"/>
      <c r="H457"/>
      <c r="I457"/>
    </row>
    <row r="458" spans="1:9" x14ac:dyDescent="0.25">
      <c r="A458"/>
      <c r="B458"/>
      <c r="C458"/>
      <c r="D458"/>
      <c r="E458"/>
      <c r="F458"/>
      <c r="G458"/>
      <c r="H458"/>
      <c r="I458"/>
    </row>
    <row r="459" spans="1:9" x14ac:dyDescent="0.25">
      <c r="A459"/>
      <c r="B459"/>
      <c r="C459"/>
      <c r="D459"/>
      <c r="E459"/>
      <c r="F459"/>
      <c r="G459"/>
      <c r="H459"/>
      <c r="I459"/>
    </row>
    <row r="460" spans="1:9" x14ac:dyDescent="0.25">
      <c r="A460"/>
      <c r="B460"/>
      <c r="C460"/>
      <c r="D460"/>
      <c r="E460"/>
      <c r="F460"/>
      <c r="G460"/>
      <c r="H460"/>
      <c r="I460"/>
    </row>
    <row r="461" spans="1:9" x14ac:dyDescent="0.25">
      <c r="A461"/>
      <c r="B461"/>
      <c r="C461"/>
      <c r="D461"/>
      <c r="E461"/>
      <c r="F461"/>
      <c r="G461"/>
      <c r="H461"/>
      <c r="I461"/>
    </row>
    <row r="462" spans="1:9" x14ac:dyDescent="0.25">
      <c r="A462"/>
      <c r="B462"/>
      <c r="C462"/>
      <c r="D462"/>
      <c r="E462"/>
      <c r="F462"/>
      <c r="G462"/>
      <c r="H462"/>
      <c r="I462"/>
    </row>
    <row r="463" spans="1:9" x14ac:dyDescent="0.25">
      <c r="A463"/>
      <c r="B463"/>
      <c r="C463"/>
      <c r="D463"/>
      <c r="E463"/>
      <c r="F463"/>
      <c r="G463"/>
      <c r="H463"/>
      <c r="I463"/>
    </row>
    <row r="464" spans="1:9" x14ac:dyDescent="0.25">
      <c r="A464"/>
      <c r="B464"/>
      <c r="C464"/>
      <c r="D464"/>
      <c r="E464"/>
      <c r="F464"/>
      <c r="G464"/>
      <c r="H464"/>
      <c r="I464"/>
    </row>
    <row r="465" spans="1:9" x14ac:dyDescent="0.25">
      <c r="A465"/>
      <c r="B465"/>
      <c r="C465"/>
      <c r="D465"/>
      <c r="E465"/>
      <c r="F465"/>
      <c r="G465"/>
      <c r="H465"/>
      <c r="I465"/>
    </row>
    <row r="466" spans="1:9" x14ac:dyDescent="0.25">
      <c r="A466"/>
      <c r="B466"/>
      <c r="C466"/>
      <c r="D466"/>
      <c r="E466"/>
      <c r="F466"/>
      <c r="G466"/>
      <c r="H466"/>
      <c r="I466"/>
    </row>
    <row r="467" spans="1:9" x14ac:dyDescent="0.25">
      <c r="A467"/>
      <c r="B467"/>
      <c r="C467"/>
      <c r="D467"/>
      <c r="E467"/>
      <c r="F467"/>
      <c r="G467"/>
      <c r="H467"/>
      <c r="I467"/>
    </row>
    <row r="468" spans="1:9" x14ac:dyDescent="0.25">
      <c r="A468"/>
      <c r="B468"/>
      <c r="C468"/>
      <c r="D468"/>
      <c r="E468"/>
      <c r="F468"/>
      <c r="G468"/>
      <c r="H468"/>
      <c r="I468"/>
    </row>
    <row r="469" spans="1:9" x14ac:dyDescent="0.25">
      <c r="A469"/>
      <c r="B469"/>
      <c r="C469"/>
      <c r="D469"/>
      <c r="E469"/>
      <c r="F469"/>
      <c r="G469"/>
      <c r="H469"/>
      <c r="I469"/>
    </row>
    <row r="470" spans="1:9" x14ac:dyDescent="0.25">
      <c r="A470"/>
      <c r="B470"/>
      <c r="C470"/>
      <c r="D470"/>
      <c r="E470"/>
      <c r="F470"/>
      <c r="G470"/>
      <c r="H470"/>
      <c r="I470"/>
    </row>
    <row r="471" spans="1:9" x14ac:dyDescent="0.25">
      <c r="A471"/>
      <c r="B471"/>
      <c r="C471"/>
      <c r="D471"/>
      <c r="E471"/>
      <c r="F471"/>
      <c r="G471"/>
      <c r="H471"/>
      <c r="I471"/>
    </row>
    <row r="472" spans="1:9" x14ac:dyDescent="0.25">
      <c r="A472"/>
      <c r="B472"/>
      <c r="C472"/>
      <c r="D472"/>
      <c r="E472"/>
      <c r="F472"/>
      <c r="G472"/>
      <c r="H472"/>
      <c r="I472"/>
    </row>
    <row r="473" spans="1:9" x14ac:dyDescent="0.25">
      <c r="A473"/>
      <c r="B473"/>
      <c r="C473"/>
      <c r="D473"/>
      <c r="E473"/>
      <c r="F473"/>
      <c r="G473"/>
      <c r="H473"/>
      <c r="I473"/>
    </row>
    <row r="474" spans="1:9" x14ac:dyDescent="0.25">
      <c r="A474"/>
      <c r="B474"/>
      <c r="C474"/>
      <c r="D474"/>
      <c r="E474"/>
      <c r="F474"/>
      <c r="G474"/>
      <c r="H474"/>
      <c r="I474"/>
    </row>
    <row r="475" spans="1:9" x14ac:dyDescent="0.25">
      <c r="A475"/>
      <c r="B475"/>
      <c r="C475"/>
      <c r="D475"/>
      <c r="E475"/>
      <c r="F475"/>
      <c r="G475"/>
      <c r="H475"/>
      <c r="I475"/>
    </row>
    <row r="476" spans="1:9" x14ac:dyDescent="0.25">
      <c r="A476"/>
      <c r="B476"/>
      <c r="C476"/>
      <c r="D476"/>
      <c r="E476"/>
      <c r="F476"/>
      <c r="G476"/>
      <c r="H476"/>
      <c r="I476"/>
    </row>
    <row r="477" spans="1:9" x14ac:dyDescent="0.25">
      <c r="A477"/>
      <c r="B477"/>
      <c r="C477"/>
      <c r="D477"/>
      <c r="E477"/>
      <c r="F477"/>
      <c r="G477"/>
      <c r="H477"/>
      <c r="I477"/>
    </row>
    <row r="478" spans="1:9" x14ac:dyDescent="0.25">
      <c r="A478"/>
      <c r="B478"/>
      <c r="C478"/>
      <c r="D478"/>
      <c r="E478"/>
      <c r="F478"/>
      <c r="G478"/>
      <c r="H478"/>
      <c r="I478"/>
    </row>
    <row r="479" spans="1:9" x14ac:dyDescent="0.25">
      <c r="A479"/>
      <c r="B479"/>
      <c r="C479"/>
      <c r="D479"/>
      <c r="E479"/>
      <c r="F479"/>
      <c r="G479"/>
      <c r="H479"/>
      <c r="I479"/>
    </row>
    <row r="480" spans="1:9" x14ac:dyDescent="0.25">
      <c r="A480"/>
      <c r="B480"/>
      <c r="C480"/>
      <c r="D480"/>
      <c r="E480"/>
      <c r="F480"/>
      <c r="G480"/>
      <c r="H480"/>
      <c r="I480"/>
    </row>
    <row r="481" spans="1:9" x14ac:dyDescent="0.25">
      <c r="A481"/>
      <c r="B481"/>
      <c r="C481"/>
      <c r="D481"/>
      <c r="E481"/>
      <c r="F481"/>
      <c r="G481"/>
      <c r="H481"/>
      <c r="I481"/>
    </row>
    <row r="482" spans="1:9" x14ac:dyDescent="0.25">
      <c r="A482"/>
      <c r="B482"/>
      <c r="C482"/>
      <c r="D482"/>
      <c r="E482"/>
      <c r="F482"/>
      <c r="G482"/>
      <c r="H482"/>
      <c r="I482"/>
    </row>
    <row r="483" spans="1:9" x14ac:dyDescent="0.25">
      <c r="A483"/>
      <c r="B483"/>
      <c r="C483"/>
      <c r="D483"/>
      <c r="E483"/>
      <c r="F483"/>
      <c r="G483"/>
      <c r="H483"/>
      <c r="I483"/>
    </row>
    <row r="484" spans="1:9" x14ac:dyDescent="0.25">
      <c r="A484"/>
      <c r="B484"/>
      <c r="C484"/>
      <c r="D484"/>
      <c r="E484"/>
      <c r="F484"/>
      <c r="G484"/>
      <c r="H484"/>
      <c r="I484"/>
    </row>
    <row r="485" spans="1:9" x14ac:dyDescent="0.25">
      <c r="A485"/>
      <c r="B485"/>
      <c r="C485"/>
      <c r="D485"/>
      <c r="E485"/>
      <c r="F485"/>
      <c r="G485"/>
      <c r="H485"/>
      <c r="I485"/>
    </row>
    <row r="486" spans="1:9" x14ac:dyDescent="0.25">
      <c r="A486"/>
      <c r="B486"/>
      <c r="C486"/>
      <c r="D486"/>
      <c r="E486"/>
      <c r="F486"/>
      <c r="G486"/>
      <c r="H486"/>
      <c r="I486"/>
    </row>
    <row r="487" spans="1:9" x14ac:dyDescent="0.25">
      <c r="A487"/>
      <c r="B487"/>
      <c r="C487"/>
      <c r="D487"/>
      <c r="E487"/>
      <c r="F487"/>
      <c r="G487"/>
      <c r="H487"/>
      <c r="I487"/>
    </row>
    <row r="488" spans="1:9" x14ac:dyDescent="0.25">
      <c r="A488"/>
      <c r="B488"/>
      <c r="C488"/>
      <c r="D488"/>
      <c r="E488"/>
      <c r="F488"/>
      <c r="G488"/>
      <c r="H488"/>
      <c r="I488"/>
    </row>
    <row r="489" spans="1:9" x14ac:dyDescent="0.25">
      <c r="A489"/>
      <c r="B489"/>
      <c r="C489"/>
      <c r="D489"/>
      <c r="E489"/>
      <c r="F489"/>
      <c r="G489"/>
      <c r="H489"/>
      <c r="I489"/>
    </row>
    <row r="490" spans="1:9" x14ac:dyDescent="0.25">
      <c r="A490"/>
      <c r="B490"/>
      <c r="C490"/>
      <c r="D490"/>
      <c r="E490"/>
      <c r="F490"/>
      <c r="G490"/>
      <c r="H490"/>
      <c r="I490"/>
    </row>
    <row r="491" spans="1:9" x14ac:dyDescent="0.25">
      <c r="A491"/>
      <c r="B491"/>
      <c r="C491"/>
      <c r="D491"/>
      <c r="E491"/>
      <c r="F491"/>
      <c r="G491"/>
      <c r="H491"/>
      <c r="I491"/>
    </row>
    <row r="492" spans="1:9" x14ac:dyDescent="0.25">
      <c r="A492"/>
      <c r="B492"/>
      <c r="C492"/>
      <c r="D492"/>
      <c r="E492"/>
      <c r="F492"/>
      <c r="G492"/>
      <c r="H492"/>
      <c r="I492"/>
    </row>
    <row r="493" spans="1:9" x14ac:dyDescent="0.25">
      <c r="A493"/>
      <c r="B493"/>
      <c r="C493"/>
      <c r="D493"/>
      <c r="E493"/>
      <c r="F493"/>
      <c r="G493"/>
      <c r="H493"/>
      <c r="I493"/>
    </row>
    <row r="494" spans="1:9" x14ac:dyDescent="0.25">
      <c r="A494"/>
      <c r="B494"/>
      <c r="C494"/>
      <c r="D494"/>
      <c r="E494"/>
      <c r="F494"/>
      <c r="G494"/>
      <c r="H494"/>
      <c r="I494"/>
    </row>
    <row r="495" spans="1:9" x14ac:dyDescent="0.25">
      <c r="A495"/>
      <c r="B495"/>
      <c r="C495"/>
      <c r="D495"/>
      <c r="E495"/>
      <c r="F495"/>
      <c r="G495"/>
      <c r="H495"/>
      <c r="I495"/>
    </row>
    <row r="496" spans="1:9" x14ac:dyDescent="0.25">
      <c r="A496"/>
      <c r="B496"/>
      <c r="C496"/>
      <c r="D496"/>
      <c r="E496"/>
      <c r="F496"/>
      <c r="G496"/>
      <c r="H496"/>
      <c r="I496"/>
    </row>
    <row r="497" spans="1:9" x14ac:dyDescent="0.25">
      <c r="A497"/>
      <c r="B497"/>
      <c r="C497"/>
      <c r="D497"/>
      <c r="E497"/>
      <c r="F497"/>
      <c r="G497"/>
      <c r="H497"/>
      <c r="I497"/>
    </row>
    <row r="498" spans="1:9" x14ac:dyDescent="0.25">
      <c r="A498"/>
      <c r="B498"/>
      <c r="C498"/>
      <c r="D498"/>
      <c r="E498"/>
      <c r="F498"/>
      <c r="G498"/>
      <c r="H498"/>
      <c r="I498"/>
    </row>
    <row r="499" spans="1:9" x14ac:dyDescent="0.25">
      <c r="A499"/>
      <c r="B499"/>
      <c r="C499"/>
      <c r="D499"/>
      <c r="E499"/>
      <c r="F499"/>
      <c r="G499"/>
      <c r="H499"/>
      <c r="I499"/>
    </row>
    <row r="500" spans="1:9" x14ac:dyDescent="0.25">
      <c r="A500"/>
      <c r="B500"/>
      <c r="C500"/>
      <c r="D500"/>
      <c r="E500"/>
      <c r="F500"/>
      <c r="G500"/>
      <c r="H500"/>
      <c r="I500"/>
    </row>
    <row r="501" spans="1:9" x14ac:dyDescent="0.25">
      <c r="A501" s="36"/>
    </row>
  </sheetData>
  <mergeCells count="4">
    <mergeCell ref="A5:B5"/>
    <mergeCell ref="G5:H5"/>
    <mergeCell ref="A1:I1"/>
    <mergeCell ref="D5:E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1ED88-8677-4F7C-A5D3-3BDB0E4F1469}">
  <sheetPr codeName="Sheet6">
    <tabColor theme="5" tint="-0.249977111117893"/>
  </sheetPr>
  <dimension ref="A1:F500"/>
  <sheetViews>
    <sheetView tabSelected="1" zoomScaleNormal="100" workbookViewId="0">
      <selection activeCell="B1" sqref="B1"/>
    </sheetView>
  </sheetViews>
  <sheetFormatPr defaultRowHeight="15" x14ac:dyDescent="0.25"/>
  <cols>
    <col min="1" max="1" width="16.85546875" style="1" customWidth="1"/>
    <col min="2" max="2" width="25.5703125" style="1" customWidth="1"/>
    <col min="3" max="3" width="16.85546875" style="1" customWidth="1"/>
    <col min="4" max="5" width="9.140625" style="1"/>
    <col min="6" max="16384" width="9.140625" style="7"/>
  </cols>
  <sheetData>
    <row r="1" spans="1:6" x14ac:dyDescent="0.25">
      <c r="A1" s="31" t="s">
        <v>22</v>
      </c>
      <c r="B1" s="23"/>
      <c r="C1" s="32" t="s">
        <v>14</v>
      </c>
      <c r="D1" s="33">
        <f>DATE(YEAR(B3)+1,MONTH(B3),DAY(B3))-1</f>
        <v>365</v>
      </c>
      <c r="E1" s="33">
        <f>DATE(YEAR(B3)+1,MONTH(B3),DAY(B3))-1</f>
        <v>365</v>
      </c>
      <c r="F1" s="40"/>
    </row>
    <row r="2" spans="1:6" x14ac:dyDescent="0.25">
      <c r="A2" s="31" t="s">
        <v>23</v>
      </c>
      <c r="B2" s="23"/>
      <c r="C2" s="32" t="s">
        <v>15</v>
      </c>
      <c r="D2" s="33">
        <f>DATE(YEAR(B3)+20,MONTH(B3),DAY(B3))-1</f>
        <v>7304</v>
      </c>
      <c r="E2" s="33">
        <f>DATE(YEAR(B3)+20,MONTH(B3),DAY(B3))-1</f>
        <v>7304</v>
      </c>
    </row>
    <row r="3" spans="1:6" x14ac:dyDescent="0.25">
      <c r="A3" s="31" t="s">
        <v>24</v>
      </c>
      <c r="B3" s="41"/>
      <c r="C3" s="14" t="s">
        <v>16</v>
      </c>
      <c r="D3" s="7"/>
      <c r="E3" s="7"/>
    </row>
    <row r="4" spans="1:6" x14ac:dyDescent="0.25">
      <c r="A4" s="31" t="s">
        <v>25</v>
      </c>
      <c r="B4" s="41"/>
      <c r="C4" s="32" t="s">
        <v>18</v>
      </c>
      <c r="D4" s="7"/>
      <c r="E4" s="7"/>
    </row>
    <row r="5" spans="1:6" s="34" customFormat="1" x14ac:dyDescent="0.25">
      <c r="A5" s="29" t="s">
        <v>9</v>
      </c>
      <c r="B5" s="29" t="s">
        <v>10</v>
      </c>
      <c r="C5" s="30" t="s">
        <v>17</v>
      </c>
      <c r="D5" s="29" t="s">
        <v>12</v>
      </c>
      <c r="E5" s="29" t="s">
        <v>2</v>
      </c>
    </row>
    <row r="6" spans="1:6" x14ac:dyDescent="0.25">
      <c r="A6" s="44"/>
      <c r="B6" s="44"/>
      <c r="C6" s="23" t="s">
        <v>13</v>
      </c>
      <c r="D6" s="23">
        <f>B6-A6+1</f>
        <v>1</v>
      </c>
      <c r="E6" s="23">
        <f>A6-B3</f>
        <v>0</v>
      </c>
    </row>
    <row r="7" spans="1:6" x14ac:dyDescent="0.25">
      <c r="A7" s="44"/>
      <c r="B7" s="44"/>
      <c r="C7" s="23" t="s">
        <v>13</v>
      </c>
      <c r="D7" s="23">
        <f t="shared" ref="D7:D70" si="0">B7-A7+1</f>
        <v>1</v>
      </c>
      <c r="E7" s="23">
        <f>A7-B6-1</f>
        <v>-1</v>
      </c>
    </row>
    <row r="8" spans="1:6" x14ac:dyDescent="0.25">
      <c r="A8" s="44"/>
      <c r="B8" s="44"/>
      <c r="C8" s="23" t="s">
        <v>13</v>
      </c>
      <c r="D8" s="23">
        <f t="shared" si="0"/>
        <v>1</v>
      </c>
      <c r="E8" s="23">
        <f t="shared" ref="E8:E71" si="1">A8-B7-1</f>
        <v>-1</v>
      </c>
    </row>
    <row r="9" spans="1:6" x14ac:dyDescent="0.25">
      <c r="A9" s="44"/>
      <c r="B9" s="44"/>
      <c r="C9" s="23" t="s">
        <v>13</v>
      </c>
      <c r="D9" s="23">
        <f t="shared" si="0"/>
        <v>1</v>
      </c>
      <c r="E9" s="23">
        <f t="shared" si="1"/>
        <v>-1</v>
      </c>
    </row>
    <row r="10" spans="1:6" x14ac:dyDescent="0.25">
      <c r="A10" s="44"/>
      <c r="B10" s="44"/>
      <c r="C10" s="23" t="s">
        <v>13</v>
      </c>
      <c r="D10" s="23">
        <f t="shared" si="0"/>
        <v>1</v>
      </c>
      <c r="E10" s="23">
        <f t="shared" si="1"/>
        <v>-1</v>
      </c>
    </row>
    <row r="11" spans="1:6" x14ac:dyDescent="0.25">
      <c r="A11" s="44"/>
      <c r="B11" s="44"/>
      <c r="C11" s="23" t="s">
        <v>13</v>
      </c>
      <c r="D11" s="23">
        <f t="shared" si="0"/>
        <v>1</v>
      </c>
      <c r="E11" s="23">
        <f t="shared" si="1"/>
        <v>-1</v>
      </c>
    </row>
    <row r="12" spans="1:6" x14ac:dyDescent="0.25">
      <c r="A12" s="44"/>
      <c r="B12" s="44"/>
      <c r="C12" s="23" t="s">
        <v>13</v>
      </c>
      <c r="D12" s="23">
        <f t="shared" si="0"/>
        <v>1</v>
      </c>
      <c r="E12" s="23">
        <f t="shared" si="1"/>
        <v>-1</v>
      </c>
    </row>
    <row r="13" spans="1:6" x14ac:dyDescent="0.25">
      <c r="A13" s="44"/>
      <c r="B13" s="44"/>
      <c r="C13" s="23" t="s">
        <v>13</v>
      </c>
      <c r="D13" s="23">
        <f t="shared" si="0"/>
        <v>1</v>
      </c>
      <c r="E13" s="23">
        <f t="shared" si="1"/>
        <v>-1</v>
      </c>
    </row>
    <row r="14" spans="1:6" x14ac:dyDescent="0.25">
      <c r="A14" s="44"/>
      <c r="B14" s="44"/>
      <c r="C14" s="23" t="s">
        <v>13</v>
      </c>
      <c r="D14" s="23">
        <f t="shared" si="0"/>
        <v>1</v>
      </c>
      <c r="E14" s="23">
        <f t="shared" si="1"/>
        <v>-1</v>
      </c>
    </row>
    <row r="15" spans="1:6" x14ac:dyDescent="0.25">
      <c r="A15" s="44"/>
      <c r="B15" s="44"/>
      <c r="C15" s="23" t="s">
        <v>13</v>
      </c>
      <c r="D15" s="23">
        <f t="shared" si="0"/>
        <v>1</v>
      </c>
      <c r="E15" s="23">
        <f t="shared" si="1"/>
        <v>-1</v>
      </c>
    </row>
    <row r="16" spans="1:6" x14ac:dyDescent="0.25">
      <c r="A16" s="44"/>
      <c r="B16" s="44"/>
      <c r="C16" s="23" t="s">
        <v>13</v>
      </c>
      <c r="D16" s="23">
        <f t="shared" si="0"/>
        <v>1</v>
      </c>
      <c r="E16" s="23">
        <f t="shared" si="1"/>
        <v>-1</v>
      </c>
    </row>
    <row r="17" spans="1:5" x14ac:dyDescent="0.25">
      <c r="A17" s="44"/>
      <c r="B17" s="44"/>
      <c r="C17" s="23" t="s">
        <v>13</v>
      </c>
      <c r="D17" s="23">
        <f t="shared" si="0"/>
        <v>1</v>
      </c>
      <c r="E17" s="23">
        <f t="shared" si="1"/>
        <v>-1</v>
      </c>
    </row>
    <row r="18" spans="1:5" x14ac:dyDescent="0.25">
      <c r="A18" s="44"/>
      <c r="B18" s="44"/>
      <c r="C18" s="23" t="s">
        <v>13</v>
      </c>
      <c r="D18" s="23">
        <f t="shared" si="0"/>
        <v>1</v>
      </c>
      <c r="E18" s="23">
        <f t="shared" si="1"/>
        <v>-1</v>
      </c>
    </row>
    <row r="19" spans="1:5" x14ac:dyDescent="0.25">
      <c r="A19" s="44"/>
      <c r="B19" s="44"/>
      <c r="C19" s="23" t="s">
        <v>13</v>
      </c>
      <c r="D19" s="23">
        <f t="shared" si="0"/>
        <v>1</v>
      </c>
      <c r="E19" s="23">
        <f t="shared" si="1"/>
        <v>-1</v>
      </c>
    </row>
    <row r="20" spans="1:5" x14ac:dyDescent="0.25">
      <c r="A20" s="44"/>
      <c r="B20" s="44"/>
      <c r="C20" s="23" t="s">
        <v>13</v>
      </c>
      <c r="D20" s="23">
        <f t="shared" si="0"/>
        <v>1</v>
      </c>
      <c r="E20" s="23">
        <f t="shared" si="1"/>
        <v>-1</v>
      </c>
    </row>
    <row r="21" spans="1:5" x14ac:dyDescent="0.25">
      <c r="A21" s="44"/>
      <c r="B21" s="44"/>
      <c r="C21" s="23" t="s">
        <v>13</v>
      </c>
      <c r="D21" s="23">
        <f t="shared" si="0"/>
        <v>1</v>
      </c>
      <c r="E21" s="23">
        <f t="shared" si="1"/>
        <v>-1</v>
      </c>
    </row>
    <row r="22" spans="1:5" x14ac:dyDescent="0.25">
      <c r="A22" s="44"/>
      <c r="B22" s="44"/>
      <c r="C22" s="23" t="s">
        <v>13</v>
      </c>
      <c r="D22" s="23">
        <f t="shared" si="0"/>
        <v>1</v>
      </c>
      <c r="E22" s="23">
        <f t="shared" si="1"/>
        <v>-1</v>
      </c>
    </row>
    <row r="23" spans="1:5" x14ac:dyDescent="0.25">
      <c r="A23" s="44"/>
      <c r="B23" s="44"/>
      <c r="C23" s="23" t="s">
        <v>13</v>
      </c>
      <c r="D23" s="23">
        <f t="shared" si="0"/>
        <v>1</v>
      </c>
      <c r="E23" s="23">
        <f t="shared" si="1"/>
        <v>-1</v>
      </c>
    </row>
    <row r="24" spans="1:5" x14ac:dyDescent="0.25">
      <c r="A24" s="44"/>
      <c r="B24" s="44"/>
      <c r="C24" s="23" t="s">
        <v>13</v>
      </c>
      <c r="D24" s="23">
        <f t="shared" si="0"/>
        <v>1</v>
      </c>
      <c r="E24" s="23">
        <f t="shared" si="1"/>
        <v>-1</v>
      </c>
    </row>
    <row r="25" spans="1:5" x14ac:dyDescent="0.25">
      <c r="A25" s="44"/>
      <c r="B25" s="44"/>
      <c r="C25" s="23" t="s">
        <v>13</v>
      </c>
      <c r="D25" s="23">
        <f t="shared" si="0"/>
        <v>1</v>
      </c>
      <c r="E25" s="23">
        <f t="shared" si="1"/>
        <v>-1</v>
      </c>
    </row>
    <row r="26" spans="1:5" x14ac:dyDescent="0.25">
      <c r="A26" s="44"/>
      <c r="B26" s="44"/>
      <c r="C26" s="23" t="s">
        <v>13</v>
      </c>
      <c r="D26" s="23">
        <f t="shared" si="0"/>
        <v>1</v>
      </c>
      <c r="E26" s="23">
        <f t="shared" si="1"/>
        <v>-1</v>
      </c>
    </row>
    <row r="27" spans="1:5" x14ac:dyDescent="0.25">
      <c r="A27" s="44"/>
      <c r="B27" s="44"/>
      <c r="C27" s="23" t="s">
        <v>13</v>
      </c>
      <c r="D27" s="23">
        <f t="shared" si="0"/>
        <v>1</v>
      </c>
      <c r="E27" s="23">
        <f t="shared" si="1"/>
        <v>-1</v>
      </c>
    </row>
    <row r="28" spans="1:5" x14ac:dyDescent="0.25">
      <c r="A28" s="44"/>
      <c r="B28" s="44"/>
      <c r="C28" s="23" t="s">
        <v>13</v>
      </c>
      <c r="D28" s="23">
        <f t="shared" si="0"/>
        <v>1</v>
      </c>
      <c r="E28" s="23">
        <f t="shared" si="1"/>
        <v>-1</v>
      </c>
    </row>
    <row r="29" spans="1:5" x14ac:dyDescent="0.25">
      <c r="A29" s="44"/>
      <c r="B29" s="44"/>
      <c r="C29" s="23" t="s">
        <v>13</v>
      </c>
      <c r="D29" s="23">
        <f t="shared" si="0"/>
        <v>1</v>
      </c>
      <c r="E29" s="23">
        <f t="shared" si="1"/>
        <v>-1</v>
      </c>
    </row>
    <row r="30" spans="1:5" x14ac:dyDescent="0.25">
      <c r="A30" s="44"/>
      <c r="B30" s="44"/>
      <c r="C30" s="23" t="s">
        <v>13</v>
      </c>
      <c r="D30" s="23">
        <f t="shared" si="0"/>
        <v>1</v>
      </c>
      <c r="E30" s="23">
        <f t="shared" si="1"/>
        <v>-1</v>
      </c>
    </row>
    <row r="31" spans="1:5" x14ac:dyDescent="0.25">
      <c r="A31" s="44"/>
      <c r="B31" s="44"/>
      <c r="C31" s="23" t="s">
        <v>13</v>
      </c>
      <c r="D31" s="23">
        <f t="shared" si="0"/>
        <v>1</v>
      </c>
      <c r="E31" s="23">
        <f t="shared" si="1"/>
        <v>-1</v>
      </c>
    </row>
    <row r="32" spans="1:5" x14ac:dyDescent="0.25">
      <c r="A32" s="44"/>
      <c r="B32" s="44"/>
      <c r="C32" s="23" t="s">
        <v>13</v>
      </c>
      <c r="D32" s="23">
        <f t="shared" si="0"/>
        <v>1</v>
      </c>
      <c r="E32" s="23">
        <f t="shared" si="1"/>
        <v>-1</v>
      </c>
    </row>
    <row r="33" spans="1:5" x14ac:dyDescent="0.25">
      <c r="A33" s="44"/>
      <c r="B33" s="44"/>
      <c r="C33" s="23" t="s">
        <v>13</v>
      </c>
      <c r="D33" s="23">
        <f t="shared" si="0"/>
        <v>1</v>
      </c>
      <c r="E33" s="23">
        <f t="shared" si="1"/>
        <v>-1</v>
      </c>
    </row>
    <row r="34" spans="1:5" x14ac:dyDescent="0.25">
      <c r="A34" s="44"/>
      <c r="B34" s="44"/>
      <c r="C34" s="23" t="s">
        <v>13</v>
      </c>
      <c r="D34" s="23">
        <f t="shared" si="0"/>
        <v>1</v>
      </c>
      <c r="E34" s="23">
        <f t="shared" si="1"/>
        <v>-1</v>
      </c>
    </row>
    <row r="35" spans="1:5" x14ac:dyDescent="0.25">
      <c r="A35" s="44"/>
      <c r="B35" s="44"/>
      <c r="C35" s="23" t="s">
        <v>13</v>
      </c>
      <c r="D35" s="23">
        <f t="shared" si="0"/>
        <v>1</v>
      </c>
      <c r="E35" s="23">
        <f t="shared" si="1"/>
        <v>-1</v>
      </c>
    </row>
    <row r="36" spans="1:5" x14ac:dyDescent="0.25">
      <c r="A36" s="44"/>
      <c r="B36" s="44"/>
      <c r="C36" s="23" t="s">
        <v>13</v>
      </c>
      <c r="D36" s="23">
        <f t="shared" si="0"/>
        <v>1</v>
      </c>
      <c r="E36" s="23">
        <f t="shared" si="1"/>
        <v>-1</v>
      </c>
    </row>
    <row r="37" spans="1:5" x14ac:dyDescent="0.25">
      <c r="A37" s="44"/>
      <c r="B37" s="44"/>
      <c r="C37" s="23" t="s">
        <v>13</v>
      </c>
      <c r="D37" s="23">
        <f t="shared" si="0"/>
        <v>1</v>
      </c>
      <c r="E37" s="23">
        <f t="shared" si="1"/>
        <v>-1</v>
      </c>
    </row>
    <row r="38" spans="1:5" x14ac:dyDescent="0.25">
      <c r="A38" s="44"/>
      <c r="B38" s="44"/>
      <c r="C38" s="23" t="s">
        <v>13</v>
      </c>
      <c r="D38" s="23">
        <f t="shared" si="0"/>
        <v>1</v>
      </c>
      <c r="E38" s="23">
        <f t="shared" si="1"/>
        <v>-1</v>
      </c>
    </row>
    <row r="39" spans="1:5" x14ac:dyDescent="0.25">
      <c r="A39" s="44"/>
      <c r="B39" s="44"/>
      <c r="C39" s="23" t="s">
        <v>13</v>
      </c>
      <c r="D39" s="23">
        <f t="shared" si="0"/>
        <v>1</v>
      </c>
      <c r="E39" s="23">
        <f t="shared" si="1"/>
        <v>-1</v>
      </c>
    </row>
    <row r="40" spans="1:5" x14ac:dyDescent="0.25">
      <c r="A40" s="44"/>
      <c r="B40" s="44"/>
      <c r="C40" s="23" t="s">
        <v>13</v>
      </c>
      <c r="D40" s="23">
        <f t="shared" si="0"/>
        <v>1</v>
      </c>
      <c r="E40" s="23">
        <f t="shared" si="1"/>
        <v>-1</v>
      </c>
    </row>
    <row r="41" spans="1:5" x14ac:dyDescent="0.25">
      <c r="A41" s="44"/>
      <c r="B41" s="44"/>
      <c r="C41" s="23" t="s">
        <v>13</v>
      </c>
      <c r="D41" s="23">
        <f t="shared" si="0"/>
        <v>1</v>
      </c>
      <c r="E41" s="23">
        <f t="shared" si="1"/>
        <v>-1</v>
      </c>
    </row>
    <row r="42" spans="1:5" x14ac:dyDescent="0.25">
      <c r="A42" s="44"/>
      <c r="B42" s="44"/>
      <c r="C42" s="23" t="s">
        <v>13</v>
      </c>
      <c r="D42" s="23">
        <f t="shared" si="0"/>
        <v>1</v>
      </c>
      <c r="E42" s="23">
        <f t="shared" si="1"/>
        <v>-1</v>
      </c>
    </row>
    <row r="43" spans="1:5" x14ac:dyDescent="0.25">
      <c r="A43" s="44"/>
      <c r="B43" s="44"/>
      <c r="C43" s="23" t="s">
        <v>13</v>
      </c>
      <c r="D43" s="23">
        <f t="shared" si="0"/>
        <v>1</v>
      </c>
      <c r="E43" s="23">
        <f t="shared" si="1"/>
        <v>-1</v>
      </c>
    </row>
    <row r="44" spans="1:5" x14ac:dyDescent="0.25">
      <c r="A44" s="44"/>
      <c r="B44" s="44"/>
      <c r="C44" s="23" t="s">
        <v>13</v>
      </c>
      <c r="D44" s="23">
        <f t="shared" si="0"/>
        <v>1</v>
      </c>
      <c r="E44" s="23">
        <f t="shared" si="1"/>
        <v>-1</v>
      </c>
    </row>
    <row r="45" spans="1:5" x14ac:dyDescent="0.25">
      <c r="A45" s="44"/>
      <c r="B45" s="44"/>
      <c r="C45" s="23" t="s">
        <v>13</v>
      </c>
      <c r="D45" s="23">
        <f t="shared" si="0"/>
        <v>1</v>
      </c>
      <c r="E45" s="23">
        <f t="shared" si="1"/>
        <v>-1</v>
      </c>
    </row>
    <row r="46" spans="1:5" x14ac:dyDescent="0.25">
      <c r="A46" s="44"/>
      <c r="B46" s="44"/>
      <c r="C46" s="23" t="s">
        <v>13</v>
      </c>
      <c r="D46" s="23">
        <f t="shared" si="0"/>
        <v>1</v>
      </c>
      <c r="E46" s="23">
        <f t="shared" si="1"/>
        <v>-1</v>
      </c>
    </row>
    <row r="47" spans="1:5" x14ac:dyDescent="0.25">
      <c r="A47" s="44"/>
      <c r="B47" s="44"/>
      <c r="C47" s="23" t="s">
        <v>13</v>
      </c>
      <c r="D47" s="23">
        <f t="shared" si="0"/>
        <v>1</v>
      </c>
      <c r="E47" s="23">
        <f t="shared" si="1"/>
        <v>-1</v>
      </c>
    </row>
    <row r="48" spans="1:5" x14ac:dyDescent="0.25">
      <c r="A48" s="44"/>
      <c r="B48" s="44"/>
      <c r="C48" s="23" t="s">
        <v>13</v>
      </c>
      <c r="D48" s="23">
        <f t="shared" si="0"/>
        <v>1</v>
      </c>
      <c r="E48" s="23">
        <f t="shared" si="1"/>
        <v>-1</v>
      </c>
    </row>
    <row r="49" spans="1:5" x14ac:dyDescent="0.25">
      <c r="A49" s="44"/>
      <c r="B49" s="44"/>
      <c r="C49" s="23" t="s">
        <v>13</v>
      </c>
      <c r="D49" s="23">
        <f t="shared" si="0"/>
        <v>1</v>
      </c>
      <c r="E49" s="23">
        <f t="shared" si="1"/>
        <v>-1</v>
      </c>
    </row>
    <row r="50" spans="1:5" x14ac:dyDescent="0.25">
      <c r="A50" s="44"/>
      <c r="B50" s="44"/>
      <c r="C50" s="23" t="s">
        <v>13</v>
      </c>
      <c r="D50" s="23">
        <f t="shared" si="0"/>
        <v>1</v>
      </c>
      <c r="E50" s="23">
        <f t="shared" si="1"/>
        <v>-1</v>
      </c>
    </row>
    <row r="51" spans="1:5" x14ac:dyDescent="0.25">
      <c r="A51" s="44"/>
      <c r="B51" s="44"/>
      <c r="C51" s="23" t="s">
        <v>13</v>
      </c>
      <c r="D51" s="23">
        <f t="shared" si="0"/>
        <v>1</v>
      </c>
      <c r="E51" s="23">
        <f t="shared" si="1"/>
        <v>-1</v>
      </c>
    </row>
    <row r="52" spans="1:5" x14ac:dyDescent="0.25">
      <c r="A52" s="44"/>
      <c r="B52" s="44"/>
      <c r="C52" s="23" t="s">
        <v>13</v>
      </c>
      <c r="D52" s="23">
        <f t="shared" si="0"/>
        <v>1</v>
      </c>
      <c r="E52" s="23">
        <f t="shared" si="1"/>
        <v>-1</v>
      </c>
    </row>
    <row r="53" spans="1:5" x14ac:dyDescent="0.25">
      <c r="A53" s="44"/>
      <c r="B53" s="44"/>
      <c r="C53" s="23" t="s">
        <v>13</v>
      </c>
      <c r="D53" s="23">
        <f t="shared" si="0"/>
        <v>1</v>
      </c>
      <c r="E53" s="23">
        <f t="shared" si="1"/>
        <v>-1</v>
      </c>
    </row>
    <row r="54" spans="1:5" x14ac:dyDescent="0.25">
      <c r="A54" s="44"/>
      <c r="B54" s="44"/>
      <c r="C54" s="23" t="s">
        <v>13</v>
      </c>
      <c r="D54" s="23">
        <f t="shared" si="0"/>
        <v>1</v>
      </c>
      <c r="E54" s="23">
        <f t="shared" si="1"/>
        <v>-1</v>
      </c>
    </row>
    <row r="55" spans="1:5" x14ac:dyDescent="0.25">
      <c r="A55" s="44"/>
      <c r="B55" s="44"/>
      <c r="C55" s="23" t="s">
        <v>13</v>
      </c>
      <c r="D55" s="23">
        <f t="shared" si="0"/>
        <v>1</v>
      </c>
      <c r="E55" s="23">
        <f t="shared" si="1"/>
        <v>-1</v>
      </c>
    </row>
    <row r="56" spans="1:5" x14ac:dyDescent="0.25">
      <c r="A56" s="44"/>
      <c r="B56" s="44"/>
      <c r="C56" s="23" t="s">
        <v>13</v>
      </c>
      <c r="D56" s="23">
        <f t="shared" si="0"/>
        <v>1</v>
      </c>
      <c r="E56" s="23">
        <f t="shared" si="1"/>
        <v>-1</v>
      </c>
    </row>
    <row r="57" spans="1:5" x14ac:dyDescent="0.25">
      <c r="A57" s="44"/>
      <c r="B57" s="44"/>
      <c r="C57" s="23" t="s">
        <v>13</v>
      </c>
      <c r="D57" s="23">
        <f t="shared" si="0"/>
        <v>1</v>
      </c>
      <c r="E57" s="23">
        <f t="shared" si="1"/>
        <v>-1</v>
      </c>
    </row>
    <row r="58" spans="1:5" x14ac:dyDescent="0.25">
      <c r="A58" s="44"/>
      <c r="B58" s="44"/>
      <c r="C58" s="23" t="s">
        <v>13</v>
      </c>
      <c r="D58" s="23">
        <f t="shared" si="0"/>
        <v>1</v>
      </c>
      <c r="E58" s="23">
        <f t="shared" si="1"/>
        <v>-1</v>
      </c>
    </row>
    <row r="59" spans="1:5" x14ac:dyDescent="0.25">
      <c r="A59" s="44"/>
      <c r="B59" s="44"/>
      <c r="C59" s="23" t="s">
        <v>13</v>
      </c>
      <c r="D59" s="23">
        <f t="shared" si="0"/>
        <v>1</v>
      </c>
      <c r="E59" s="23">
        <f t="shared" si="1"/>
        <v>-1</v>
      </c>
    </row>
    <row r="60" spans="1:5" x14ac:dyDescent="0.25">
      <c r="A60" s="44"/>
      <c r="B60" s="44"/>
      <c r="C60" s="23" t="s">
        <v>13</v>
      </c>
      <c r="D60" s="23">
        <f t="shared" si="0"/>
        <v>1</v>
      </c>
      <c r="E60" s="23">
        <f t="shared" si="1"/>
        <v>-1</v>
      </c>
    </row>
    <row r="61" spans="1:5" x14ac:dyDescent="0.25">
      <c r="A61" s="44"/>
      <c r="B61" s="44"/>
      <c r="C61" s="23" t="s">
        <v>13</v>
      </c>
      <c r="D61" s="23">
        <f t="shared" si="0"/>
        <v>1</v>
      </c>
      <c r="E61" s="23">
        <f t="shared" si="1"/>
        <v>-1</v>
      </c>
    </row>
    <row r="62" spans="1:5" x14ac:dyDescent="0.25">
      <c r="A62" s="44"/>
      <c r="B62" s="44"/>
      <c r="C62" s="23" t="s">
        <v>13</v>
      </c>
      <c r="D62" s="23">
        <f t="shared" si="0"/>
        <v>1</v>
      </c>
      <c r="E62" s="23">
        <f t="shared" si="1"/>
        <v>-1</v>
      </c>
    </row>
    <row r="63" spans="1:5" x14ac:dyDescent="0.25">
      <c r="A63" s="44"/>
      <c r="B63" s="44"/>
      <c r="C63" s="23" t="s">
        <v>13</v>
      </c>
      <c r="D63" s="23">
        <f t="shared" si="0"/>
        <v>1</v>
      </c>
      <c r="E63" s="23">
        <f t="shared" si="1"/>
        <v>-1</v>
      </c>
    </row>
    <row r="64" spans="1:5" x14ac:dyDescent="0.25">
      <c r="A64" s="44"/>
      <c r="B64" s="44"/>
      <c r="C64" s="23" t="s">
        <v>13</v>
      </c>
      <c r="D64" s="23">
        <f t="shared" si="0"/>
        <v>1</v>
      </c>
      <c r="E64" s="23">
        <f t="shared" si="1"/>
        <v>-1</v>
      </c>
    </row>
    <row r="65" spans="1:5" x14ac:dyDescent="0.25">
      <c r="A65" s="44"/>
      <c r="B65" s="44"/>
      <c r="C65" s="23" t="s">
        <v>13</v>
      </c>
      <c r="D65" s="23">
        <f t="shared" si="0"/>
        <v>1</v>
      </c>
      <c r="E65" s="23">
        <f t="shared" si="1"/>
        <v>-1</v>
      </c>
    </row>
    <row r="66" spans="1:5" x14ac:dyDescent="0.25">
      <c r="A66" s="44"/>
      <c r="B66" s="44"/>
      <c r="C66" s="23" t="s">
        <v>13</v>
      </c>
      <c r="D66" s="23">
        <f t="shared" si="0"/>
        <v>1</v>
      </c>
      <c r="E66" s="23">
        <f t="shared" si="1"/>
        <v>-1</v>
      </c>
    </row>
    <row r="67" spans="1:5" x14ac:dyDescent="0.25">
      <c r="A67" s="44"/>
      <c r="B67" s="44"/>
      <c r="C67" s="23" t="s">
        <v>13</v>
      </c>
      <c r="D67" s="23">
        <f t="shared" si="0"/>
        <v>1</v>
      </c>
      <c r="E67" s="23">
        <f t="shared" si="1"/>
        <v>-1</v>
      </c>
    </row>
    <row r="68" spans="1:5" x14ac:dyDescent="0.25">
      <c r="A68" s="44"/>
      <c r="B68" s="44"/>
      <c r="C68" s="23" t="s">
        <v>13</v>
      </c>
      <c r="D68" s="23">
        <f t="shared" si="0"/>
        <v>1</v>
      </c>
      <c r="E68" s="23">
        <f t="shared" si="1"/>
        <v>-1</v>
      </c>
    </row>
    <row r="69" spans="1:5" x14ac:dyDescent="0.25">
      <c r="A69" s="44"/>
      <c r="B69" s="44"/>
      <c r="C69" s="23" t="s">
        <v>13</v>
      </c>
      <c r="D69" s="23">
        <f t="shared" si="0"/>
        <v>1</v>
      </c>
      <c r="E69" s="23">
        <f t="shared" si="1"/>
        <v>-1</v>
      </c>
    </row>
    <row r="70" spans="1:5" x14ac:dyDescent="0.25">
      <c r="A70" s="44"/>
      <c r="B70" s="44"/>
      <c r="C70" s="23" t="s">
        <v>13</v>
      </c>
      <c r="D70" s="23">
        <f t="shared" si="0"/>
        <v>1</v>
      </c>
      <c r="E70" s="23">
        <f t="shared" si="1"/>
        <v>-1</v>
      </c>
    </row>
    <row r="71" spans="1:5" x14ac:dyDescent="0.25">
      <c r="A71" s="44"/>
      <c r="B71" s="44"/>
      <c r="C71" s="23" t="s">
        <v>13</v>
      </c>
      <c r="D71" s="23">
        <f t="shared" ref="D71:D134" si="2">B71-A71+1</f>
        <v>1</v>
      </c>
      <c r="E71" s="23">
        <f t="shared" si="1"/>
        <v>-1</v>
      </c>
    </row>
    <row r="72" spans="1:5" x14ac:dyDescent="0.25">
      <c r="A72" s="44"/>
      <c r="B72" s="44"/>
      <c r="C72" s="23" t="s">
        <v>13</v>
      </c>
      <c r="D72" s="23">
        <f t="shared" si="2"/>
        <v>1</v>
      </c>
      <c r="E72" s="23">
        <f t="shared" ref="E72:E135" si="3">A72-B71-1</f>
        <v>-1</v>
      </c>
    </row>
    <row r="73" spans="1:5" x14ac:dyDescent="0.25">
      <c r="A73" s="44"/>
      <c r="B73" s="44"/>
      <c r="C73" s="23" t="s">
        <v>13</v>
      </c>
      <c r="D73" s="23">
        <f t="shared" si="2"/>
        <v>1</v>
      </c>
      <c r="E73" s="23">
        <f t="shared" si="3"/>
        <v>-1</v>
      </c>
    </row>
    <row r="74" spans="1:5" x14ac:dyDescent="0.25">
      <c r="A74" s="44"/>
      <c r="B74" s="44"/>
      <c r="C74" s="23" t="s">
        <v>13</v>
      </c>
      <c r="D74" s="23">
        <f t="shared" si="2"/>
        <v>1</v>
      </c>
      <c r="E74" s="23">
        <f t="shared" si="3"/>
        <v>-1</v>
      </c>
    </row>
    <row r="75" spans="1:5" x14ac:dyDescent="0.25">
      <c r="A75" s="44"/>
      <c r="B75" s="44"/>
      <c r="C75" s="23" t="s">
        <v>13</v>
      </c>
      <c r="D75" s="23">
        <f t="shared" si="2"/>
        <v>1</v>
      </c>
      <c r="E75" s="23">
        <f t="shared" si="3"/>
        <v>-1</v>
      </c>
    </row>
    <row r="76" spans="1:5" x14ac:dyDescent="0.25">
      <c r="A76" s="44"/>
      <c r="B76" s="44"/>
      <c r="C76" s="23" t="s">
        <v>13</v>
      </c>
      <c r="D76" s="23">
        <f t="shared" si="2"/>
        <v>1</v>
      </c>
      <c r="E76" s="23">
        <f t="shared" si="3"/>
        <v>-1</v>
      </c>
    </row>
    <row r="77" spans="1:5" x14ac:dyDescent="0.25">
      <c r="A77" s="44"/>
      <c r="B77" s="44"/>
      <c r="C77" s="23" t="s">
        <v>13</v>
      </c>
      <c r="D77" s="23">
        <f t="shared" si="2"/>
        <v>1</v>
      </c>
      <c r="E77" s="23">
        <f t="shared" si="3"/>
        <v>-1</v>
      </c>
    </row>
    <row r="78" spans="1:5" x14ac:dyDescent="0.25">
      <c r="A78" s="44"/>
      <c r="B78" s="44"/>
      <c r="C78" s="23" t="s">
        <v>13</v>
      </c>
      <c r="D78" s="23">
        <f t="shared" si="2"/>
        <v>1</v>
      </c>
      <c r="E78" s="23">
        <f t="shared" si="3"/>
        <v>-1</v>
      </c>
    </row>
    <row r="79" spans="1:5" x14ac:dyDescent="0.25">
      <c r="A79" s="44"/>
      <c r="B79" s="44"/>
      <c r="C79" s="23" t="s">
        <v>13</v>
      </c>
      <c r="D79" s="23">
        <f t="shared" si="2"/>
        <v>1</v>
      </c>
      <c r="E79" s="23">
        <f t="shared" si="3"/>
        <v>-1</v>
      </c>
    </row>
    <row r="80" spans="1:5" x14ac:dyDescent="0.25">
      <c r="A80" s="44"/>
      <c r="B80" s="44"/>
      <c r="C80" s="23" t="s">
        <v>13</v>
      </c>
      <c r="D80" s="23">
        <f t="shared" si="2"/>
        <v>1</v>
      </c>
      <c r="E80" s="23">
        <f t="shared" si="3"/>
        <v>-1</v>
      </c>
    </row>
    <row r="81" spans="1:5" x14ac:dyDescent="0.25">
      <c r="A81" s="44"/>
      <c r="B81" s="44"/>
      <c r="C81" s="23" t="s">
        <v>13</v>
      </c>
      <c r="D81" s="23">
        <f t="shared" si="2"/>
        <v>1</v>
      </c>
      <c r="E81" s="23">
        <f t="shared" si="3"/>
        <v>-1</v>
      </c>
    </row>
    <row r="82" spans="1:5" x14ac:dyDescent="0.25">
      <c r="A82" s="44"/>
      <c r="B82" s="44"/>
      <c r="C82" s="23" t="s">
        <v>13</v>
      </c>
      <c r="D82" s="23">
        <f t="shared" si="2"/>
        <v>1</v>
      </c>
      <c r="E82" s="23">
        <f t="shared" si="3"/>
        <v>-1</v>
      </c>
    </row>
    <row r="83" spans="1:5" x14ac:dyDescent="0.25">
      <c r="A83" s="44"/>
      <c r="B83" s="44"/>
      <c r="C83" s="23" t="s">
        <v>13</v>
      </c>
      <c r="D83" s="23">
        <f t="shared" si="2"/>
        <v>1</v>
      </c>
      <c r="E83" s="23">
        <f t="shared" si="3"/>
        <v>-1</v>
      </c>
    </row>
    <row r="84" spans="1:5" x14ac:dyDescent="0.25">
      <c r="A84" s="44"/>
      <c r="B84" s="44"/>
      <c r="C84" s="23" t="s">
        <v>13</v>
      </c>
      <c r="D84" s="23">
        <f t="shared" si="2"/>
        <v>1</v>
      </c>
      <c r="E84" s="23">
        <f t="shared" si="3"/>
        <v>-1</v>
      </c>
    </row>
    <row r="85" spans="1:5" x14ac:dyDescent="0.25">
      <c r="A85" s="44"/>
      <c r="B85" s="44"/>
      <c r="C85" s="23" t="s">
        <v>13</v>
      </c>
      <c r="D85" s="23">
        <f t="shared" si="2"/>
        <v>1</v>
      </c>
      <c r="E85" s="23">
        <f t="shared" si="3"/>
        <v>-1</v>
      </c>
    </row>
    <row r="86" spans="1:5" x14ac:dyDescent="0.25">
      <c r="A86" s="44"/>
      <c r="B86" s="44"/>
      <c r="C86" s="23" t="s">
        <v>13</v>
      </c>
      <c r="D86" s="23">
        <f t="shared" si="2"/>
        <v>1</v>
      </c>
      <c r="E86" s="23">
        <f t="shared" si="3"/>
        <v>-1</v>
      </c>
    </row>
    <row r="87" spans="1:5" x14ac:dyDescent="0.25">
      <c r="A87" s="44"/>
      <c r="B87" s="44"/>
      <c r="C87" s="23" t="s">
        <v>13</v>
      </c>
      <c r="D87" s="23">
        <f t="shared" si="2"/>
        <v>1</v>
      </c>
      <c r="E87" s="23">
        <f t="shared" si="3"/>
        <v>-1</v>
      </c>
    </row>
    <row r="88" spans="1:5" x14ac:dyDescent="0.25">
      <c r="A88" s="44"/>
      <c r="B88" s="44"/>
      <c r="C88" s="23" t="s">
        <v>13</v>
      </c>
      <c r="D88" s="23">
        <f t="shared" si="2"/>
        <v>1</v>
      </c>
      <c r="E88" s="23">
        <f t="shared" si="3"/>
        <v>-1</v>
      </c>
    </row>
    <row r="89" spans="1:5" x14ac:dyDescent="0.25">
      <c r="A89" s="44"/>
      <c r="B89" s="44"/>
      <c r="C89" s="23" t="s">
        <v>13</v>
      </c>
      <c r="D89" s="23">
        <f t="shared" si="2"/>
        <v>1</v>
      </c>
      <c r="E89" s="23">
        <f t="shared" si="3"/>
        <v>-1</v>
      </c>
    </row>
    <row r="90" spans="1:5" x14ac:dyDescent="0.25">
      <c r="A90" s="44"/>
      <c r="B90" s="44"/>
      <c r="C90" s="23" t="s">
        <v>13</v>
      </c>
      <c r="D90" s="23">
        <f t="shared" si="2"/>
        <v>1</v>
      </c>
      <c r="E90" s="23">
        <f t="shared" si="3"/>
        <v>-1</v>
      </c>
    </row>
    <row r="91" spans="1:5" x14ac:dyDescent="0.25">
      <c r="A91" s="44"/>
      <c r="B91" s="44"/>
      <c r="C91" s="23" t="s">
        <v>13</v>
      </c>
      <c r="D91" s="23">
        <f t="shared" si="2"/>
        <v>1</v>
      </c>
      <c r="E91" s="23">
        <f t="shared" si="3"/>
        <v>-1</v>
      </c>
    </row>
    <row r="92" spans="1:5" x14ac:dyDescent="0.25">
      <c r="A92" s="44"/>
      <c r="B92" s="44"/>
      <c r="C92" s="23" t="s">
        <v>13</v>
      </c>
      <c r="D92" s="23">
        <f t="shared" si="2"/>
        <v>1</v>
      </c>
      <c r="E92" s="23">
        <f t="shared" si="3"/>
        <v>-1</v>
      </c>
    </row>
    <row r="93" spans="1:5" x14ac:dyDescent="0.25">
      <c r="A93" s="44"/>
      <c r="B93" s="44"/>
      <c r="C93" s="23" t="s">
        <v>13</v>
      </c>
      <c r="D93" s="23">
        <f t="shared" si="2"/>
        <v>1</v>
      </c>
      <c r="E93" s="23">
        <f t="shared" si="3"/>
        <v>-1</v>
      </c>
    </row>
    <row r="94" spans="1:5" x14ac:dyDescent="0.25">
      <c r="A94" s="44"/>
      <c r="B94" s="44"/>
      <c r="C94" s="23" t="s">
        <v>13</v>
      </c>
      <c r="D94" s="23">
        <f t="shared" si="2"/>
        <v>1</v>
      </c>
      <c r="E94" s="23">
        <f t="shared" si="3"/>
        <v>-1</v>
      </c>
    </row>
    <row r="95" spans="1:5" x14ac:dyDescent="0.25">
      <c r="A95" s="44"/>
      <c r="B95" s="44"/>
      <c r="C95" s="23" t="s">
        <v>13</v>
      </c>
      <c r="D95" s="23">
        <f t="shared" si="2"/>
        <v>1</v>
      </c>
      <c r="E95" s="23">
        <f t="shared" si="3"/>
        <v>-1</v>
      </c>
    </row>
    <row r="96" spans="1:5" x14ac:dyDescent="0.25">
      <c r="A96" s="44"/>
      <c r="B96" s="44"/>
      <c r="C96" s="23" t="s">
        <v>13</v>
      </c>
      <c r="D96" s="23">
        <f t="shared" si="2"/>
        <v>1</v>
      </c>
      <c r="E96" s="23">
        <f t="shared" si="3"/>
        <v>-1</v>
      </c>
    </row>
    <row r="97" spans="1:5" x14ac:dyDescent="0.25">
      <c r="A97" s="44"/>
      <c r="B97" s="44"/>
      <c r="C97" s="23" t="s">
        <v>13</v>
      </c>
      <c r="D97" s="23">
        <f t="shared" si="2"/>
        <v>1</v>
      </c>
      <c r="E97" s="23">
        <f t="shared" si="3"/>
        <v>-1</v>
      </c>
    </row>
    <row r="98" spans="1:5" x14ac:dyDescent="0.25">
      <c r="A98" s="44"/>
      <c r="B98" s="44"/>
      <c r="C98" s="23" t="s">
        <v>13</v>
      </c>
      <c r="D98" s="23">
        <f t="shared" si="2"/>
        <v>1</v>
      </c>
      <c r="E98" s="23">
        <f t="shared" si="3"/>
        <v>-1</v>
      </c>
    </row>
    <row r="99" spans="1:5" x14ac:dyDescent="0.25">
      <c r="A99" s="44"/>
      <c r="B99" s="44"/>
      <c r="C99" s="23" t="s">
        <v>13</v>
      </c>
      <c r="D99" s="23">
        <f t="shared" si="2"/>
        <v>1</v>
      </c>
      <c r="E99" s="23">
        <f t="shared" si="3"/>
        <v>-1</v>
      </c>
    </row>
    <row r="100" spans="1:5" x14ac:dyDescent="0.25">
      <c r="A100" s="44"/>
      <c r="B100" s="44"/>
      <c r="C100" s="23" t="s">
        <v>13</v>
      </c>
      <c r="D100" s="23">
        <f t="shared" si="2"/>
        <v>1</v>
      </c>
      <c r="E100" s="23">
        <f t="shared" si="3"/>
        <v>-1</v>
      </c>
    </row>
    <row r="101" spans="1:5" x14ac:dyDescent="0.25">
      <c r="A101" s="44"/>
      <c r="B101" s="44"/>
      <c r="C101" s="23" t="s">
        <v>13</v>
      </c>
      <c r="D101" s="23">
        <f t="shared" si="2"/>
        <v>1</v>
      </c>
      <c r="E101" s="23">
        <f t="shared" si="3"/>
        <v>-1</v>
      </c>
    </row>
    <row r="102" spans="1:5" x14ac:dyDescent="0.25">
      <c r="A102" s="44"/>
      <c r="B102" s="44"/>
      <c r="C102" s="23" t="s">
        <v>13</v>
      </c>
      <c r="D102" s="23">
        <f t="shared" si="2"/>
        <v>1</v>
      </c>
      <c r="E102" s="23">
        <f t="shared" si="3"/>
        <v>-1</v>
      </c>
    </row>
    <row r="103" spans="1:5" x14ac:dyDescent="0.25">
      <c r="A103" s="44"/>
      <c r="B103" s="44"/>
      <c r="C103" s="23" t="s">
        <v>13</v>
      </c>
      <c r="D103" s="23">
        <f t="shared" si="2"/>
        <v>1</v>
      </c>
      <c r="E103" s="23">
        <f t="shared" si="3"/>
        <v>-1</v>
      </c>
    </row>
    <row r="104" spans="1:5" x14ac:dyDescent="0.25">
      <c r="A104" s="44"/>
      <c r="B104" s="44"/>
      <c r="C104" s="23" t="s">
        <v>13</v>
      </c>
      <c r="D104" s="23">
        <f t="shared" si="2"/>
        <v>1</v>
      </c>
      <c r="E104" s="23">
        <f t="shared" si="3"/>
        <v>-1</v>
      </c>
    </row>
    <row r="105" spans="1:5" x14ac:dyDescent="0.25">
      <c r="A105" s="44"/>
      <c r="B105" s="44"/>
      <c r="C105" s="23" t="s">
        <v>13</v>
      </c>
      <c r="D105" s="23">
        <f t="shared" si="2"/>
        <v>1</v>
      </c>
      <c r="E105" s="23">
        <f t="shared" si="3"/>
        <v>-1</v>
      </c>
    </row>
    <row r="106" spans="1:5" x14ac:dyDescent="0.25">
      <c r="A106" s="44"/>
      <c r="B106" s="44"/>
      <c r="C106" s="23" t="s">
        <v>13</v>
      </c>
      <c r="D106" s="23">
        <f t="shared" si="2"/>
        <v>1</v>
      </c>
      <c r="E106" s="23">
        <f t="shared" si="3"/>
        <v>-1</v>
      </c>
    </row>
    <row r="107" spans="1:5" x14ac:dyDescent="0.25">
      <c r="A107" s="44"/>
      <c r="B107" s="44"/>
      <c r="C107" s="23" t="s">
        <v>13</v>
      </c>
      <c r="D107" s="23">
        <f t="shared" si="2"/>
        <v>1</v>
      </c>
      <c r="E107" s="23">
        <f t="shared" si="3"/>
        <v>-1</v>
      </c>
    </row>
    <row r="108" spans="1:5" x14ac:dyDescent="0.25">
      <c r="A108" s="44"/>
      <c r="B108" s="44"/>
      <c r="C108" s="23" t="s">
        <v>13</v>
      </c>
      <c r="D108" s="23">
        <f t="shared" si="2"/>
        <v>1</v>
      </c>
      <c r="E108" s="23">
        <f t="shared" si="3"/>
        <v>-1</v>
      </c>
    </row>
    <row r="109" spans="1:5" x14ac:dyDescent="0.25">
      <c r="A109" s="44"/>
      <c r="B109" s="44"/>
      <c r="C109" s="23" t="s">
        <v>13</v>
      </c>
      <c r="D109" s="23">
        <f t="shared" si="2"/>
        <v>1</v>
      </c>
      <c r="E109" s="23">
        <f t="shared" si="3"/>
        <v>-1</v>
      </c>
    </row>
    <row r="110" spans="1:5" x14ac:dyDescent="0.25">
      <c r="A110" s="44"/>
      <c r="B110" s="44"/>
      <c r="C110" s="23" t="s">
        <v>13</v>
      </c>
      <c r="D110" s="23">
        <f t="shared" si="2"/>
        <v>1</v>
      </c>
      <c r="E110" s="23">
        <f t="shared" si="3"/>
        <v>-1</v>
      </c>
    </row>
    <row r="111" spans="1:5" x14ac:dyDescent="0.25">
      <c r="A111" s="44"/>
      <c r="B111" s="44"/>
      <c r="C111" s="23" t="s">
        <v>13</v>
      </c>
      <c r="D111" s="23">
        <f t="shared" si="2"/>
        <v>1</v>
      </c>
      <c r="E111" s="23">
        <f t="shared" si="3"/>
        <v>-1</v>
      </c>
    </row>
    <row r="112" spans="1:5" x14ac:dyDescent="0.25">
      <c r="A112" s="44"/>
      <c r="B112" s="44"/>
      <c r="C112" s="23" t="s">
        <v>13</v>
      </c>
      <c r="D112" s="23">
        <f t="shared" si="2"/>
        <v>1</v>
      </c>
      <c r="E112" s="23">
        <f t="shared" si="3"/>
        <v>-1</v>
      </c>
    </row>
    <row r="113" spans="1:5" x14ac:dyDescent="0.25">
      <c r="A113" s="44"/>
      <c r="B113" s="44"/>
      <c r="C113" s="23" t="s">
        <v>13</v>
      </c>
      <c r="D113" s="23">
        <f t="shared" si="2"/>
        <v>1</v>
      </c>
      <c r="E113" s="23">
        <f t="shared" si="3"/>
        <v>-1</v>
      </c>
    </row>
    <row r="114" spans="1:5" x14ac:dyDescent="0.25">
      <c r="A114" s="44"/>
      <c r="B114" s="44"/>
      <c r="C114" s="23" t="s">
        <v>13</v>
      </c>
      <c r="D114" s="23">
        <f t="shared" si="2"/>
        <v>1</v>
      </c>
      <c r="E114" s="23">
        <f t="shared" si="3"/>
        <v>-1</v>
      </c>
    </row>
    <row r="115" spans="1:5" x14ac:dyDescent="0.25">
      <c r="A115" s="44"/>
      <c r="B115" s="44"/>
      <c r="C115" s="23" t="s">
        <v>13</v>
      </c>
      <c r="D115" s="23">
        <f t="shared" si="2"/>
        <v>1</v>
      </c>
      <c r="E115" s="23">
        <f t="shared" si="3"/>
        <v>-1</v>
      </c>
    </row>
    <row r="116" spans="1:5" x14ac:dyDescent="0.25">
      <c r="A116" s="44"/>
      <c r="B116" s="44"/>
      <c r="C116" s="23" t="s">
        <v>13</v>
      </c>
      <c r="D116" s="23">
        <f t="shared" si="2"/>
        <v>1</v>
      </c>
      <c r="E116" s="23">
        <f t="shared" si="3"/>
        <v>-1</v>
      </c>
    </row>
    <row r="117" spans="1:5" x14ac:dyDescent="0.25">
      <c r="A117" s="44"/>
      <c r="B117" s="44"/>
      <c r="C117" s="23" t="s">
        <v>13</v>
      </c>
      <c r="D117" s="23">
        <f t="shared" si="2"/>
        <v>1</v>
      </c>
      <c r="E117" s="23">
        <f t="shared" si="3"/>
        <v>-1</v>
      </c>
    </row>
    <row r="118" spans="1:5" x14ac:dyDescent="0.25">
      <c r="A118" s="44"/>
      <c r="B118" s="44"/>
      <c r="C118" s="23" t="s">
        <v>13</v>
      </c>
      <c r="D118" s="23">
        <f t="shared" si="2"/>
        <v>1</v>
      </c>
      <c r="E118" s="23">
        <f t="shared" si="3"/>
        <v>-1</v>
      </c>
    </row>
    <row r="119" spans="1:5" x14ac:dyDescent="0.25">
      <c r="A119" s="44"/>
      <c r="B119" s="44"/>
      <c r="C119" s="23" t="s">
        <v>13</v>
      </c>
      <c r="D119" s="23">
        <f t="shared" si="2"/>
        <v>1</v>
      </c>
      <c r="E119" s="23">
        <f t="shared" si="3"/>
        <v>-1</v>
      </c>
    </row>
    <row r="120" spans="1:5" x14ac:dyDescent="0.25">
      <c r="A120" s="44"/>
      <c r="B120" s="44"/>
      <c r="C120" s="23" t="s">
        <v>13</v>
      </c>
      <c r="D120" s="23">
        <f t="shared" si="2"/>
        <v>1</v>
      </c>
      <c r="E120" s="23">
        <f t="shared" si="3"/>
        <v>-1</v>
      </c>
    </row>
    <row r="121" spans="1:5" x14ac:dyDescent="0.25">
      <c r="A121" s="44"/>
      <c r="B121" s="44"/>
      <c r="C121" s="23" t="s">
        <v>13</v>
      </c>
      <c r="D121" s="23">
        <f t="shared" si="2"/>
        <v>1</v>
      </c>
      <c r="E121" s="23">
        <f t="shared" si="3"/>
        <v>-1</v>
      </c>
    </row>
    <row r="122" spans="1:5" x14ac:dyDescent="0.25">
      <c r="A122" s="44"/>
      <c r="B122" s="44"/>
      <c r="C122" s="23" t="s">
        <v>13</v>
      </c>
      <c r="D122" s="23">
        <f t="shared" si="2"/>
        <v>1</v>
      </c>
      <c r="E122" s="23">
        <f t="shared" si="3"/>
        <v>-1</v>
      </c>
    </row>
    <row r="123" spans="1:5" x14ac:dyDescent="0.25">
      <c r="A123" s="44"/>
      <c r="B123" s="44"/>
      <c r="C123" s="23" t="s">
        <v>13</v>
      </c>
      <c r="D123" s="23">
        <f t="shared" si="2"/>
        <v>1</v>
      </c>
      <c r="E123" s="23">
        <f t="shared" si="3"/>
        <v>-1</v>
      </c>
    </row>
    <row r="124" spans="1:5" x14ac:dyDescent="0.25">
      <c r="A124" s="44"/>
      <c r="B124" s="44"/>
      <c r="C124" s="23" t="s">
        <v>13</v>
      </c>
      <c r="D124" s="23">
        <f t="shared" si="2"/>
        <v>1</v>
      </c>
      <c r="E124" s="23">
        <f t="shared" si="3"/>
        <v>-1</v>
      </c>
    </row>
    <row r="125" spans="1:5" x14ac:dyDescent="0.25">
      <c r="A125" s="44"/>
      <c r="B125" s="44"/>
      <c r="C125" s="23" t="s">
        <v>13</v>
      </c>
      <c r="D125" s="23">
        <f t="shared" si="2"/>
        <v>1</v>
      </c>
      <c r="E125" s="23">
        <f t="shared" si="3"/>
        <v>-1</v>
      </c>
    </row>
    <row r="126" spans="1:5" x14ac:dyDescent="0.25">
      <c r="A126" s="44"/>
      <c r="B126" s="44"/>
      <c r="C126" s="23" t="s">
        <v>13</v>
      </c>
      <c r="D126" s="23">
        <f t="shared" si="2"/>
        <v>1</v>
      </c>
      <c r="E126" s="23">
        <f t="shared" si="3"/>
        <v>-1</v>
      </c>
    </row>
    <row r="127" spans="1:5" x14ac:dyDescent="0.25">
      <c r="A127" s="44"/>
      <c r="B127" s="44"/>
      <c r="C127" s="23" t="s">
        <v>13</v>
      </c>
      <c r="D127" s="23">
        <f t="shared" si="2"/>
        <v>1</v>
      </c>
      <c r="E127" s="23">
        <f t="shared" si="3"/>
        <v>-1</v>
      </c>
    </row>
    <row r="128" spans="1:5" x14ac:dyDescent="0.25">
      <c r="A128" s="44"/>
      <c r="B128" s="44"/>
      <c r="C128" s="23" t="s">
        <v>13</v>
      </c>
      <c r="D128" s="23">
        <f t="shared" si="2"/>
        <v>1</v>
      </c>
      <c r="E128" s="23">
        <f t="shared" si="3"/>
        <v>-1</v>
      </c>
    </row>
    <row r="129" spans="1:5" x14ac:dyDescent="0.25">
      <c r="A129" s="44"/>
      <c r="B129" s="44"/>
      <c r="C129" s="23" t="s">
        <v>13</v>
      </c>
      <c r="D129" s="23">
        <f t="shared" si="2"/>
        <v>1</v>
      </c>
      <c r="E129" s="23">
        <f t="shared" si="3"/>
        <v>-1</v>
      </c>
    </row>
    <row r="130" spans="1:5" x14ac:dyDescent="0.25">
      <c r="A130" s="44"/>
      <c r="B130" s="44"/>
      <c r="C130" s="23" t="s">
        <v>13</v>
      </c>
      <c r="D130" s="23">
        <f t="shared" si="2"/>
        <v>1</v>
      </c>
      <c r="E130" s="23">
        <f t="shared" si="3"/>
        <v>-1</v>
      </c>
    </row>
    <row r="131" spans="1:5" x14ac:dyDescent="0.25">
      <c r="A131" s="44"/>
      <c r="B131" s="44"/>
      <c r="C131" s="23" t="s">
        <v>13</v>
      </c>
      <c r="D131" s="23">
        <f t="shared" si="2"/>
        <v>1</v>
      </c>
      <c r="E131" s="23">
        <f t="shared" si="3"/>
        <v>-1</v>
      </c>
    </row>
    <row r="132" spans="1:5" x14ac:dyDescent="0.25">
      <c r="A132" s="44"/>
      <c r="B132" s="44"/>
      <c r="C132" s="23" t="s">
        <v>13</v>
      </c>
      <c r="D132" s="23">
        <f t="shared" si="2"/>
        <v>1</v>
      </c>
      <c r="E132" s="23">
        <f t="shared" si="3"/>
        <v>-1</v>
      </c>
    </row>
    <row r="133" spans="1:5" x14ac:dyDescent="0.25">
      <c r="A133" s="44"/>
      <c r="B133" s="44"/>
      <c r="C133" s="23" t="s">
        <v>13</v>
      </c>
      <c r="D133" s="23">
        <f t="shared" si="2"/>
        <v>1</v>
      </c>
      <c r="E133" s="23">
        <f t="shared" si="3"/>
        <v>-1</v>
      </c>
    </row>
    <row r="134" spans="1:5" x14ac:dyDescent="0.25">
      <c r="A134" s="44"/>
      <c r="B134" s="44"/>
      <c r="C134" s="23" t="s">
        <v>13</v>
      </c>
      <c r="D134" s="23">
        <f t="shared" si="2"/>
        <v>1</v>
      </c>
      <c r="E134" s="23">
        <f t="shared" si="3"/>
        <v>-1</v>
      </c>
    </row>
    <row r="135" spans="1:5" x14ac:dyDescent="0.25">
      <c r="A135" s="44"/>
      <c r="B135" s="44"/>
      <c r="C135" s="23" t="s">
        <v>13</v>
      </c>
      <c r="D135" s="23">
        <f t="shared" ref="D135:D198" si="4">B135-A135+1</f>
        <v>1</v>
      </c>
      <c r="E135" s="23">
        <f t="shared" si="3"/>
        <v>-1</v>
      </c>
    </row>
    <row r="136" spans="1:5" x14ac:dyDescent="0.25">
      <c r="A136" s="44"/>
      <c r="B136" s="44"/>
      <c r="C136" s="23" t="s">
        <v>13</v>
      </c>
      <c r="D136" s="23">
        <f t="shared" si="4"/>
        <v>1</v>
      </c>
      <c r="E136" s="23">
        <f t="shared" ref="E136:E199" si="5">A136-B135-1</f>
        <v>-1</v>
      </c>
    </row>
    <row r="137" spans="1:5" x14ac:dyDescent="0.25">
      <c r="A137" s="44"/>
      <c r="B137" s="44"/>
      <c r="C137" s="23" t="s">
        <v>13</v>
      </c>
      <c r="D137" s="23">
        <f t="shared" si="4"/>
        <v>1</v>
      </c>
      <c r="E137" s="23">
        <f t="shared" si="5"/>
        <v>-1</v>
      </c>
    </row>
    <row r="138" spans="1:5" x14ac:dyDescent="0.25">
      <c r="A138" s="44"/>
      <c r="B138" s="44"/>
      <c r="C138" s="23" t="s">
        <v>13</v>
      </c>
      <c r="D138" s="23">
        <f t="shared" si="4"/>
        <v>1</v>
      </c>
      <c r="E138" s="23">
        <f t="shared" si="5"/>
        <v>-1</v>
      </c>
    </row>
    <row r="139" spans="1:5" x14ac:dyDescent="0.25">
      <c r="A139" s="44"/>
      <c r="B139" s="44"/>
      <c r="C139" s="23" t="s">
        <v>13</v>
      </c>
      <c r="D139" s="23">
        <f t="shared" si="4"/>
        <v>1</v>
      </c>
      <c r="E139" s="23">
        <f t="shared" si="5"/>
        <v>-1</v>
      </c>
    </row>
    <row r="140" spans="1:5" x14ac:dyDescent="0.25">
      <c r="A140" s="44"/>
      <c r="B140" s="44"/>
      <c r="C140" s="23" t="s">
        <v>13</v>
      </c>
      <c r="D140" s="23">
        <f t="shared" si="4"/>
        <v>1</v>
      </c>
      <c r="E140" s="23">
        <f t="shared" si="5"/>
        <v>-1</v>
      </c>
    </row>
    <row r="141" spans="1:5" x14ac:dyDescent="0.25">
      <c r="A141" s="44"/>
      <c r="B141" s="44"/>
      <c r="C141" s="23" t="s">
        <v>13</v>
      </c>
      <c r="D141" s="23">
        <f t="shared" si="4"/>
        <v>1</v>
      </c>
      <c r="E141" s="23">
        <f t="shared" si="5"/>
        <v>-1</v>
      </c>
    </row>
    <row r="142" spans="1:5" x14ac:dyDescent="0.25">
      <c r="A142" s="44"/>
      <c r="B142" s="44"/>
      <c r="C142" s="23" t="s">
        <v>13</v>
      </c>
      <c r="D142" s="23">
        <f t="shared" si="4"/>
        <v>1</v>
      </c>
      <c r="E142" s="23">
        <f t="shared" si="5"/>
        <v>-1</v>
      </c>
    </row>
    <row r="143" spans="1:5" x14ac:dyDescent="0.25">
      <c r="A143" s="44"/>
      <c r="B143" s="44"/>
      <c r="C143" s="23" t="s">
        <v>13</v>
      </c>
      <c r="D143" s="23">
        <f t="shared" si="4"/>
        <v>1</v>
      </c>
      <c r="E143" s="23">
        <f t="shared" si="5"/>
        <v>-1</v>
      </c>
    </row>
    <row r="144" spans="1:5" x14ac:dyDescent="0.25">
      <c r="A144" s="44"/>
      <c r="B144" s="44"/>
      <c r="C144" s="23" t="s">
        <v>13</v>
      </c>
      <c r="D144" s="23">
        <f t="shared" si="4"/>
        <v>1</v>
      </c>
      <c r="E144" s="23">
        <f t="shared" si="5"/>
        <v>-1</v>
      </c>
    </row>
    <row r="145" spans="1:5" x14ac:dyDescent="0.25">
      <c r="A145" s="44"/>
      <c r="B145" s="44"/>
      <c r="C145" s="23" t="s">
        <v>13</v>
      </c>
      <c r="D145" s="23">
        <f t="shared" si="4"/>
        <v>1</v>
      </c>
      <c r="E145" s="23">
        <f t="shared" si="5"/>
        <v>-1</v>
      </c>
    </row>
    <row r="146" spans="1:5" x14ac:dyDescent="0.25">
      <c r="A146" s="44"/>
      <c r="B146" s="44"/>
      <c r="C146" s="23" t="s">
        <v>13</v>
      </c>
      <c r="D146" s="23">
        <f t="shared" si="4"/>
        <v>1</v>
      </c>
      <c r="E146" s="23">
        <f t="shared" si="5"/>
        <v>-1</v>
      </c>
    </row>
    <row r="147" spans="1:5" x14ac:dyDescent="0.25">
      <c r="A147" s="44"/>
      <c r="B147" s="44"/>
      <c r="C147" s="23" t="s">
        <v>13</v>
      </c>
      <c r="D147" s="23">
        <f t="shared" si="4"/>
        <v>1</v>
      </c>
      <c r="E147" s="23">
        <f t="shared" si="5"/>
        <v>-1</v>
      </c>
    </row>
    <row r="148" spans="1:5" x14ac:dyDescent="0.25">
      <c r="A148" s="44"/>
      <c r="B148" s="44"/>
      <c r="C148" s="23" t="s">
        <v>13</v>
      </c>
      <c r="D148" s="23">
        <f t="shared" si="4"/>
        <v>1</v>
      </c>
      <c r="E148" s="23">
        <f t="shared" si="5"/>
        <v>-1</v>
      </c>
    </row>
    <row r="149" spans="1:5" x14ac:dyDescent="0.25">
      <c r="A149" s="44"/>
      <c r="B149" s="44"/>
      <c r="C149" s="23" t="s">
        <v>13</v>
      </c>
      <c r="D149" s="23">
        <f t="shared" si="4"/>
        <v>1</v>
      </c>
      <c r="E149" s="23">
        <f t="shared" si="5"/>
        <v>-1</v>
      </c>
    </row>
    <row r="150" spans="1:5" x14ac:dyDescent="0.25">
      <c r="A150" s="44"/>
      <c r="B150" s="44"/>
      <c r="C150" s="23" t="s">
        <v>13</v>
      </c>
      <c r="D150" s="23">
        <f t="shared" si="4"/>
        <v>1</v>
      </c>
      <c r="E150" s="23">
        <f t="shared" si="5"/>
        <v>-1</v>
      </c>
    </row>
    <row r="151" spans="1:5" x14ac:dyDescent="0.25">
      <c r="A151" s="44"/>
      <c r="B151" s="44"/>
      <c r="C151" s="23" t="s">
        <v>13</v>
      </c>
      <c r="D151" s="23">
        <f t="shared" si="4"/>
        <v>1</v>
      </c>
      <c r="E151" s="23">
        <f t="shared" si="5"/>
        <v>-1</v>
      </c>
    </row>
    <row r="152" spans="1:5" x14ac:dyDescent="0.25">
      <c r="A152" s="44"/>
      <c r="B152" s="44"/>
      <c r="C152" s="23" t="s">
        <v>13</v>
      </c>
      <c r="D152" s="23">
        <f t="shared" si="4"/>
        <v>1</v>
      </c>
      <c r="E152" s="23">
        <f t="shared" si="5"/>
        <v>-1</v>
      </c>
    </row>
    <row r="153" spans="1:5" x14ac:dyDescent="0.25">
      <c r="A153" s="44"/>
      <c r="B153" s="44"/>
      <c r="C153" s="23" t="s">
        <v>13</v>
      </c>
      <c r="D153" s="23">
        <f t="shared" si="4"/>
        <v>1</v>
      </c>
      <c r="E153" s="23">
        <f t="shared" si="5"/>
        <v>-1</v>
      </c>
    </row>
    <row r="154" spans="1:5" x14ac:dyDescent="0.25">
      <c r="A154" s="44"/>
      <c r="B154" s="44"/>
      <c r="C154" s="23" t="s">
        <v>13</v>
      </c>
      <c r="D154" s="23">
        <f t="shared" si="4"/>
        <v>1</v>
      </c>
      <c r="E154" s="23">
        <f t="shared" si="5"/>
        <v>-1</v>
      </c>
    </row>
    <row r="155" spans="1:5" x14ac:dyDescent="0.25">
      <c r="A155" s="44"/>
      <c r="B155" s="44"/>
      <c r="C155" s="23" t="s">
        <v>13</v>
      </c>
      <c r="D155" s="23">
        <f t="shared" si="4"/>
        <v>1</v>
      </c>
      <c r="E155" s="23">
        <f t="shared" si="5"/>
        <v>-1</v>
      </c>
    </row>
    <row r="156" spans="1:5" x14ac:dyDescent="0.25">
      <c r="A156" s="44"/>
      <c r="B156" s="44"/>
      <c r="C156" s="23" t="s">
        <v>13</v>
      </c>
      <c r="D156" s="23">
        <f t="shared" si="4"/>
        <v>1</v>
      </c>
      <c r="E156" s="23">
        <f t="shared" si="5"/>
        <v>-1</v>
      </c>
    </row>
    <row r="157" spans="1:5" x14ac:dyDescent="0.25">
      <c r="A157" s="44"/>
      <c r="B157" s="44"/>
      <c r="C157" s="23" t="s">
        <v>13</v>
      </c>
      <c r="D157" s="23">
        <f t="shared" si="4"/>
        <v>1</v>
      </c>
      <c r="E157" s="23">
        <f t="shared" si="5"/>
        <v>-1</v>
      </c>
    </row>
    <row r="158" spans="1:5" x14ac:dyDescent="0.25">
      <c r="A158" s="44"/>
      <c r="B158" s="44"/>
      <c r="C158" s="23" t="s">
        <v>13</v>
      </c>
      <c r="D158" s="23">
        <f t="shared" si="4"/>
        <v>1</v>
      </c>
      <c r="E158" s="23">
        <f t="shared" si="5"/>
        <v>-1</v>
      </c>
    </row>
    <row r="159" spans="1:5" x14ac:dyDescent="0.25">
      <c r="A159" s="44"/>
      <c r="B159" s="44"/>
      <c r="C159" s="23" t="s">
        <v>13</v>
      </c>
      <c r="D159" s="23">
        <f t="shared" si="4"/>
        <v>1</v>
      </c>
      <c r="E159" s="23">
        <f t="shared" si="5"/>
        <v>-1</v>
      </c>
    </row>
    <row r="160" spans="1:5" x14ac:dyDescent="0.25">
      <c r="A160" s="44"/>
      <c r="B160" s="44"/>
      <c r="C160" s="23" t="s">
        <v>13</v>
      </c>
      <c r="D160" s="23">
        <f t="shared" si="4"/>
        <v>1</v>
      </c>
      <c r="E160" s="23">
        <f t="shared" si="5"/>
        <v>-1</v>
      </c>
    </row>
    <row r="161" spans="1:5" x14ac:dyDescent="0.25">
      <c r="A161" s="44"/>
      <c r="B161" s="44"/>
      <c r="C161" s="23" t="s">
        <v>13</v>
      </c>
      <c r="D161" s="23">
        <f t="shared" si="4"/>
        <v>1</v>
      </c>
      <c r="E161" s="23">
        <f t="shared" si="5"/>
        <v>-1</v>
      </c>
    </row>
    <row r="162" spans="1:5" x14ac:dyDescent="0.25">
      <c r="A162" s="44"/>
      <c r="B162" s="44"/>
      <c r="C162" s="23" t="s">
        <v>13</v>
      </c>
      <c r="D162" s="23">
        <f t="shared" si="4"/>
        <v>1</v>
      </c>
      <c r="E162" s="23">
        <f t="shared" si="5"/>
        <v>-1</v>
      </c>
    </row>
    <row r="163" spans="1:5" x14ac:dyDescent="0.25">
      <c r="A163" s="44"/>
      <c r="B163" s="44"/>
      <c r="C163" s="23" t="s">
        <v>13</v>
      </c>
      <c r="D163" s="23">
        <f t="shared" si="4"/>
        <v>1</v>
      </c>
      <c r="E163" s="23">
        <f t="shared" si="5"/>
        <v>-1</v>
      </c>
    </row>
    <row r="164" spans="1:5" x14ac:dyDescent="0.25">
      <c r="A164" s="44"/>
      <c r="B164" s="44"/>
      <c r="C164" s="23" t="s">
        <v>13</v>
      </c>
      <c r="D164" s="23">
        <f t="shared" si="4"/>
        <v>1</v>
      </c>
      <c r="E164" s="23">
        <f t="shared" si="5"/>
        <v>-1</v>
      </c>
    </row>
    <row r="165" spans="1:5" x14ac:dyDescent="0.25">
      <c r="A165" s="44"/>
      <c r="B165" s="44"/>
      <c r="C165" s="23" t="s">
        <v>13</v>
      </c>
      <c r="D165" s="23">
        <f t="shared" si="4"/>
        <v>1</v>
      </c>
      <c r="E165" s="23">
        <f t="shared" si="5"/>
        <v>-1</v>
      </c>
    </row>
    <row r="166" spans="1:5" x14ac:dyDescent="0.25">
      <c r="A166" s="44"/>
      <c r="B166" s="44"/>
      <c r="C166" s="23" t="s">
        <v>13</v>
      </c>
      <c r="D166" s="23">
        <f t="shared" si="4"/>
        <v>1</v>
      </c>
      <c r="E166" s="23">
        <f t="shared" si="5"/>
        <v>-1</v>
      </c>
    </row>
    <row r="167" spans="1:5" x14ac:dyDescent="0.25">
      <c r="A167" s="44"/>
      <c r="B167" s="44"/>
      <c r="C167" s="23" t="s">
        <v>13</v>
      </c>
      <c r="D167" s="23">
        <f t="shared" si="4"/>
        <v>1</v>
      </c>
      <c r="E167" s="23">
        <f t="shared" si="5"/>
        <v>-1</v>
      </c>
    </row>
    <row r="168" spans="1:5" x14ac:dyDescent="0.25">
      <c r="A168" s="44"/>
      <c r="B168" s="44"/>
      <c r="C168" s="23" t="s">
        <v>13</v>
      </c>
      <c r="D168" s="23">
        <f t="shared" si="4"/>
        <v>1</v>
      </c>
      <c r="E168" s="23">
        <f t="shared" si="5"/>
        <v>-1</v>
      </c>
    </row>
    <row r="169" spans="1:5" x14ac:dyDescent="0.25">
      <c r="A169" s="44"/>
      <c r="B169" s="44"/>
      <c r="C169" s="23" t="s">
        <v>13</v>
      </c>
      <c r="D169" s="23">
        <f t="shared" si="4"/>
        <v>1</v>
      </c>
      <c r="E169" s="23">
        <f t="shared" si="5"/>
        <v>-1</v>
      </c>
    </row>
    <row r="170" spans="1:5" x14ac:dyDescent="0.25">
      <c r="A170" s="44"/>
      <c r="B170" s="44"/>
      <c r="C170" s="23" t="s">
        <v>13</v>
      </c>
      <c r="D170" s="23">
        <f t="shared" si="4"/>
        <v>1</v>
      </c>
      <c r="E170" s="23">
        <f t="shared" si="5"/>
        <v>-1</v>
      </c>
    </row>
    <row r="171" spans="1:5" x14ac:dyDescent="0.25">
      <c r="A171" s="44"/>
      <c r="B171" s="44"/>
      <c r="C171" s="23" t="s">
        <v>13</v>
      </c>
      <c r="D171" s="23">
        <f t="shared" si="4"/>
        <v>1</v>
      </c>
      <c r="E171" s="23">
        <f t="shared" si="5"/>
        <v>-1</v>
      </c>
    </row>
    <row r="172" spans="1:5" x14ac:dyDescent="0.25">
      <c r="A172" s="44"/>
      <c r="B172" s="44"/>
      <c r="C172" s="23" t="s">
        <v>13</v>
      </c>
      <c r="D172" s="23">
        <f t="shared" si="4"/>
        <v>1</v>
      </c>
      <c r="E172" s="23">
        <f t="shared" si="5"/>
        <v>-1</v>
      </c>
    </row>
    <row r="173" spans="1:5" x14ac:dyDescent="0.25">
      <c r="A173" s="44"/>
      <c r="B173" s="44"/>
      <c r="C173" s="23" t="s">
        <v>13</v>
      </c>
      <c r="D173" s="23">
        <f t="shared" si="4"/>
        <v>1</v>
      </c>
      <c r="E173" s="23">
        <f t="shared" si="5"/>
        <v>-1</v>
      </c>
    </row>
    <row r="174" spans="1:5" x14ac:dyDescent="0.25">
      <c r="A174" s="44"/>
      <c r="B174" s="44"/>
      <c r="C174" s="23" t="s">
        <v>13</v>
      </c>
      <c r="D174" s="23">
        <f t="shared" si="4"/>
        <v>1</v>
      </c>
      <c r="E174" s="23">
        <f t="shared" si="5"/>
        <v>-1</v>
      </c>
    </row>
    <row r="175" spans="1:5" x14ac:dyDescent="0.25">
      <c r="A175" s="44"/>
      <c r="B175" s="44"/>
      <c r="C175" s="23" t="s">
        <v>13</v>
      </c>
      <c r="D175" s="23">
        <f t="shared" si="4"/>
        <v>1</v>
      </c>
      <c r="E175" s="23">
        <f t="shared" si="5"/>
        <v>-1</v>
      </c>
    </row>
    <row r="176" spans="1:5" x14ac:dyDescent="0.25">
      <c r="A176" s="44"/>
      <c r="B176" s="44"/>
      <c r="C176" s="23" t="s">
        <v>13</v>
      </c>
      <c r="D176" s="23">
        <f t="shared" si="4"/>
        <v>1</v>
      </c>
      <c r="E176" s="23">
        <f t="shared" si="5"/>
        <v>-1</v>
      </c>
    </row>
    <row r="177" spans="1:5" x14ac:dyDescent="0.25">
      <c r="A177" s="44"/>
      <c r="B177" s="44"/>
      <c r="C177" s="23" t="s">
        <v>13</v>
      </c>
      <c r="D177" s="23">
        <f t="shared" si="4"/>
        <v>1</v>
      </c>
      <c r="E177" s="23">
        <f t="shared" si="5"/>
        <v>-1</v>
      </c>
    </row>
    <row r="178" spans="1:5" x14ac:dyDescent="0.25">
      <c r="A178" s="44"/>
      <c r="B178" s="44"/>
      <c r="C178" s="23" t="s">
        <v>13</v>
      </c>
      <c r="D178" s="23">
        <f t="shared" si="4"/>
        <v>1</v>
      </c>
      <c r="E178" s="23">
        <f t="shared" si="5"/>
        <v>-1</v>
      </c>
    </row>
    <row r="179" spans="1:5" x14ac:dyDescent="0.25">
      <c r="A179" s="44"/>
      <c r="B179" s="44"/>
      <c r="C179" s="23" t="s">
        <v>13</v>
      </c>
      <c r="D179" s="23">
        <f t="shared" si="4"/>
        <v>1</v>
      </c>
      <c r="E179" s="23">
        <f t="shared" si="5"/>
        <v>-1</v>
      </c>
    </row>
    <row r="180" spans="1:5" x14ac:dyDescent="0.25">
      <c r="A180" s="44"/>
      <c r="B180" s="44"/>
      <c r="C180" s="23" t="s">
        <v>13</v>
      </c>
      <c r="D180" s="23">
        <f t="shared" si="4"/>
        <v>1</v>
      </c>
      <c r="E180" s="23">
        <f t="shared" si="5"/>
        <v>-1</v>
      </c>
    </row>
    <row r="181" spans="1:5" x14ac:dyDescent="0.25">
      <c r="A181" s="44"/>
      <c r="B181" s="44"/>
      <c r="C181" s="23" t="s">
        <v>13</v>
      </c>
      <c r="D181" s="23">
        <f t="shared" si="4"/>
        <v>1</v>
      </c>
      <c r="E181" s="23">
        <f t="shared" si="5"/>
        <v>-1</v>
      </c>
    </row>
    <row r="182" spans="1:5" x14ac:dyDescent="0.25">
      <c r="A182" s="44"/>
      <c r="B182" s="44"/>
      <c r="C182" s="23" t="s">
        <v>13</v>
      </c>
      <c r="D182" s="23">
        <f t="shared" si="4"/>
        <v>1</v>
      </c>
      <c r="E182" s="23">
        <f t="shared" si="5"/>
        <v>-1</v>
      </c>
    </row>
    <row r="183" spans="1:5" x14ac:dyDescent="0.25">
      <c r="A183" s="44"/>
      <c r="B183" s="44"/>
      <c r="C183" s="23" t="s">
        <v>13</v>
      </c>
      <c r="D183" s="23">
        <f t="shared" si="4"/>
        <v>1</v>
      </c>
      <c r="E183" s="23">
        <f t="shared" si="5"/>
        <v>-1</v>
      </c>
    </row>
    <row r="184" spans="1:5" x14ac:dyDescent="0.25">
      <c r="A184" s="44"/>
      <c r="B184" s="44"/>
      <c r="C184" s="23" t="s">
        <v>13</v>
      </c>
      <c r="D184" s="23">
        <f t="shared" si="4"/>
        <v>1</v>
      </c>
      <c r="E184" s="23">
        <f t="shared" si="5"/>
        <v>-1</v>
      </c>
    </row>
    <row r="185" spans="1:5" x14ac:dyDescent="0.25">
      <c r="A185" s="44"/>
      <c r="B185" s="44"/>
      <c r="C185" s="23" t="s">
        <v>13</v>
      </c>
      <c r="D185" s="23">
        <f t="shared" si="4"/>
        <v>1</v>
      </c>
      <c r="E185" s="23">
        <f t="shared" si="5"/>
        <v>-1</v>
      </c>
    </row>
    <row r="186" spans="1:5" x14ac:dyDescent="0.25">
      <c r="A186" s="44"/>
      <c r="B186" s="44"/>
      <c r="C186" s="23" t="s">
        <v>13</v>
      </c>
      <c r="D186" s="23">
        <f t="shared" si="4"/>
        <v>1</v>
      </c>
      <c r="E186" s="23">
        <f t="shared" si="5"/>
        <v>-1</v>
      </c>
    </row>
    <row r="187" spans="1:5" x14ac:dyDescent="0.25">
      <c r="A187" s="44"/>
      <c r="B187" s="44"/>
      <c r="C187" s="23" t="s">
        <v>13</v>
      </c>
      <c r="D187" s="23">
        <f t="shared" si="4"/>
        <v>1</v>
      </c>
      <c r="E187" s="23">
        <f t="shared" si="5"/>
        <v>-1</v>
      </c>
    </row>
    <row r="188" spans="1:5" x14ac:dyDescent="0.25">
      <c r="A188" s="44"/>
      <c r="B188" s="44"/>
      <c r="C188" s="23" t="s">
        <v>13</v>
      </c>
      <c r="D188" s="23">
        <f t="shared" si="4"/>
        <v>1</v>
      </c>
      <c r="E188" s="23">
        <f t="shared" si="5"/>
        <v>-1</v>
      </c>
    </row>
    <row r="189" spans="1:5" x14ac:dyDescent="0.25">
      <c r="A189" s="44"/>
      <c r="B189" s="44"/>
      <c r="C189" s="23" t="s">
        <v>13</v>
      </c>
      <c r="D189" s="23">
        <f t="shared" si="4"/>
        <v>1</v>
      </c>
      <c r="E189" s="23">
        <f t="shared" si="5"/>
        <v>-1</v>
      </c>
    </row>
    <row r="190" spans="1:5" x14ac:dyDescent="0.25">
      <c r="A190" s="44"/>
      <c r="B190" s="44"/>
      <c r="C190" s="23" t="s">
        <v>13</v>
      </c>
      <c r="D190" s="23">
        <f t="shared" si="4"/>
        <v>1</v>
      </c>
      <c r="E190" s="23">
        <f t="shared" si="5"/>
        <v>-1</v>
      </c>
    </row>
    <row r="191" spans="1:5" x14ac:dyDescent="0.25">
      <c r="A191" s="44"/>
      <c r="B191" s="44"/>
      <c r="C191" s="23" t="s">
        <v>13</v>
      </c>
      <c r="D191" s="23">
        <f t="shared" si="4"/>
        <v>1</v>
      </c>
      <c r="E191" s="23">
        <f t="shared" si="5"/>
        <v>-1</v>
      </c>
    </row>
    <row r="192" spans="1:5" x14ac:dyDescent="0.25">
      <c r="A192" s="44"/>
      <c r="B192" s="44"/>
      <c r="C192" s="23" t="s">
        <v>13</v>
      </c>
      <c r="D192" s="23">
        <f t="shared" si="4"/>
        <v>1</v>
      </c>
      <c r="E192" s="23">
        <f t="shared" si="5"/>
        <v>-1</v>
      </c>
    </row>
    <row r="193" spans="1:5" x14ac:dyDescent="0.25">
      <c r="A193" s="44"/>
      <c r="B193" s="44"/>
      <c r="C193" s="23" t="s">
        <v>13</v>
      </c>
      <c r="D193" s="23">
        <f t="shared" si="4"/>
        <v>1</v>
      </c>
      <c r="E193" s="23">
        <f t="shared" si="5"/>
        <v>-1</v>
      </c>
    </row>
    <row r="194" spans="1:5" x14ac:dyDescent="0.25">
      <c r="A194" s="44"/>
      <c r="B194" s="44"/>
      <c r="C194" s="23" t="s">
        <v>13</v>
      </c>
      <c r="D194" s="23">
        <f t="shared" si="4"/>
        <v>1</v>
      </c>
      <c r="E194" s="23">
        <f t="shared" si="5"/>
        <v>-1</v>
      </c>
    </row>
    <row r="195" spans="1:5" x14ac:dyDescent="0.25">
      <c r="A195" s="44"/>
      <c r="B195" s="44"/>
      <c r="C195" s="23" t="s">
        <v>13</v>
      </c>
      <c r="D195" s="23">
        <f t="shared" si="4"/>
        <v>1</v>
      </c>
      <c r="E195" s="23">
        <f t="shared" si="5"/>
        <v>-1</v>
      </c>
    </row>
    <row r="196" spans="1:5" x14ac:dyDescent="0.25">
      <c r="A196" s="44"/>
      <c r="B196" s="44"/>
      <c r="C196" s="23" t="s">
        <v>13</v>
      </c>
      <c r="D196" s="23">
        <f t="shared" si="4"/>
        <v>1</v>
      </c>
      <c r="E196" s="23">
        <f t="shared" si="5"/>
        <v>-1</v>
      </c>
    </row>
    <row r="197" spans="1:5" x14ac:dyDescent="0.25">
      <c r="A197" s="44"/>
      <c r="B197" s="44"/>
      <c r="C197" s="23" t="s">
        <v>13</v>
      </c>
      <c r="D197" s="23">
        <f t="shared" si="4"/>
        <v>1</v>
      </c>
      <c r="E197" s="23">
        <f t="shared" si="5"/>
        <v>-1</v>
      </c>
    </row>
    <row r="198" spans="1:5" x14ac:dyDescent="0.25">
      <c r="A198" s="44"/>
      <c r="B198" s="44"/>
      <c r="C198" s="23" t="s">
        <v>13</v>
      </c>
      <c r="D198" s="23">
        <f t="shared" si="4"/>
        <v>1</v>
      </c>
      <c r="E198" s="23">
        <f t="shared" si="5"/>
        <v>-1</v>
      </c>
    </row>
    <row r="199" spans="1:5" x14ac:dyDescent="0.25">
      <c r="A199" s="44"/>
      <c r="B199" s="44"/>
      <c r="C199" s="23" t="s">
        <v>13</v>
      </c>
      <c r="D199" s="23">
        <f t="shared" ref="D199:D262" si="6">B199-A199+1</f>
        <v>1</v>
      </c>
      <c r="E199" s="23">
        <f t="shared" si="5"/>
        <v>-1</v>
      </c>
    </row>
    <row r="200" spans="1:5" x14ac:dyDescent="0.25">
      <c r="A200" s="44"/>
      <c r="B200" s="44"/>
      <c r="C200" s="23" t="s">
        <v>13</v>
      </c>
      <c r="D200" s="23">
        <f t="shared" si="6"/>
        <v>1</v>
      </c>
      <c r="E200" s="23">
        <f t="shared" ref="E200:E263" si="7">A200-B199-1</f>
        <v>-1</v>
      </c>
    </row>
    <row r="201" spans="1:5" x14ac:dyDescent="0.25">
      <c r="A201" s="44"/>
      <c r="B201" s="44"/>
      <c r="C201" s="23" t="s">
        <v>13</v>
      </c>
      <c r="D201" s="23">
        <f t="shared" si="6"/>
        <v>1</v>
      </c>
      <c r="E201" s="23">
        <f t="shared" si="7"/>
        <v>-1</v>
      </c>
    </row>
    <row r="202" spans="1:5" x14ac:dyDescent="0.25">
      <c r="A202" s="44"/>
      <c r="B202" s="44"/>
      <c r="C202" s="23" t="s">
        <v>13</v>
      </c>
      <c r="D202" s="23">
        <f t="shared" si="6"/>
        <v>1</v>
      </c>
      <c r="E202" s="23">
        <f t="shared" si="7"/>
        <v>-1</v>
      </c>
    </row>
    <row r="203" spans="1:5" x14ac:dyDescent="0.25">
      <c r="A203" s="44"/>
      <c r="B203" s="44"/>
      <c r="C203" s="23" t="s">
        <v>13</v>
      </c>
      <c r="D203" s="23">
        <f t="shared" si="6"/>
        <v>1</v>
      </c>
      <c r="E203" s="23">
        <f t="shared" si="7"/>
        <v>-1</v>
      </c>
    </row>
    <row r="204" spans="1:5" x14ac:dyDescent="0.25">
      <c r="A204" s="44"/>
      <c r="B204" s="44"/>
      <c r="C204" s="23" t="s">
        <v>13</v>
      </c>
      <c r="D204" s="23">
        <f t="shared" si="6"/>
        <v>1</v>
      </c>
      <c r="E204" s="23">
        <f t="shared" si="7"/>
        <v>-1</v>
      </c>
    </row>
    <row r="205" spans="1:5" x14ac:dyDescent="0.25">
      <c r="A205" s="44"/>
      <c r="B205" s="44"/>
      <c r="C205" s="23" t="s">
        <v>13</v>
      </c>
      <c r="D205" s="23">
        <f t="shared" si="6"/>
        <v>1</v>
      </c>
      <c r="E205" s="23">
        <f t="shared" si="7"/>
        <v>-1</v>
      </c>
    </row>
    <row r="206" spans="1:5" x14ac:dyDescent="0.25">
      <c r="A206" s="44"/>
      <c r="B206" s="44"/>
      <c r="C206" s="23" t="s">
        <v>13</v>
      </c>
      <c r="D206" s="23">
        <f t="shared" si="6"/>
        <v>1</v>
      </c>
      <c r="E206" s="23">
        <f t="shared" si="7"/>
        <v>-1</v>
      </c>
    </row>
    <row r="207" spans="1:5" x14ac:dyDescent="0.25">
      <c r="A207" s="44"/>
      <c r="B207" s="44"/>
      <c r="C207" s="23" t="s">
        <v>13</v>
      </c>
      <c r="D207" s="23">
        <f t="shared" si="6"/>
        <v>1</v>
      </c>
      <c r="E207" s="23">
        <f t="shared" si="7"/>
        <v>-1</v>
      </c>
    </row>
    <row r="208" spans="1:5" x14ac:dyDescent="0.25">
      <c r="A208" s="44"/>
      <c r="B208" s="44"/>
      <c r="C208" s="23" t="s">
        <v>13</v>
      </c>
      <c r="D208" s="23">
        <f t="shared" si="6"/>
        <v>1</v>
      </c>
      <c r="E208" s="23">
        <f t="shared" si="7"/>
        <v>-1</v>
      </c>
    </row>
    <row r="209" spans="1:5" x14ac:dyDescent="0.25">
      <c r="A209" s="44"/>
      <c r="B209" s="44"/>
      <c r="C209" s="23" t="s">
        <v>13</v>
      </c>
      <c r="D209" s="23">
        <f t="shared" si="6"/>
        <v>1</v>
      </c>
      <c r="E209" s="23">
        <f t="shared" si="7"/>
        <v>-1</v>
      </c>
    </row>
    <row r="210" spans="1:5" x14ac:dyDescent="0.25">
      <c r="A210" s="44"/>
      <c r="B210" s="44"/>
      <c r="C210" s="23" t="s">
        <v>13</v>
      </c>
      <c r="D210" s="23">
        <f t="shared" si="6"/>
        <v>1</v>
      </c>
      <c r="E210" s="23">
        <f t="shared" si="7"/>
        <v>-1</v>
      </c>
    </row>
    <row r="211" spans="1:5" x14ac:dyDescent="0.25">
      <c r="A211" s="44"/>
      <c r="B211" s="44"/>
      <c r="C211" s="23" t="s">
        <v>13</v>
      </c>
      <c r="D211" s="23">
        <f t="shared" si="6"/>
        <v>1</v>
      </c>
      <c r="E211" s="23">
        <f t="shared" si="7"/>
        <v>-1</v>
      </c>
    </row>
    <row r="212" spans="1:5" x14ac:dyDescent="0.25">
      <c r="A212" s="44"/>
      <c r="B212" s="44"/>
      <c r="C212" s="23" t="s">
        <v>13</v>
      </c>
      <c r="D212" s="23">
        <f t="shared" si="6"/>
        <v>1</v>
      </c>
      <c r="E212" s="23">
        <f t="shared" si="7"/>
        <v>-1</v>
      </c>
    </row>
    <row r="213" spans="1:5" x14ac:dyDescent="0.25">
      <c r="A213" s="44"/>
      <c r="B213" s="44"/>
      <c r="C213" s="23" t="s">
        <v>13</v>
      </c>
      <c r="D213" s="23">
        <f t="shared" si="6"/>
        <v>1</v>
      </c>
      <c r="E213" s="23">
        <f t="shared" si="7"/>
        <v>-1</v>
      </c>
    </row>
    <row r="214" spans="1:5" x14ac:dyDescent="0.25">
      <c r="A214" s="44"/>
      <c r="B214" s="44"/>
      <c r="C214" s="23" t="s">
        <v>13</v>
      </c>
      <c r="D214" s="23">
        <f t="shared" si="6"/>
        <v>1</v>
      </c>
      <c r="E214" s="23">
        <f t="shared" si="7"/>
        <v>-1</v>
      </c>
    </row>
    <row r="215" spans="1:5" x14ac:dyDescent="0.25">
      <c r="A215" s="44"/>
      <c r="B215" s="44"/>
      <c r="C215" s="23" t="s">
        <v>13</v>
      </c>
      <c r="D215" s="23">
        <f t="shared" si="6"/>
        <v>1</v>
      </c>
      <c r="E215" s="23">
        <f t="shared" si="7"/>
        <v>-1</v>
      </c>
    </row>
    <row r="216" spans="1:5" x14ac:dyDescent="0.25">
      <c r="A216" s="44"/>
      <c r="B216" s="44"/>
      <c r="C216" s="23" t="s">
        <v>13</v>
      </c>
      <c r="D216" s="23">
        <f t="shared" si="6"/>
        <v>1</v>
      </c>
      <c r="E216" s="23">
        <f t="shared" si="7"/>
        <v>-1</v>
      </c>
    </row>
    <row r="217" spans="1:5" x14ac:dyDescent="0.25">
      <c r="A217" s="44"/>
      <c r="B217" s="44"/>
      <c r="C217" s="23" t="s">
        <v>13</v>
      </c>
      <c r="D217" s="23">
        <f t="shared" si="6"/>
        <v>1</v>
      </c>
      <c r="E217" s="23">
        <f t="shared" si="7"/>
        <v>-1</v>
      </c>
    </row>
    <row r="218" spans="1:5" x14ac:dyDescent="0.25">
      <c r="A218" s="44"/>
      <c r="B218" s="44"/>
      <c r="C218" s="23" t="s">
        <v>13</v>
      </c>
      <c r="D218" s="23">
        <f t="shared" si="6"/>
        <v>1</v>
      </c>
      <c r="E218" s="23">
        <f t="shared" si="7"/>
        <v>-1</v>
      </c>
    </row>
    <row r="219" spans="1:5" x14ac:dyDescent="0.25">
      <c r="A219" s="44"/>
      <c r="B219" s="44"/>
      <c r="C219" s="23" t="s">
        <v>13</v>
      </c>
      <c r="D219" s="23">
        <f t="shared" si="6"/>
        <v>1</v>
      </c>
      <c r="E219" s="23">
        <f t="shared" si="7"/>
        <v>-1</v>
      </c>
    </row>
    <row r="220" spans="1:5" x14ac:dyDescent="0.25">
      <c r="A220" s="44"/>
      <c r="B220" s="44"/>
      <c r="C220" s="23" t="s">
        <v>13</v>
      </c>
      <c r="D220" s="23">
        <f t="shared" si="6"/>
        <v>1</v>
      </c>
      <c r="E220" s="23">
        <f t="shared" si="7"/>
        <v>-1</v>
      </c>
    </row>
    <row r="221" spans="1:5" x14ac:dyDescent="0.25">
      <c r="A221" s="44"/>
      <c r="B221" s="44"/>
      <c r="C221" s="23" t="s">
        <v>13</v>
      </c>
      <c r="D221" s="23">
        <f t="shared" si="6"/>
        <v>1</v>
      </c>
      <c r="E221" s="23">
        <f t="shared" si="7"/>
        <v>-1</v>
      </c>
    </row>
    <row r="222" spans="1:5" x14ac:dyDescent="0.25">
      <c r="A222" s="44"/>
      <c r="B222" s="44"/>
      <c r="C222" s="23" t="s">
        <v>13</v>
      </c>
      <c r="D222" s="23">
        <f t="shared" si="6"/>
        <v>1</v>
      </c>
      <c r="E222" s="23">
        <f t="shared" si="7"/>
        <v>-1</v>
      </c>
    </row>
    <row r="223" spans="1:5" x14ac:dyDescent="0.25">
      <c r="A223" s="44"/>
      <c r="B223" s="44"/>
      <c r="C223" s="23" t="s">
        <v>13</v>
      </c>
      <c r="D223" s="23">
        <f t="shared" si="6"/>
        <v>1</v>
      </c>
      <c r="E223" s="23">
        <f t="shared" si="7"/>
        <v>-1</v>
      </c>
    </row>
    <row r="224" spans="1:5" x14ac:dyDescent="0.25">
      <c r="A224" s="44"/>
      <c r="B224" s="44"/>
      <c r="C224" s="23" t="s">
        <v>13</v>
      </c>
      <c r="D224" s="23">
        <f t="shared" si="6"/>
        <v>1</v>
      </c>
      <c r="E224" s="23">
        <f t="shared" si="7"/>
        <v>-1</v>
      </c>
    </row>
    <row r="225" spans="1:5" x14ac:dyDescent="0.25">
      <c r="A225" s="44"/>
      <c r="B225" s="44"/>
      <c r="C225" s="23" t="s">
        <v>13</v>
      </c>
      <c r="D225" s="23">
        <f t="shared" si="6"/>
        <v>1</v>
      </c>
      <c r="E225" s="23">
        <f t="shared" si="7"/>
        <v>-1</v>
      </c>
    </row>
    <row r="226" spans="1:5" x14ac:dyDescent="0.25">
      <c r="A226" s="44"/>
      <c r="B226" s="44"/>
      <c r="C226" s="23" t="s">
        <v>13</v>
      </c>
      <c r="D226" s="23">
        <f t="shared" si="6"/>
        <v>1</v>
      </c>
      <c r="E226" s="23">
        <f t="shared" si="7"/>
        <v>-1</v>
      </c>
    </row>
    <row r="227" spans="1:5" x14ac:dyDescent="0.25">
      <c r="A227" s="44"/>
      <c r="B227" s="44"/>
      <c r="C227" s="23" t="s">
        <v>13</v>
      </c>
      <c r="D227" s="23">
        <f t="shared" si="6"/>
        <v>1</v>
      </c>
      <c r="E227" s="23">
        <f t="shared" si="7"/>
        <v>-1</v>
      </c>
    </row>
    <row r="228" spans="1:5" x14ac:dyDescent="0.25">
      <c r="A228" s="44"/>
      <c r="B228" s="44"/>
      <c r="C228" s="23" t="s">
        <v>13</v>
      </c>
      <c r="D228" s="23">
        <f t="shared" si="6"/>
        <v>1</v>
      </c>
      <c r="E228" s="23">
        <f t="shared" si="7"/>
        <v>-1</v>
      </c>
    </row>
    <row r="229" spans="1:5" x14ac:dyDescent="0.25">
      <c r="A229" s="44"/>
      <c r="B229" s="44"/>
      <c r="C229" s="23" t="s">
        <v>13</v>
      </c>
      <c r="D229" s="23">
        <f t="shared" si="6"/>
        <v>1</v>
      </c>
      <c r="E229" s="23">
        <f t="shared" si="7"/>
        <v>-1</v>
      </c>
    </row>
    <row r="230" spans="1:5" x14ac:dyDescent="0.25">
      <c r="A230" s="44"/>
      <c r="B230" s="44"/>
      <c r="C230" s="23" t="s">
        <v>13</v>
      </c>
      <c r="D230" s="23">
        <f t="shared" si="6"/>
        <v>1</v>
      </c>
      <c r="E230" s="23">
        <f t="shared" si="7"/>
        <v>-1</v>
      </c>
    </row>
    <row r="231" spans="1:5" x14ac:dyDescent="0.25">
      <c r="A231" s="44"/>
      <c r="B231" s="44"/>
      <c r="C231" s="23" t="s">
        <v>13</v>
      </c>
      <c r="D231" s="23">
        <f t="shared" si="6"/>
        <v>1</v>
      </c>
      <c r="E231" s="23">
        <f t="shared" si="7"/>
        <v>-1</v>
      </c>
    </row>
    <row r="232" spans="1:5" x14ac:dyDescent="0.25">
      <c r="A232" s="44"/>
      <c r="B232" s="44"/>
      <c r="C232" s="23" t="s">
        <v>13</v>
      </c>
      <c r="D232" s="23">
        <f t="shared" si="6"/>
        <v>1</v>
      </c>
      <c r="E232" s="23">
        <f t="shared" si="7"/>
        <v>-1</v>
      </c>
    </row>
    <row r="233" spans="1:5" x14ac:dyDescent="0.25">
      <c r="A233" s="44"/>
      <c r="B233" s="44"/>
      <c r="C233" s="23" t="s">
        <v>13</v>
      </c>
      <c r="D233" s="23">
        <f t="shared" si="6"/>
        <v>1</v>
      </c>
      <c r="E233" s="23">
        <f t="shared" si="7"/>
        <v>-1</v>
      </c>
    </row>
    <row r="234" spans="1:5" x14ac:dyDescent="0.25">
      <c r="A234" s="44"/>
      <c r="B234" s="44"/>
      <c r="C234" s="23" t="s">
        <v>13</v>
      </c>
      <c r="D234" s="23">
        <f t="shared" si="6"/>
        <v>1</v>
      </c>
      <c r="E234" s="23">
        <f t="shared" si="7"/>
        <v>-1</v>
      </c>
    </row>
    <row r="235" spans="1:5" x14ac:dyDescent="0.25">
      <c r="A235" s="44"/>
      <c r="B235" s="44"/>
      <c r="C235" s="23" t="s">
        <v>13</v>
      </c>
      <c r="D235" s="23">
        <f t="shared" si="6"/>
        <v>1</v>
      </c>
      <c r="E235" s="23">
        <f t="shared" si="7"/>
        <v>-1</v>
      </c>
    </row>
    <row r="236" spans="1:5" x14ac:dyDescent="0.25">
      <c r="A236" s="44"/>
      <c r="B236" s="44"/>
      <c r="C236" s="23" t="s">
        <v>13</v>
      </c>
      <c r="D236" s="23">
        <f t="shared" si="6"/>
        <v>1</v>
      </c>
      <c r="E236" s="23">
        <f t="shared" si="7"/>
        <v>-1</v>
      </c>
    </row>
    <row r="237" spans="1:5" x14ac:dyDescent="0.25">
      <c r="A237" s="44"/>
      <c r="B237" s="44"/>
      <c r="C237" s="23" t="s">
        <v>13</v>
      </c>
      <c r="D237" s="23">
        <f t="shared" si="6"/>
        <v>1</v>
      </c>
      <c r="E237" s="23">
        <f t="shared" si="7"/>
        <v>-1</v>
      </c>
    </row>
    <row r="238" spans="1:5" x14ac:dyDescent="0.25">
      <c r="A238" s="44"/>
      <c r="B238" s="44"/>
      <c r="C238" s="23" t="s">
        <v>13</v>
      </c>
      <c r="D238" s="23">
        <f t="shared" si="6"/>
        <v>1</v>
      </c>
      <c r="E238" s="23">
        <f t="shared" si="7"/>
        <v>-1</v>
      </c>
    </row>
    <row r="239" spans="1:5" x14ac:dyDescent="0.25">
      <c r="A239" s="44"/>
      <c r="B239" s="44"/>
      <c r="C239" s="23" t="s">
        <v>13</v>
      </c>
      <c r="D239" s="23">
        <f t="shared" si="6"/>
        <v>1</v>
      </c>
      <c r="E239" s="23">
        <f t="shared" si="7"/>
        <v>-1</v>
      </c>
    </row>
    <row r="240" spans="1:5" x14ac:dyDescent="0.25">
      <c r="A240" s="44"/>
      <c r="B240" s="44"/>
      <c r="C240" s="23" t="s">
        <v>13</v>
      </c>
      <c r="D240" s="23">
        <f t="shared" si="6"/>
        <v>1</v>
      </c>
      <c r="E240" s="23">
        <f t="shared" si="7"/>
        <v>-1</v>
      </c>
    </row>
    <row r="241" spans="1:5" x14ac:dyDescent="0.25">
      <c r="A241" s="44"/>
      <c r="B241" s="44"/>
      <c r="C241" s="23" t="s">
        <v>13</v>
      </c>
      <c r="D241" s="23">
        <f t="shared" si="6"/>
        <v>1</v>
      </c>
      <c r="E241" s="23">
        <f t="shared" si="7"/>
        <v>-1</v>
      </c>
    </row>
    <row r="242" spans="1:5" x14ac:dyDescent="0.25">
      <c r="A242" s="44"/>
      <c r="B242" s="44"/>
      <c r="C242" s="23" t="s">
        <v>13</v>
      </c>
      <c r="D242" s="23">
        <f t="shared" si="6"/>
        <v>1</v>
      </c>
      <c r="E242" s="23">
        <f t="shared" si="7"/>
        <v>-1</v>
      </c>
    </row>
    <row r="243" spans="1:5" x14ac:dyDescent="0.25">
      <c r="A243" s="44"/>
      <c r="B243" s="44"/>
      <c r="C243" s="23" t="s">
        <v>13</v>
      </c>
      <c r="D243" s="23">
        <f t="shared" si="6"/>
        <v>1</v>
      </c>
      <c r="E243" s="23">
        <f t="shared" si="7"/>
        <v>-1</v>
      </c>
    </row>
    <row r="244" spans="1:5" x14ac:dyDescent="0.25">
      <c r="A244" s="44"/>
      <c r="B244" s="44"/>
      <c r="C244" s="23" t="s">
        <v>13</v>
      </c>
      <c r="D244" s="23">
        <f t="shared" si="6"/>
        <v>1</v>
      </c>
      <c r="E244" s="23">
        <f t="shared" si="7"/>
        <v>-1</v>
      </c>
    </row>
    <row r="245" spans="1:5" x14ac:dyDescent="0.25">
      <c r="A245" s="44"/>
      <c r="B245" s="44"/>
      <c r="C245" s="23" t="s">
        <v>13</v>
      </c>
      <c r="D245" s="23">
        <f t="shared" si="6"/>
        <v>1</v>
      </c>
      <c r="E245" s="23">
        <f t="shared" si="7"/>
        <v>-1</v>
      </c>
    </row>
    <row r="246" spans="1:5" x14ac:dyDescent="0.25">
      <c r="A246" s="44"/>
      <c r="B246" s="44"/>
      <c r="C246" s="23" t="s">
        <v>13</v>
      </c>
      <c r="D246" s="23">
        <f t="shared" si="6"/>
        <v>1</v>
      </c>
      <c r="E246" s="23">
        <f t="shared" si="7"/>
        <v>-1</v>
      </c>
    </row>
    <row r="247" spans="1:5" x14ac:dyDescent="0.25">
      <c r="A247" s="44"/>
      <c r="B247" s="44"/>
      <c r="C247" s="23" t="s">
        <v>13</v>
      </c>
      <c r="D247" s="23">
        <f t="shared" si="6"/>
        <v>1</v>
      </c>
      <c r="E247" s="23">
        <f t="shared" si="7"/>
        <v>-1</v>
      </c>
    </row>
    <row r="248" spans="1:5" x14ac:dyDescent="0.25">
      <c r="A248" s="44"/>
      <c r="B248" s="44"/>
      <c r="C248" s="23" t="s">
        <v>13</v>
      </c>
      <c r="D248" s="23">
        <f t="shared" si="6"/>
        <v>1</v>
      </c>
      <c r="E248" s="23">
        <f t="shared" si="7"/>
        <v>-1</v>
      </c>
    </row>
    <row r="249" spans="1:5" x14ac:dyDescent="0.25">
      <c r="A249" s="44"/>
      <c r="B249" s="44"/>
      <c r="C249" s="23" t="s">
        <v>13</v>
      </c>
      <c r="D249" s="23">
        <f t="shared" si="6"/>
        <v>1</v>
      </c>
      <c r="E249" s="23">
        <f t="shared" si="7"/>
        <v>-1</v>
      </c>
    </row>
    <row r="250" spans="1:5" x14ac:dyDescent="0.25">
      <c r="A250" s="44"/>
      <c r="B250" s="44"/>
      <c r="C250" s="23" t="s">
        <v>13</v>
      </c>
      <c r="D250" s="23">
        <f t="shared" si="6"/>
        <v>1</v>
      </c>
      <c r="E250" s="23">
        <f t="shared" si="7"/>
        <v>-1</v>
      </c>
    </row>
    <row r="251" spans="1:5" x14ac:dyDescent="0.25">
      <c r="A251" s="44"/>
      <c r="B251" s="44"/>
      <c r="C251" s="23" t="s">
        <v>13</v>
      </c>
      <c r="D251" s="23">
        <f t="shared" si="6"/>
        <v>1</v>
      </c>
      <c r="E251" s="23">
        <f t="shared" si="7"/>
        <v>-1</v>
      </c>
    </row>
    <row r="252" spans="1:5" x14ac:dyDescent="0.25">
      <c r="A252" s="44"/>
      <c r="B252" s="44"/>
      <c r="C252" s="23" t="s">
        <v>13</v>
      </c>
      <c r="D252" s="23">
        <f t="shared" si="6"/>
        <v>1</v>
      </c>
      <c r="E252" s="23">
        <f t="shared" si="7"/>
        <v>-1</v>
      </c>
    </row>
    <row r="253" spans="1:5" x14ac:dyDescent="0.25">
      <c r="A253" s="44"/>
      <c r="B253" s="44"/>
      <c r="C253" s="23" t="s">
        <v>13</v>
      </c>
      <c r="D253" s="23">
        <f t="shared" si="6"/>
        <v>1</v>
      </c>
      <c r="E253" s="23">
        <f t="shared" si="7"/>
        <v>-1</v>
      </c>
    </row>
    <row r="254" spans="1:5" x14ac:dyDescent="0.25">
      <c r="A254" s="44"/>
      <c r="B254" s="44"/>
      <c r="C254" s="23" t="s">
        <v>13</v>
      </c>
      <c r="D254" s="23">
        <f t="shared" si="6"/>
        <v>1</v>
      </c>
      <c r="E254" s="23">
        <f t="shared" si="7"/>
        <v>-1</v>
      </c>
    </row>
    <row r="255" spans="1:5" x14ac:dyDescent="0.25">
      <c r="A255" s="44"/>
      <c r="B255" s="44"/>
      <c r="C255" s="23" t="s">
        <v>13</v>
      </c>
      <c r="D255" s="23">
        <f t="shared" si="6"/>
        <v>1</v>
      </c>
      <c r="E255" s="23">
        <f t="shared" si="7"/>
        <v>-1</v>
      </c>
    </row>
    <row r="256" spans="1:5" x14ac:dyDescent="0.25">
      <c r="A256" s="44"/>
      <c r="B256" s="44"/>
      <c r="C256" s="23" t="s">
        <v>13</v>
      </c>
      <c r="D256" s="23">
        <f t="shared" si="6"/>
        <v>1</v>
      </c>
      <c r="E256" s="23">
        <f t="shared" si="7"/>
        <v>-1</v>
      </c>
    </row>
    <row r="257" spans="1:5" x14ac:dyDescent="0.25">
      <c r="A257" s="44"/>
      <c r="B257" s="44"/>
      <c r="C257" s="23" t="s">
        <v>13</v>
      </c>
      <c r="D257" s="23">
        <f t="shared" si="6"/>
        <v>1</v>
      </c>
      <c r="E257" s="23">
        <f t="shared" si="7"/>
        <v>-1</v>
      </c>
    </row>
    <row r="258" spans="1:5" x14ac:dyDescent="0.25">
      <c r="A258" s="44"/>
      <c r="B258" s="44"/>
      <c r="C258" s="23" t="s">
        <v>13</v>
      </c>
      <c r="D258" s="23">
        <f t="shared" si="6"/>
        <v>1</v>
      </c>
      <c r="E258" s="23">
        <f t="shared" si="7"/>
        <v>-1</v>
      </c>
    </row>
    <row r="259" spans="1:5" x14ac:dyDescent="0.25">
      <c r="A259" s="44"/>
      <c r="B259" s="44"/>
      <c r="C259" s="23" t="s">
        <v>13</v>
      </c>
      <c r="D259" s="23">
        <f t="shared" si="6"/>
        <v>1</v>
      </c>
      <c r="E259" s="23">
        <f t="shared" si="7"/>
        <v>-1</v>
      </c>
    </row>
    <row r="260" spans="1:5" x14ac:dyDescent="0.25">
      <c r="A260" s="44"/>
      <c r="B260" s="44"/>
      <c r="C260" s="23" t="s">
        <v>13</v>
      </c>
      <c r="D260" s="23">
        <f t="shared" si="6"/>
        <v>1</v>
      </c>
      <c r="E260" s="23">
        <f t="shared" si="7"/>
        <v>-1</v>
      </c>
    </row>
    <row r="261" spans="1:5" x14ac:dyDescent="0.25">
      <c r="A261" s="44"/>
      <c r="B261" s="44"/>
      <c r="C261" s="23" t="s">
        <v>13</v>
      </c>
      <c r="D261" s="23">
        <f t="shared" si="6"/>
        <v>1</v>
      </c>
      <c r="E261" s="23">
        <f t="shared" si="7"/>
        <v>-1</v>
      </c>
    </row>
    <row r="262" spans="1:5" x14ac:dyDescent="0.25">
      <c r="A262" s="44"/>
      <c r="B262" s="44"/>
      <c r="C262" s="23" t="s">
        <v>13</v>
      </c>
      <c r="D262" s="23">
        <f t="shared" si="6"/>
        <v>1</v>
      </c>
      <c r="E262" s="23">
        <f t="shared" si="7"/>
        <v>-1</v>
      </c>
    </row>
    <row r="263" spans="1:5" x14ac:dyDescent="0.25">
      <c r="A263" s="44"/>
      <c r="B263" s="44"/>
      <c r="C263" s="23" t="s">
        <v>13</v>
      </c>
      <c r="D263" s="23">
        <f t="shared" ref="D263:D326" si="8">B263-A263+1</f>
        <v>1</v>
      </c>
      <c r="E263" s="23">
        <f t="shared" si="7"/>
        <v>-1</v>
      </c>
    </row>
    <row r="264" spans="1:5" x14ac:dyDescent="0.25">
      <c r="A264" s="44"/>
      <c r="B264" s="44"/>
      <c r="C264" s="23" t="s">
        <v>13</v>
      </c>
      <c r="D264" s="23">
        <f t="shared" si="8"/>
        <v>1</v>
      </c>
      <c r="E264" s="23">
        <f t="shared" ref="E264:E327" si="9">A264-B263-1</f>
        <v>-1</v>
      </c>
    </row>
    <row r="265" spans="1:5" x14ac:dyDescent="0.25">
      <c r="A265" s="44"/>
      <c r="B265" s="44"/>
      <c r="C265" s="23" t="s">
        <v>13</v>
      </c>
      <c r="D265" s="23">
        <f t="shared" si="8"/>
        <v>1</v>
      </c>
      <c r="E265" s="23">
        <f t="shared" si="9"/>
        <v>-1</v>
      </c>
    </row>
    <row r="266" spans="1:5" x14ac:dyDescent="0.25">
      <c r="A266" s="44"/>
      <c r="B266" s="44"/>
      <c r="C266" s="23" t="s">
        <v>13</v>
      </c>
      <c r="D266" s="23">
        <f t="shared" si="8"/>
        <v>1</v>
      </c>
      <c r="E266" s="23">
        <f t="shared" si="9"/>
        <v>-1</v>
      </c>
    </row>
    <row r="267" spans="1:5" x14ac:dyDescent="0.25">
      <c r="A267" s="44"/>
      <c r="B267" s="44"/>
      <c r="C267" s="23" t="s">
        <v>13</v>
      </c>
      <c r="D267" s="23">
        <f t="shared" si="8"/>
        <v>1</v>
      </c>
      <c r="E267" s="23">
        <f t="shared" si="9"/>
        <v>-1</v>
      </c>
    </row>
    <row r="268" spans="1:5" x14ac:dyDescent="0.25">
      <c r="A268" s="44"/>
      <c r="B268" s="44"/>
      <c r="C268" s="23" t="s">
        <v>13</v>
      </c>
      <c r="D268" s="23">
        <f t="shared" si="8"/>
        <v>1</v>
      </c>
      <c r="E268" s="23">
        <f t="shared" si="9"/>
        <v>-1</v>
      </c>
    </row>
    <row r="269" spans="1:5" x14ac:dyDescent="0.25">
      <c r="A269" s="44"/>
      <c r="B269" s="44"/>
      <c r="C269" s="23" t="s">
        <v>13</v>
      </c>
      <c r="D269" s="23">
        <f t="shared" si="8"/>
        <v>1</v>
      </c>
      <c r="E269" s="23">
        <f t="shared" si="9"/>
        <v>-1</v>
      </c>
    </row>
    <row r="270" spans="1:5" x14ac:dyDescent="0.25">
      <c r="A270" s="44"/>
      <c r="B270" s="44"/>
      <c r="C270" s="23" t="s">
        <v>13</v>
      </c>
      <c r="D270" s="23">
        <f t="shared" si="8"/>
        <v>1</v>
      </c>
      <c r="E270" s="23">
        <f t="shared" si="9"/>
        <v>-1</v>
      </c>
    </row>
    <row r="271" spans="1:5" x14ac:dyDescent="0.25">
      <c r="A271" s="44"/>
      <c r="B271" s="44"/>
      <c r="C271" s="23" t="s">
        <v>13</v>
      </c>
      <c r="D271" s="23">
        <f t="shared" si="8"/>
        <v>1</v>
      </c>
      <c r="E271" s="23">
        <f t="shared" si="9"/>
        <v>-1</v>
      </c>
    </row>
    <row r="272" spans="1:5" x14ac:dyDescent="0.25">
      <c r="A272" s="44"/>
      <c r="B272" s="44"/>
      <c r="C272" s="23" t="s">
        <v>13</v>
      </c>
      <c r="D272" s="23">
        <f t="shared" si="8"/>
        <v>1</v>
      </c>
      <c r="E272" s="23">
        <f t="shared" si="9"/>
        <v>-1</v>
      </c>
    </row>
    <row r="273" spans="1:5" x14ac:dyDescent="0.25">
      <c r="A273" s="44"/>
      <c r="B273" s="44"/>
      <c r="C273" s="23" t="s">
        <v>13</v>
      </c>
      <c r="D273" s="23">
        <f t="shared" si="8"/>
        <v>1</v>
      </c>
      <c r="E273" s="23">
        <f t="shared" si="9"/>
        <v>-1</v>
      </c>
    </row>
    <row r="274" spans="1:5" x14ac:dyDescent="0.25">
      <c r="A274" s="44"/>
      <c r="B274" s="44"/>
      <c r="C274" s="23" t="s">
        <v>13</v>
      </c>
      <c r="D274" s="23">
        <f t="shared" si="8"/>
        <v>1</v>
      </c>
      <c r="E274" s="23">
        <f t="shared" si="9"/>
        <v>-1</v>
      </c>
    </row>
    <row r="275" spans="1:5" x14ac:dyDescent="0.25">
      <c r="A275" s="44"/>
      <c r="B275" s="44"/>
      <c r="C275" s="23" t="s">
        <v>13</v>
      </c>
      <c r="D275" s="23">
        <f t="shared" si="8"/>
        <v>1</v>
      </c>
      <c r="E275" s="23">
        <f t="shared" si="9"/>
        <v>-1</v>
      </c>
    </row>
    <row r="276" spans="1:5" x14ac:dyDescent="0.25">
      <c r="A276" s="44"/>
      <c r="B276" s="44"/>
      <c r="C276" s="23" t="s">
        <v>13</v>
      </c>
      <c r="D276" s="23">
        <f t="shared" si="8"/>
        <v>1</v>
      </c>
      <c r="E276" s="23">
        <f t="shared" si="9"/>
        <v>-1</v>
      </c>
    </row>
    <row r="277" spans="1:5" x14ac:dyDescent="0.25">
      <c r="A277" s="44"/>
      <c r="B277" s="44"/>
      <c r="C277" s="23" t="s">
        <v>13</v>
      </c>
      <c r="D277" s="23">
        <f t="shared" si="8"/>
        <v>1</v>
      </c>
      <c r="E277" s="23">
        <f t="shared" si="9"/>
        <v>-1</v>
      </c>
    </row>
    <row r="278" spans="1:5" x14ac:dyDescent="0.25">
      <c r="A278" s="44"/>
      <c r="B278" s="44"/>
      <c r="C278" s="23" t="s">
        <v>13</v>
      </c>
      <c r="D278" s="23">
        <f t="shared" si="8"/>
        <v>1</v>
      </c>
      <c r="E278" s="23">
        <f t="shared" si="9"/>
        <v>-1</v>
      </c>
    </row>
    <row r="279" spans="1:5" x14ac:dyDescent="0.25">
      <c r="A279" s="44"/>
      <c r="B279" s="44"/>
      <c r="C279" s="23" t="s">
        <v>13</v>
      </c>
      <c r="D279" s="23">
        <f t="shared" si="8"/>
        <v>1</v>
      </c>
      <c r="E279" s="23">
        <f t="shared" si="9"/>
        <v>-1</v>
      </c>
    </row>
    <row r="280" spans="1:5" x14ac:dyDescent="0.25">
      <c r="A280" s="44"/>
      <c r="B280" s="44"/>
      <c r="C280" s="23" t="s">
        <v>13</v>
      </c>
      <c r="D280" s="23">
        <f t="shared" si="8"/>
        <v>1</v>
      </c>
      <c r="E280" s="23">
        <f t="shared" si="9"/>
        <v>-1</v>
      </c>
    </row>
    <row r="281" spans="1:5" x14ac:dyDescent="0.25">
      <c r="A281" s="44"/>
      <c r="B281" s="44"/>
      <c r="C281" s="23" t="s">
        <v>13</v>
      </c>
      <c r="D281" s="23">
        <f t="shared" si="8"/>
        <v>1</v>
      </c>
      <c r="E281" s="23">
        <f t="shared" si="9"/>
        <v>-1</v>
      </c>
    </row>
    <row r="282" spans="1:5" x14ac:dyDescent="0.25">
      <c r="A282" s="44"/>
      <c r="B282" s="44"/>
      <c r="C282" s="23" t="s">
        <v>13</v>
      </c>
      <c r="D282" s="23">
        <f t="shared" si="8"/>
        <v>1</v>
      </c>
      <c r="E282" s="23">
        <f t="shared" si="9"/>
        <v>-1</v>
      </c>
    </row>
    <row r="283" spans="1:5" x14ac:dyDescent="0.25">
      <c r="A283" s="44"/>
      <c r="B283" s="44"/>
      <c r="C283" s="23" t="s">
        <v>13</v>
      </c>
      <c r="D283" s="23">
        <f t="shared" si="8"/>
        <v>1</v>
      </c>
      <c r="E283" s="23">
        <f t="shared" si="9"/>
        <v>-1</v>
      </c>
    </row>
    <row r="284" spans="1:5" x14ac:dyDescent="0.25">
      <c r="A284" s="44"/>
      <c r="B284" s="44"/>
      <c r="C284" s="23" t="s">
        <v>13</v>
      </c>
      <c r="D284" s="23">
        <f t="shared" si="8"/>
        <v>1</v>
      </c>
      <c r="E284" s="23">
        <f t="shared" si="9"/>
        <v>-1</v>
      </c>
    </row>
    <row r="285" spans="1:5" x14ac:dyDescent="0.25">
      <c r="A285" s="44"/>
      <c r="B285" s="44"/>
      <c r="C285" s="23" t="s">
        <v>13</v>
      </c>
      <c r="D285" s="23">
        <f t="shared" si="8"/>
        <v>1</v>
      </c>
      <c r="E285" s="23">
        <f t="shared" si="9"/>
        <v>-1</v>
      </c>
    </row>
    <row r="286" spans="1:5" x14ac:dyDescent="0.25">
      <c r="A286" s="44"/>
      <c r="B286" s="44"/>
      <c r="C286" s="23" t="s">
        <v>13</v>
      </c>
      <c r="D286" s="23">
        <f t="shared" si="8"/>
        <v>1</v>
      </c>
      <c r="E286" s="23">
        <f t="shared" si="9"/>
        <v>-1</v>
      </c>
    </row>
    <row r="287" spans="1:5" x14ac:dyDescent="0.25">
      <c r="A287" s="44"/>
      <c r="B287" s="44"/>
      <c r="C287" s="23" t="s">
        <v>13</v>
      </c>
      <c r="D287" s="23">
        <f t="shared" si="8"/>
        <v>1</v>
      </c>
      <c r="E287" s="23">
        <f t="shared" si="9"/>
        <v>-1</v>
      </c>
    </row>
    <row r="288" spans="1:5" x14ac:dyDescent="0.25">
      <c r="A288" s="44"/>
      <c r="B288" s="44"/>
      <c r="C288" s="23" t="s">
        <v>13</v>
      </c>
      <c r="D288" s="23">
        <f t="shared" si="8"/>
        <v>1</v>
      </c>
      <c r="E288" s="23">
        <f t="shared" si="9"/>
        <v>-1</v>
      </c>
    </row>
    <row r="289" spans="1:5" x14ac:dyDescent="0.25">
      <c r="A289" s="44"/>
      <c r="B289" s="44"/>
      <c r="C289" s="23" t="s">
        <v>13</v>
      </c>
      <c r="D289" s="23">
        <f t="shared" si="8"/>
        <v>1</v>
      </c>
      <c r="E289" s="23">
        <f t="shared" si="9"/>
        <v>-1</v>
      </c>
    </row>
    <row r="290" spans="1:5" x14ac:dyDescent="0.25">
      <c r="A290" s="44"/>
      <c r="B290" s="44"/>
      <c r="C290" s="23" t="s">
        <v>13</v>
      </c>
      <c r="D290" s="23">
        <f t="shared" si="8"/>
        <v>1</v>
      </c>
      <c r="E290" s="23">
        <f t="shared" si="9"/>
        <v>-1</v>
      </c>
    </row>
    <row r="291" spans="1:5" x14ac:dyDescent="0.25">
      <c r="A291" s="44"/>
      <c r="B291" s="44"/>
      <c r="C291" s="23" t="s">
        <v>13</v>
      </c>
      <c r="D291" s="23">
        <f t="shared" si="8"/>
        <v>1</v>
      </c>
      <c r="E291" s="23">
        <f t="shared" si="9"/>
        <v>-1</v>
      </c>
    </row>
    <row r="292" spans="1:5" x14ac:dyDescent="0.25">
      <c r="A292" s="44"/>
      <c r="B292" s="44"/>
      <c r="C292" s="23" t="s">
        <v>13</v>
      </c>
      <c r="D292" s="23">
        <f t="shared" si="8"/>
        <v>1</v>
      </c>
      <c r="E292" s="23">
        <f t="shared" si="9"/>
        <v>-1</v>
      </c>
    </row>
    <row r="293" spans="1:5" x14ac:dyDescent="0.25">
      <c r="A293" s="44"/>
      <c r="B293" s="44"/>
      <c r="C293" s="23" t="s">
        <v>13</v>
      </c>
      <c r="D293" s="23">
        <f t="shared" si="8"/>
        <v>1</v>
      </c>
      <c r="E293" s="23">
        <f t="shared" si="9"/>
        <v>-1</v>
      </c>
    </row>
    <row r="294" spans="1:5" x14ac:dyDescent="0.25">
      <c r="A294" s="44"/>
      <c r="B294" s="44"/>
      <c r="C294" s="23" t="s">
        <v>13</v>
      </c>
      <c r="D294" s="23">
        <f t="shared" si="8"/>
        <v>1</v>
      </c>
      <c r="E294" s="23">
        <f t="shared" si="9"/>
        <v>-1</v>
      </c>
    </row>
    <row r="295" spans="1:5" x14ac:dyDescent="0.25">
      <c r="A295" s="44"/>
      <c r="B295" s="44"/>
      <c r="C295" s="23" t="s">
        <v>13</v>
      </c>
      <c r="D295" s="23">
        <f t="shared" si="8"/>
        <v>1</v>
      </c>
      <c r="E295" s="23">
        <f t="shared" si="9"/>
        <v>-1</v>
      </c>
    </row>
    <row r="296" spans="1:5" x14ac:dyDescent="0.25">
      <c r="A296" s="44"/>
      <c r="B296" s="44"/>
      <c r="C296" s="23" t="s">
        <v>13</v>
      </c>
      <c r="D296" s="23">
        <f t="shared" si="8"/>
        <v>1</v>
      </c>
      <c r="E296" s="23">
        <f t="shared" si="9"/>
        <v>-1</v>
      </c>
    </row>
    <row r="297" spans="1:5" x14ac:dyDescent="0.25">
      <c r="A297" s="44"/>
      <c r="B297" s="44"/>
      <c r="C297" s="23" t="s">
        <v>13</v>
      </c>
      <c r="D297" s="23">
        <f t="shared" si="8"/>
        <v>1</v>
      </c>
      <c r="E297" s="23">
        <f t="shared" si="9"/>
        <v>-1</v>
      </c>
    </row>
    <row r="298" spans="1:5" x14ac:dyDescent="0.25">
      <c r="A298" s="44"/>
      <c r="B298" s="44"/>
      <c r="C298" s="23" t="s">
        <v>13</v>
      </c>
      <c r="D298" s="23">
        <f t="shared" si="8"/>
        <v>1</v>
      </c>
      <c r="E298" s="23">
        <f t="shared" si="9"/>
        <v>-1</v>
      </c>
    </row>
    <row r="299" spans="1:5" x14ac:dyDescent="0.25">
      <c r="A299" s="44"/>
      <c r="B299" s="44"/>
      <c r="C299" s="23" t="s">
        <v>13</v>
      </c>
      <c r="D299" s="23">
        <f t="shared" si="8"/>
        <v>1</v>
      </c>
      <c r="E299" s="23">
        <f t="shared" si="9"/>
        <v>-1</v>
      </c>
    </row>
    <row r="300" spans="1:5" x14ac:dyDescent="0.25">
      <c r="A300" s="44"/>
      <c r="B300" s="44"/>
      <c r="C300" s="23" t="s">
        <v>13</v>
      </c>
      <c r="D300" s="23">
        <f t="shared" si="8"/>
        <v>1</v>
      </c>
      <c r="E300" s="23">
        <f t="shared" si="9"/>
        <v>-1</v>
      </c>
    </row>
    <row r="301" spans="1:5" x14ac:dyDescent="0.25">
      <c r="A301" s="44"/>
      <c r="B301" s="44"/>
      <c r="C301" s="23" t="s">
        <v>13</v>
      </c>
      <c r="D301" s="23">
        <f t="shared" si="8"/>
        <v>1</v>
      </c>
      <c r="E301" s="23">
        <f t="shared" si="9"/>
        <v>-1</v>
      </c>
    </row>
    <row r="302" spans="1:5" x14ac:dyDescent="0.25">
      <c r="A302" s="44"/>
      <c r="B302" s="44"/>
      <c r="C302" s="23" t="s">
        <v>13</v>
      </c>
      <c r="D302" s="23">
        <f t="shared" si="8"/>
        <v>1</v>
      </c>
      <c r="E302" s="23">
        <f t="shared" si="9"/>
        <v>-1</v>
      </c>
    </row>
    <row r="303" spans="1:5" x14ac:dyDescent="0.25">
      <c r="A303" s="44"/>
      <c r="B303" s="44"/>
      <c r="C303" s="23" t="s">
        <v>13</v>
      </c>
      <c r="D303" s="23">
        <f t="shared" si="8"/>
        <v>1</v>
      </c>
      <c r="E303" s="23">
        <f t="shared" si="9"/>
        <v>-1</v>
      </c>
    </row>
    <row r="304" spans="1:5" x14ac:dyDescent="0.25">
      <c r="A304" s="44"/>
      <c r="B304" s="44"/>
      <c r="C304" s="23" t="s">
        <v>13</v>
      </c>
      <c r="D304" s="23">
        <f t="shared" si="8"/>
        <v>1</v>
      </c>
      <c r="E304" s="23">
        <f t="shared" si="9"/>
        <v>-1</v>
      </c>
    </row>
    <row r="305" spans="1:5" x14ac:dyDescent="0.25">
      <c r="A305" s="44"/>
      <c r="B305" s="44"/>
      <c r="C305" s="23" t="s">
        <v>13</v>
      </c>
      <c r="D305" s="23">
        <f t="shared" si="8"/>
        <v>1</v>
      </c>
      <c r="E305" s="23">
        <f t="shared" si="9"/>
        <v>-1</v>
      </c>
    </row>
    <row r="306" spans="1:5" x14ac:dyDescent="0.25">
      <c r="A306" s="44"/>
      <c r="B306" s="44"/>
      <c r="C306" s="23" t="s">
        <v>13</v>
      </c>
      <c r="D306" s="23">
        <f t="shared" si="8"/>
        <v>1</v>
      </c>
      <c r="E306" s="23">
        <f t="shared" si="9"/>
        <v>-1</v>
      </c>
    </row>
    <row r="307" spans="1:5" x14ac:dyDescent="0.25">
      <c r="A307" s="44"/>
      <c r="B307" s="44"/>
      <c r="C307" s="23" t="s">
        <v>13</v>
      </c>
      <c r="D307" s="23">
        <f t="shared" si="8"/>
        <v>1</v>
      </c>
      <c r="E307" s="23">
        <f t="shared" si="9"/>
        <v>-1</v>
      </c>
    </row>
    <row r="308" spans="1:5" x14ac:dyDescent="0.25">
      <c r="A308" s="44"/>
      <c r="B308" s="44"/>
      <c r="C308" s="23" t="s">
        <v>13</v>
      </c>
      <c r="D308" s="23">
        <f t="shared" si="8"/>
        <v>1</v>
      </c>
      <c r="E308" s="23">
        <f t="shared" si="9"/>
        <v>-1</v>
      </c>
    </row>
    <row r="309" spans="1:5" x14ac:dyDescent="0.25">
      <c r="A309" s="44"/>
      <c r="B309" s="44"/>
      <c r="C309" s="23" t="s">
        <v>13</v>
      </c>
      <c r="D309" s="23">
        <f t="shared" si="8"/>
        <v>1</v>
      </c>
      <c r="E309" s="23">
        <f t="shared" si="9"/>
        <v>-1</v>
      </c>
    </row>
    <row r="310" spans="1:5" x14ac:dyDescent="0.25">
      <c r="A310" s="44"/>
      <c r="B310" s="44"/>
      <c r="C310" s="23" t="s">
        <v>13</v>
      </c>
      <c r="D310" s="23">
        <f t="shared" si="8"/>
        <v>1</v>
      </c>
      <c r="E310" s="23">
        <f t="shared" si="9"/>
        <v>-1</v>
      </c>
    </row>
    <row r="311" spans="1:5" x14ac:dyDescent="0.25">
      <c r="A311" s="44"/>
      <c r="B311" s="44"/>
      <c r="C311" s="23" t="s">
        <v>13</v>
      </c>
      <c r="D311" s="23">
        <f t="shared" si="8"/>
        <v>1</v>
      </c>
      <c r="E311" s="23">
        <f t="shared" si="9"/>
        <v>-1</v>
      </c>
    </row>
    <row r="312" spans="1:5" x14ac:dyDescent="0.25">
      <c r="A312" s="44"/>
      <c r="B312" s="44"/>
      <c r="C312" s="23" t="s">
        <v>13</v>
      </c>
      <c r="D312" s="23">
        <f t="shared" si="8"/>
        <v>1</v>
      </c>
      <c r="E312" s="23">
        <f t="shared" si="9"/>
        <v>-1</v>
      </c>
    </row>
    <row r="313" spans="1:5" x14ac:dyDescent="0.25">
      <c r="A313" s="44"/>
      <c r="B313" s="44"/>
      <c r="C313" s="23" t="s">
        <v>13</v>
      </c>
      <c r="D313" s="23">
        <f t="shared" si="8"/>
        <v>1</v>
      </c>
      <c r="E313" s="23">
        <f t="shared" si="9"/>
        <v>-1</v>
      </c>
    </row>
    <row r="314" spans="1:5" x14ac:dyDescent="0.25">
      <c r="A314" s="44"/>
      <c r="B314" s="44"/>
      <c r="C314" s="23" t="s">
        <v>13</v>
      </c>
      <c r="D314" s="23">
        <f t="shared" si="8"/>
        <v>1</v>
      </c>
      <c r="E314" s="23">
        <f t="shared" si="9"/>
        <v>-1</v>
      </c>
    </row>
    <row r="315" spans="1:5" x14ac:dyDescent="0.25">
      <c r="A315" s="44"/>
      <c r="B315" s="44"/>
      <c r="C315" s="23" t="s">
        <v>13</v>
      </c>
      <c r="D315" s="23">
        <f t="shared" si="8"/>
        <v>1</v>
      </c>
      <c r="E315" s="23">
        <f t="shared" si="9"/>
        <v>-1</v>
      </c>
    </row>
    <row r="316" spans="1:5" x14ac:dyDescent="0.25">
      <c r="A316" s="44"/>
      <c r="B316" s="44"/>
      <c r="C316" s="23" t="s">
        <v>13</v>
      </c>
      <c r="D316" s="23">
        <f t="shared" si="8"/>
        <v>1</v>
      </c>
      <c r="E316" s="23">
        <f t="shared" si="9"/>
        <v>-1</v>
      </c>
    </row>
    <row r="317" spans="1:5" x14ac:dyDescent="0.25">
      <c r="A317" s="44"/>
      <c r="B317" s="44"/>
      <c r="C317" s="23" t="s">
        <v>13</v>
      </c>
      <c r="D317" s="23">
        <f t="shared" si="8"/>
        <v>1</v>
      </c>
      <c r="E317" s="23">
        <f t="shared" si="9"/>
        <v>-1</v>
      </c>
    </row>
    <row r="318" spans="1:5" x14ac:dyDescent="0.25">
      <c r="A318" s="44"/>
      <c r="B318" s="44"/>
      <c r="C318" s="23" t="s">
        <v>13</v>
      </c>
      <c r="D318" s="23">
        <f t="shared" si="8"/>
        <v>1</v>
      </c>
      <c r="E318" s="23">
        <f t="shared" si="9"/>
        <v>-1</v>
      </c>
    </row>
    <row r="319" spans="1:5" x14ac:dyDescent="0.25">
      <c r="A319" s="44"/>
      <c r="B319" s="44"/>
      <c r="C319" s="23" t="s">
        <v>13</v>
      </c>
      <c r="D319" s="23">
        <f t="shared" si="8"/>
        <v>1</v>
      </c>
      <c r="E319" s="23">
        <f t="shared" si="9"/>
        <v>-1</v>
      </c>
    </row>
    <row r="320" spans="1:5" x14ac:dyDescent="0.25">
      <c r="A320" s="44"/>
      <c r="B320" s="44"/>
      <c r="C320" s="23" t="s">
        <v>13</v>
      </c>
      <c r="D320" s="23">
        <f t="shared" si="8"/>
        <v>1</v>
      </c>
      <c r="E320" s="23">
        <f t="shared" si="9"/>
        <v>-1</v>
      </c>
    </row>
    <row r="321" spans="1:5" x14ac:dyDescent="0.25">
      <c r="A321" s="44"/>
      <c r="B321" s="44"/>
      <c r="C321" s="23" t="s">
        <v>13</v>
      </c>
      <c r="D321" s="23">
        <f t="shared" si="8"/>
        <v>1</v>
      </c>
      <c r="E321" s="23">
        <f t="shared" si="9"/>
        <v>-1</v>
      </c>
    </row>
    <row r="322" spans="1:5" x14ac:dyDescent="0.25">
      <c r="A322" s="44"/>
      <c r="B322" s="44"/>
      <c r="C322" s="23" t="s">
        <v>13</v>
      </c>
      <c r="D322" s="23">
        <f t="shared" si="8"/>
        <v>1</v>
      </c>
      <c r="E322" s="23">
        <f t="shared" si="9"/>
        <v>-1</v>
      </c>
    </row>
    <row r="323" spans="1:5" x14ac:dyDescent="0.25">
      <c r="A323" s="44"/>
      <c r="B323" s="44"/>
      <c r="C323" s="23" t="s">
        <v>13</v>
      </c>
      <c r="D323" s="23">
        <f t="shared" si="8"/>
        <v>1</v>
      </c>
      <c r="E323" s="23">
        <f t="shared" si="9"/>
        <v>-1</v>
      </c>
    </row>
    <row r="324" spans="1:5" x14ac:dyDescent="0.25">
      <c r="A324" s="44"/>
      <c r="B324" s="44"/>
      <c r="C324" s="23" t="s">
        <v>13</v>
      </c>
      <c r="D324" s="23">
        <f t="shared" si="8"/>
        <v>1</v>
      </c>
      <c r="E324" s="23">
        <f t="shared" si="9"/>
        <v>-1</v>
      </c>
    </row>
    <row r="325" spans="1:5" x14ac:dyDescent="0.25">
      <c r="A325" s="44"/>
      <c r="B325" s="44"/>
      <c r="C325" s="23" t="s">
        <v>13</v>
      </c>
      <c r="D325" s="23">
        <f t="shared" si="8"/>
        <v>1</v>
      </c>
      <c r="E325" s="23">
        <f t="shared" si="9"/>
        <v>-1</v>
      </c>
    </row>
    <row r="326" spans="1:5" x14ac:dyDescent="0.25">
      <c r="A326" s="44"/>
      <c r="B326" s="44"/>
      <c r="C326" s="23" t="s">
        <v>13</v>
      </c>
      <c r="D326" s="23">
        <f t="shared" si="8"/>
        <v>1</v>
      </c>
      <c r="E326" s="23">
        <f t="shared" si="9"/>
        <v>-1</v>
      </c>
    </row>
    <row r="327" spans="1:5" x14ac:dyDescent="0.25">
      <c r="A327" s="44"/>
      <c r="B327" s="44"/>
      <c r="C327" s="23" t="s">
        <v>13</v>
      </c>
      <c r="D327" s="23">
        <f t="shared" ref="D327:D390" si="10">B327-A327+1</f>
        <v>1</v>
      </c>
      <c r="E327" s="23">
        <f t="shared" si="9"/>
        <v>-1</v>
      </c>
    </row>
    <row r="328" spans="1:5" x14ac:dyDescent="0.25">
      <c r="A328" s="44"/>
      <c r="B328" s="44"/>
      <c r="C328" s="23" t="s">
        <v>13</v>
      </c>
      <c r="D328" s="23">
        <f t="shared" si="10"/>
        <v>1</v>
      </c>
      <c r="E328" s="23">
        <f t="shared" ref="E328:E391" si="11">A328-B327-1</f>
        <v>-1</v>
      </c>
    </row>
    <row r="329" spans="1:5" x14ac:dyDescent="0.25">
      <c r="A329" s="44"/>
      <c r="B329" s="44"/>
      <c r="C329" s="23" t="s">
        <v>13</v>
      </c>
      <c r="D329" s="23">
        <f t="shared" si="10"/>
        <v>1</v>
      </c>
      <c r="E329" s="23">
        <f t="shared" si="11"/>
        <v>-1</v>
      </c>
    </row>
    <row r="330" spans="1:5" x14ac:dyDescent="0.25">
      <c r="A330" s="44"/>
      <c r="B330" s="44"/>
      <c r="C330" s="23" t="s">
        <v>13</v>
      </c>
      <c r="D330" s="23">
        <f t="shared" si="10"/>
        <v>1</v>
      </c>
      <c r="E330" s="23">
        <f t="shared" si="11"/>
        <v>-1</v>
      </c>
    </row>
    <row r="331" spans="1:5" x14ac:dyDescent="0.25">
      <c r="A331" s="44"/>
      <c r="B331" s="44"/>
      <c r="C331" s="23" t="s">
        <v>13</v>
      </c>
      <c r="D331" s="23">
        <f t="shared" si="10"/>
        <v>1</v>
      </c>
      <c r="E331" s="23">
        <f t="shared" si="11"/>
        <v>-1</v>
      </c>
    </row>
    <row r="332" spans="1:5" x14ac:dyDescent="0.25">
      <c r="A332" s="44"/>
      <c r="B332" s="44"/>
      <c r="C332" s="23" t="s">
        <v>13</v>
      </c>
      <c r="D332" s="23">
        <f t="shared" si="10"/>
        <v>1</v>
      </c>
      <c r="E332" s="23">
        <f t="shared" si="11"/>
        <v>-1</v>
      </c>
    </row>
    <row r="333" spans="1:5" x14ac:dyDescent="0.25">
      <c r="A333" s="44"/>
      <c r="B333" s="44"/>
      <c r="C333" s="23" t="s">
        <v>13</v>
      </c>
      <c r="D333" s="23">
        <f t="shared" si="10"/>
        <v>1</v>
      </c>
      <c r="E333" s="23">
        <f t="shared" si="11"/>
        <v>-1</v>
      </c>
    </row>
    <row r="334" spans="1:5" x14ac:dyDescent="0.25">
      <c r="A334" s="44"/>
      <c r="B334" s="44"/>
      <c r="C334" s="23" t="s">
        <v>13</v>
      </c>
      <c r="D334" s="23">
        <f t="shared" si="10"/>
        <v>1</v>
      </c>
      <c r="E334" s="23">
        <f t="shared" si="11"/>
        <v>-1</v>
      </c>
    </row>
    <row r="335" spans="1:5" x14ac:dyDescent="0.25">
      <c r="A335" s="44"/>
      <c r="B335" s="44"/>
      <c r="C335" s="23" t="s">
        <v>13</v>
      </c>
      <c r="D335" s="23">
        <f t="shared" si="10"/>
        <v>1</v>
      </c>
      <c r="E335" s="23">
        <f t="shared" si="11"/>
        <v>-1</v>
      </c>
    </row>
    <row r="336" spans="1:5" x14ac:dyDescent="0.25">
      <c r="A336" s="44"/>
      <c r="B336" s="44"/>
      <c r="C336" s="23" t="s">
        <v>13</v>
      </c>
      <c r="D336" s="23">
        <f t="shared" si="10"/>
        <v>1</v>
      </c>
      <c r="E336" s="23">
        <f t="shared" si="11"/>
        <v>-1</v>
      </c>
    </row>
    <row r="337" spans="1:5" x14ac:dyDescent="0.25">
      <c r="A337" s="44"/>
      <c r="B337" s="44"/>
      <c r="C337" s="23" t="s">
        <v>13</v>
      </c>
      <c r="D337" s="23">
        <f t="shared" si="10"/>
        <v>1</v>
      </c>
      <c r="E337" s="23">
        <f t="shared" si="11"/>
        <v>-1</v>
      </c>
    </row>
    <row r="338" spans="1:5" x14ac:dyDescent="0.25">
      <c r="A338" s="44"/>
      <c r="B338" s="44"/>
      <c r="C338" s="23" t="s">
        <v>13</v>
      </c>
      <c r="D338" s="23">
        <f t="shared" si="10"/>
        <v>1</v>
      </c>
      <c r="E338" s="23">
        <f t="shared" si="11"/>
        <v>-1</v>
      </c>
    </row>
    <row r="339" spans="1:5" x14ac:dyDescent="0.25">
      <c r="A339" s="44"/>
      <c r="B339" s="44"/>
      <c r="C339" s="23" t="s">
        <v>13</v>
      </c>
      <c r="D339" s="23">
        <f t="shared" si="10"/>
        <v>1</v>
      </c>
      <c r="E339" s="23">
        <f t="shared" si="11"/>
        <v>-1</v>
      </c>
    </row>
    <row r="340" spans="1:5" x14ac:dyDescent="0.25">
      <c r="A340" s="44"/>
      <c r="B340" s="44"/>
      <c r="C340" s="23" t="s">
        <v>13</v>
      </c>
      <c r="D340" s="23">
        <f t="shared" si="10"/>
        <v>1</v>
      </c>
      <c r="E340" s="23">
        <f t="shared" si="11"/>
        <v>-1</v>
      </c>
    </row>
    <row r="341" spans="1:5" x14ac:dyDescent="0.25">
      <c r="A341" s="44"/>
      <c r="B341" s="44"/>
      <c r="C341" s="23" t="s">
        <v>13</v>
      </c>
      <c r="D341" s="23">
        <f t="shared" si="10"/>
        <v>1</v>
      </c>
      <c r="E341" s="23">
        <f t="shared" si="11"/>
        <v>-1</v>
      </c>
    </row>
    <row r="342" spans="1:5" x14ac:dyDescent="0.25">
      <c r="A342" s="44"/>
      <c r="B342" s="44"/>
      <c r="C342" s="23" t="s">
        <v>13</v>
      </c>
      <c r="D342" s="23">
        <f t="shared" si="10"/>
        <v>1</v>
      </c>
      <c r="E342" s="23">
        <f t="shared" si="11"/>
        <v>-1</v>
      </c>
    </row>
    <row r="343" spans="1:5" x14ac:dyDescent="0.25">
      <c r="A343" s="44"/>
      <c r="B343" s="44"/>
      <c r="C343" s="23" t="s">
        <v>13</v>
      </c>
      <c r="D343" s="23">
        <f t="shared" si="10"/>
        <v>1</v>
      </c>
      <c r="E343" s="23">
        <f t="shared" si="11"/>
        <v>-1</v>
      </c>
    </row>
    <row r="344" spans="1:5" x14ac:dyDescent="0.25">
      <c r="A344" s="44"/>
      <c r="B344" s="44"/>
      <c r="C344" s="23" t="s">
        <v>13</v>
      </c>
      <c r="D344" s="23">
        <f t="shared" si="10"/>
        <v>1</v>
      </c>
      <c r="E344" s="23">
        <f t="shared" si="11"/>
        <v>-1</v>
      </c>
    </row>
    <row r="345" spans="1:5" x14ac:dyDescent="0.25">
      <c r="A345" s="44"/>
      <c r="B345" s="44"/>
      <c r="C345" s="23" t="s">
        <v>13</v>
      </c>
      <c r="D345" s="23">
        <f t="shared" si="10"/>
        <v>1</v>
      </c>
      <c r="E345" s="23">
        <f t="shared" si="11"/>
        <v>-1</v>
      </c>
    </row>
    <row r="346" spans="1:5" x14ac:dyDescent="0.25">
      <c r="A346" s="44"/>
      <c r="B346" s="44"/>
      <c r="C346" s="23" t="s">
        <v>13</v>
      </c>
      <c r="D346" s="23">
        <f t="shared" si="10"/>
        <v>1</v>
      </c>
      <c r="E346" s="23">
        <f t="shared" si="11"/>
        <v>-1</v>
      </c>
    </row>
    <row r="347" spans="1:5" x14ac:dyDescent="0.25">
      <c r="A347" s="44"/>
      <c r="B347" s="44"/>
      <c r="C347" s="23" t="s">
        <v>13</v>
      </c>
      <c r="D347" s="23">
        <f t="shared" si="10"/>
        <v>1</v>
      </c>
      <c r="E347" s="23">
        <f t="shared" si="11"/>
        <v>-1</v>
      </c>
    </row>
    <row r="348" spans="1:5" x14ac:dyDescent="0.25">
      <c r="A348" s="44"/>
      <c r="B348" s="44"/>
      <c r="C348" s="23" t="s">
        <v>13</v>
      </c>
      <c r="D348" s="23">
        <f t="shared" si="10"/>
        <v>1</v>
      </c>
      <c r="E348" s="23">
        <f t="shared" si="11"/>
        <v>-1</v>
      </c>
    </row>
    <row r="349" spans="1:5" x14ac:dyDescent="0.25">
      <c r="A349" s="44"/>
      <c r="B349" s="44"/>
      <c r="C349" s="23" t="s">
        <v>13</v>
      </c>
      <c r="D349" s="23">
        <f t="shared" si="10"/>
        <v>1</v>
      </c>
      <c r="E349" s="23">
        <f t="shared" si="11"/>
        <v>-1</v>
      </c>
    </row>
    <row r="350" spans="1:5" x14ac:dyDescent="0.25">
      <c r="A350" s="44"/>
      <c r="B350" s="44"/>
      <c r="C350" s="23" t="s">
        <v>13</v>
      </c>
      <c r="D350" s="23">
        <f t="shared" si="10"/>
        <v>1</v>
      </c>
      <c r="E350" s="23">
        <f t="shared" si="11"/>
        <v>-1</v>
      </c>
    </row>
    <row r="351" spans="1:5" x14ac:dyDescent="0.25">
      <c r="A351" s="44"/>
      <c r="B351" s="44"/>
      <c r="C351" s="23" t="s">
        <v>13</v>
      </c>
      <c r="D351" s="23">
        <f t="shared" si="10"/>
        <v>1</v>
      </c>
      <c r="E351" s="23">
        <f t="shared" si="11"/>
        <v>-1</v>
      </c>
    </row>
    <row r="352" spans="1:5" x14ac:dyDescent="0.25">
      <c r="A352" s="44"/>
      <c r="B352" s="44"/>
      <c r="C352" s="23" t="s">
        <v>13</v>
      </c>
      <c r="D352" s="23">
        <f t="shared" si="10"/>
        <v>1</v>
      </c>
      <c r="E352" s="23">
        <f t="shared" si="11"/>
        <v>-1</v>
      </c>
    </row>
    <row r="353" spans="1:5" x14ac:dyDescent="0.25">
      <c r="A353" s="44"/>
      <c r="B353" s="44"/>
      <c r="C353" s="23" t="s">
        <v>13</v>
      </c>
      <c r="D353" s="23">
        <f t="shared" si="10"/>
        <v>1</v>
      </c>
      <c r="E353" s="23">
        <f t="shared" si="11"/>
        <v>-1</v>
      </c>
    </row>
    <row r="354" spans="1:5" x14ac:dyDescent="0.25">
      <c r="A354" s="44"/>
      <c r="B354" s="44"/>
      <c r="C354" s="23" t="s">
        <v>13</v>
      </c>
      <c r="D354" s="23">
        <f t="shared" si="10"/>
        <v>1</v>
      </c>
      <c r="E354" s="23">
        <f t="shared" si="11"/>
        <v>-1</v>
      </c>
    </row>
    <row r="355" spans="1:5" x14ac:dyDescent="0.25">
      <c r="A355" s="44"/>
      <c r="B355" s="44"/>
      <c r="C355" s="23" t="s">
        <v>13</v>
      </c>
      <c r="D355" s="23">
        <f t="shared" si="10"/>
        <v>1</v>
      </c>
      <c r="E355" s="23">
        <f t="shared" si="11"/>
        <v>-1</v>
      </c>
    </row>
    <row r="356" spans="1:5" x14ac:dyDescent="0.25">
      <c r="A356" s="44"/>
      <c r="B356" s="44"/>
      <c r="C356" s="23" t="s">
        <v>13</v>
      </c>
      <c r="D356" s="23">
        <f t="shared" si="10"/>
        <v>1</v>
      </c>
      <c r="E356" s="23">
        <f t="shared" si="11"/>
        <v>-1</v>
      </c>
    </row>
    <row r="357" spans="1:5" x14ac:dyDescent="0.25">
      <c r="A357" s="44"/>
      <c r="B357" s="44"/>
      <c r="C357" s="23" t="s">
        <v>13</v>
      </c>
      <c r="D357" s="23">
        <f t="shared" si="10"/>
        <v>1</v>
      </c>
      <c r="E357" s="23">
        <f t="shared" si="11"/>
        <v>-1</v>
      </c>
    </row>
    <row r="358" spans="1:5" x14ac:dyDescent="0.25">
      <c r="A358" s="44"/>
      <c r="B358" s="44"/>
      <c r="C358" s="23" t="s">
        <v>13</v>
      </c>
      <c r="D358" s="23">
        <f t="shared" si="10"/>
        <v>1</v>
      </c>
      <c r="E358" s="23">
        <f t="shared" si="11"/>
        <v>-1</v>
      </c>
    </row>
    <row r="359" spans="1:5" x14ac:dyDescent="0.25">
      <c r="A359" s="44"/>
      <c r="B359" s="44"/>
      <c r="C359" s="23" t="s">
        <v>13</v>
      </c>
      <c r="D359" s="23">
        <f t="shared" si="10"/>
        <v>1</v>
      </c>
      <c r="E359" s="23">
        <f t="shared" si="11"/>
        <v>-1</v>
      </c>
    </row>
    <row r="360" spans="1:5" x14ac:dyDescent="0.25">
      <c r="A360" s="44"/>
      <c r="B360" s="44"/>
      <c r="C360" s="23" t="s">
        <v>13</v>
      </c>
      <c r="D360" s="23">
        <f t="shared" si="10"/>
        <v>1</v>
      </c>
      <c r="E360" s="23">
        <f t="shared" si="11"/>
        <v>-1</v>
      </c>
    </row>
    <row r="361" spans="1:5" x14ac:dyDescent="0.25">
      <c r="A361" s="44"/>
      <c r="B361" s="44"/>
      <c r="C361" s="23" t="s">
        <v>13</v>
      </c>
      <c r="D361" s="23">
        <f t="shared" si="10"/>
        <v>1</v>
      </c>
      <c r="E361" s="23">
        <f t="shared" si="11"/>
        <v>-1</v>
      </c>
    </row>
    <row r="362" spans="1:5" x14ac:dyDescent="0.25">
      <c r="A362" s="44"/>
      <c r="B362" s="44"/>
      <c r="C362" s="23" t="s">
        <v>13</v>
      </c>
      <c r="D362" s="23">
        <f t="shared" si="10"/>
        <v>1</v>
      </c>
      <c r="E362" s="23">
        <f t="shared" si="11"/>
        <v>-1</v>
      </c>
    </row>
    <row r="363" spans="1:5" x14ac:dyDescent="0.25">
      <c r="A363" s="44"/>
      <c r="B363" s="44"/>
      <c r="C363" s="23" t="s">
        <v>13</v>
      </c>
      <c r="D363" s="23">
        <f t="shared" si="10"/>
        <v>1</v>
      </c>
      <c r="E363" s="23">
        <f t="shared" si="11"/>
        <v>-1</v>
      </c>
    </row>
    <row r="364" spans="1:5" x14ac:dyDescent="0.25">
      <c r="A364" s="44"/>
      <c r="B364" s="44"/>
      <c r="C364" s="23" t="s">
        <v>13</v>
      </c>
      <c r="D364" s="23">
        <f t="shared" si="10"/>
        <v>1</v>
      </c>
      <c r="E364" s="23">
        <f t="shared" si="11"/>
        <v>-1</v>
      </c>
    </row>
    <row r="365" spans="1:5" x14ac:dyDescent="0.25">
      <c r="A365" s="44"/>
      <c r="B365" s="44"/>
      <c r="C365" s="23" t="s">
        <v>13</v>
      </c>
      <c r="D365" s="23">
        <f t="shared" si="10"/>
        <v>1</v>
      </c>
      <c r="E365" s="23">
        <f t="shared" si="11"/>
        <v>-1</v>
      </c>
    </row>
    <row r="366" spans="1:5" x14ac:dyDescent="0.25">
      <c r="A366" s="44"/>
      <c r="B366" s="44"/>
      <c r="C366" s="23" t="s">
        <v>13</v>
      </c>
      <c r="D366" s="23">
        <f t="shared" si="10"/>
        <v>1</v>
      </c>
      <c r="E366" s="23">
        <f t="shared" si="11"/>
        <v>-1</v>
      </c>
    </row>
    <row r="367" spans="1:5" x14ac:dyDescent="0.25">
      <c r="A367" s="44"/>
      <c r="B367" s="44"/>
      <c r="C367" s="23" t="s">
        <v>13</v>
      </c>
      <c r="D367" s="23">
        <f t="shared" si="10"/>
        <v>1</v>
      </c>
      <c r="E367" s="23">
        <f t="shared" si="11"/>
        <v>-1</v>
      </c>
    </row>
    <row r="368" spans="1:5" x14ac:dyDescent="0.25">
      <c r="A368" s="44"/>
      <c r="B368" s="44"/>
      <c r="C368" s="23" t="s">
        <v>13</v>
      </c>
      <c r="D368" s="23">
        <f t="shared" si="10"/>
        <v>1</v>
      </c>
      <c r="E368" s="23">
        <f t="shared" si="11"/>
        <v>-1</v>
      </c>
    </row>
    <row r="369" spans="1:5" x14ac:dyDescent="0.25">
      <c r="A369" s="44"/>
      <c r="B369" s="44"/>
      <c r="C369" s="23" t="s">
        <v>13</v>
      </c>
      <c r="D369" s="23">
        <f t="shared" si="10"/>
        <v>1</v>
      </c>
      <c r="E369" s="23">
        <f t="shared" si="11"/>
        <v>-1</v>
      </c>
    </row>
    <row r="370" spans="1:5" x14ac:dyDescent="0.25">
      <c r="A370" s="44"/>
      <c r="B370" s="44"/>
      <c r="C370" s="23" t="s">
        <v>13</v>
      </c>
      <c r="D370" s="23">
        <f t="shared" si="10"/>
        <v>1</v>
      </c>
      <c r="E370" s="23">
        <f t="shared" si="11"/>
        <v>-1</v>
      </c>
    </row>
    <row r="371" spans="1:5" x14ac:dyDescent="0.25">
      <c r="A371" s="44"/>
      <c r="B371" s="44"/>
      <c r="C371" s="23" t="s">
        <v>13</v>
      </c>
      <c r="D371" s="23">
        <f t="shared" si="10"/>
        <v>1</v>
      </c>
      <c r="E371" s="23">
        <f t="shared" si="11"/>
        <v>-1</v>
      </c>
    </row>
    <row r="372" spans="1:5" x14ac:dyDescent="0.25">
      <c r="A372" s="44"/>
      <c r="B372" s="44"/>
      <c r="C372" s="23" t="s">
        <v>13</v>
      </c>
      <c r="D372" s="23">
        <f t="shared" si="10"/>
        <v>1</v>
      </c>
      <c r="E372" s="23">
        <f t="shared" si="11"/>
        <v>-1</v>
      </c>
    </row>
    <row r="373" spans="1:5" x14ac:dyDescent="0.25">
      <c r="A373" s="44"/>
      <c r="B373" s="44"/>
      <c r="C373" s="23" t="s">
        <v>13</v>
      </c>
      <c r="D373" s="23">
        <f t="shared" si="10"/>
        <v>1</v>
      </c>
      <c r="E373" s="23">
        <f t="shared" si="11"/>
        <v>-1</v>
      </c>
    </row>
    <row r="374" spans="1:5" x14ac:dyDescent="0.25">
      <c r="A374" s="44"/>
      <c r="B374" s="44"/>
      <c r="C374" s="23" t="s">
        <v>13</v>
      </c>
      <c r="D374" s="23">
        <f t="shared" si="10"/>
        <v>1</v>
      </c>
      <c r="E374" s="23">
        <f t="shared" si="11"/>
        <v>-1</v>
      </c>
    </row>
    <row r="375" spans="1:5" x14ac:dyDescent="0.25">
      <c r="A375" s="44"/>
      <c r="B375" s="44"/>
      <c r="C375" s="23" t="s">
        <v>13</v>
      </c>
      <c r="D375" s="23">
        <f t="shared" si="10"/>
        <v>1</v>
      </c>
      <c r="E375" s="23">
        <f t="shared" si="11"/>
        <v>-1</v>
      </c>
    </row>
    <row r="376" spans="1:5" x14ac:dyDescent="0.25">
      <c r="A376" s="44"/>
      <c r="B376" s="44"/>
      <c r="C376" s="23" t="s">
        <v>13</v>
      </c>
      <c r="D376" s="23">
        <f t="shared" si="10"/>
        <v>1</v>
      </c>
      <c r="E376" s="23">
        <f t="shared" si="11"/>
        <v>-1</v>
      </c>
    </row>
    <row r="377" spans="1:5" x14ac:dyDescent="0.25">
      <c r="A377" s="44"/>
      <c r="B377" s="44"/>
      <c r="C377" s="23" t="s">
        <v>13</v>
      </c>
      <c r="D377" s="23">
        <f t="shared" si="10"/>
        <v>1</v>
      </c>
      <c r="E377" s="23">
        <f t="shared" si="11"/>
        <v>-1</v>
      </c>
    </row>
    <row r="378" spans="1:5" x14ac:dyDescent="0.25">
      <c r="A378" s="44"/>
      <c r="B378" s="44"/>
      <c r="C378" s="23" t="s">
        <v>13</v>
      </c>
      <c r="D378" s="23">
        <f t="shared" si="10"/>
        <v>1</v>
      </c>
      <c r="E378" s="23">
        <f t="shared" si="11"/>
        <v>-1</v>
      </c>
    </row>
    <row r="379" spans="1:5" x14ac:dyDescent="0.25">
      <c r="A379" s="44"/>
      <c r="B379" s="44"/>
      <c r="C379" s="23" t="s">
        <v>13</v>
      </c>
      <c r="D379" s="23">
        <f t="shared" si="10"/>
        <v>1</v>
      </c>
      <c r="E379" s="23">
        <f t="shared" si="11"/>
        <v>-1</v>
      </c>
    </row>
    <row r="380" spans="1:5" x14ac:dyDescent="0.25">
      <c r="A380" s="44"/>
      <c r="B380" s="44"/>
      <c r="C380" s="23" t="s">
        <v>13</v>
      </c>
      <c r="D380" s="23">
        <f t="shared" si="10"/>
        <v>1</v>
      </c>
      <c r="E380" s="23">
        <f t="shared" si="11"/>
        <v>-1</v>
      </c>
    </row>
    <row r="381" spans="1:5" x14ac:dyDescent="0.25">
      <c r="A381" s="44"/>
      <c r="B381" s="44"/>
      <c r="C381" s="23" t="s">
        <v>13</v>
      </c>
      <c r="D381" s="23">
        <f t="shared" si="10"/>
        <v>1</v>
      </c>
      <c r="E381" s="23">
        <f t="shared" si="11"/>
        <v>-1</v>
      </c>
    </row>
    <row r="382" spans="1:5" x14ac:dyDescent="0.25">
      <c r="A382" s="44"/>
      <c r="B382" s="44"/>
      <c r="C382" s="23" t="s">
        <v>13</v>
      </c>
      <c r="D382" s="23">
        <f t="shared" si="10"/>
        <v>1</v>
      </c>
      <c r="E382" s="23">
        <f t="shared" si="11"/>
        <v>-1</v>
      </c>
    </row>
    <row r="383" spans="1:5" x14ac:dyDescent="0.25">
      <c r="A383" s="44"/>
      <c r="B383" s="44"/>
      <c r="C383" s="23" t="s">
        <v>13</v>
      </c>
      <c r="D383" s="23">
        <f t="shared" si="10"/>
        <v>1</v>
      </c>
      <c r="E383" s="23">
        <f t="shared" si="11"/>
        <v>-1</v>
      </c>
    </row>
    <row r="384" spans="1:5" x14ac:dyDescent="0.25">
      <c r="A384" s="44"/>
      <c r="B384" s="44"/>
      <c r="C384" s="23" t="s">
        <v>13</v>
      </c>
      <c r="D384" s="23">
        <f t="shared" si="10"/>
        <v>1</v>
      </c>
      <c r="E384" s="23">
        <f t="shared" si="11"/>
        <v>-1</v>
      </c>
    </row>
    <row r="385" spans="1:5" x14ac:dyDescent="0.25">
      <c r="A385" s="44"/>
      <c r="B385" s="44"/>
      <c r="C385" s="23" t="s">
        <v>13</v>
      </c>
      <c r="D385" s="23">
        <f t="shared" si="10"/>
        <v>1</v>
      </c>
      <c r="E385" s="23">
        <f t="shared" si="11"/>
        <v>-1</v>
      </c>
    </row>
    <row r="386" spans="1:5" x14ac:dyDescent="0.25">
      <c r="A386" s="44"/>
      <c r="B386" s="44"/>
      <c r="C386" s="23" t="s">
        <v>13</v>
      </c>
      <c r="D386" s="23">
        <f t="shared" si="10"/>
        <v>1</v>
      </c>
      <c r="E386" s="23">
        <f t="shared" si="11"/>
        <v>-1</v>
      </c>
    </row>
    <row r="387" spans="1:5" x14ac:dyDescent="0.25">
      <c r="A387" s="44"/>
      <c r="B387" s="44"/>
      <c r="C387" s="23" t="s">
        <v>13</v>
      </c>
      <c r="D387" s="23">
        <f t="shared" si="10"/>
        <v>1</v>
      </c>
      <c r="E387" s="23">
        <f t="shared" si="11"/>
        <v>-1</v>
      </c>
    </row>
    <row r="388" spans="1:5" x14ac:dyDescent="0.25">
      <c r="A388" s="44"/>
      <c r="B388" s="44"/>
      <c r="C388" s="23" t="s">
        <v>13</v>
      </c>
      <c r="D388" s="23">
        <f t="shared" si="10"/>
        <v>1</v>
      </c>
      <c r="E388" s="23">
        <f t="shared" si="11"/>
        <v>-1</v>
      </c>
    </row>
    <row r="389" spans="1:5" x14ac:dyDescent="0.25">
      <c r="A389" s="44"/>
      <c r="B389" s="44"/>
      <c r="C389" s="23" t="s">
        <v>13</v>
      </c>
      <c r="D389" s="23">
        <f t="shared" si="10"/>
        <v>1</v>
      </c>
      <c r="E389" s="23">
        <f t="shared" si="11"/>
        <v>-1</v>
      </c>
    </row>
    <row r="390" spans="1:5" x14ac:dyDescent="0.25">
      <c r="A390" s="44"/>
      <c r="B390" s="44"/>
      <c r="C390" s="23" t="s">
        <v>13</v>
      </c>
      <c r="D390" s="23">
        <f t="shared" si="10"/>
        <v>1</v>
      </c>
      <c r="E390" s="23">
        <f t="shared" si="11"/>
        <v>-1</v>
      </c>
    </row>
    <row r="391" spans="1:5" x14ac:dyDescent="0.25">
      <c r="A391" s="44"/>
      <c r="B391" s="44"/>
      <c r="C391" s="23" t="s">
        <v>13</v>
      </c>
      <c r="D391" s="23">
        <f t="shared" ref="D391:D454" si="12">B391-A391+1</f>
        <v>1</v>
      </c>
      <c r="E391" s="23">
        <f t="shared" si="11"/>
        <v>-1</v>
      </c>
    </row>
    <row r="392" spans="1:5" x14ac:dyDescent="0.25">
      <c r="A392" s="44"/>
      <c r="B392" s="44"/>
      <c r="C392" s="23" t="s">
        <v>13</v>
      </c>
      <c r="D392" s="23">
        <f t="shared" si="12"/>
        <v>1</v>
      </c>
      <c r="E392" s="23">
        <f t="shared" ref="E392:E455" si="13">A392-B391-1</f>
        <v>-1</v>
      </c>
    </row>
    <row r="393" spans="1:5" x14ac:dyDescent="0.25">
      <c r="A393" s="44"/>
      <c r="B393" s="44"/>
      <c r="C393" s="23" t="s">
        <v>13</v>
      </c>
      <c r="D393" s="23">
        <f t="shared" si="12"/>
        <v>1</v>
      </c>
      <c r="E393" s="23">
        <f t="shared" si="13"/>
        <v>-1</v>
      </c>
    </row>
    <row r="394" spans="1:5" x14ac:dyDescent="0.25">
      <c r="A394" s="44"/>
      <c r="B394" s="44"/>
      <c r="C394" s="23" t="s">
        <v>13</v>
      </c>
      <c r="D394" s="23">
        <f t="shared" si="12"/>
        <v>1</v>
      </c>
      <c r="E394" s="23">
        <f t="shared" si="13"/>
        <v>-1</v>
      </c>
    </row>
    <row r="395" spans="1:5" x14ac:dyDescent="0.25">
      <c r="A395" s="44"/>
      <c r="B395" s="44"/>
      <c r="C395" s="23" t="s">
        <v>13</v>
      </c>
      <c r="D395" s="23">
        <f t="shared" si="12"/>
        <v>1</v>
      </c>
      <c r="E395" s="23">
        <f t="shared" si="13"/>
        <v>-1</v>
      </c>
    </row>
    <row r="396" spans="1:5" x14ac:dyDescent="0.25">
      <c r="A396" s="44"/>
      <c r="B396" s="44"/>
      <c r="C396" s="23" t="s">
        <v>13</v>
      </c>
      <c r="D396" s="23">
        <f t="shared" si="12"/>
        <v>1</v>
      </c>
      <c r="E396" s="23">
        <f t="shared" si="13"/>
        <v>-1</v>
      </c>
    </row>
    <row r="397" spans="1:5" x14ac:dyDescent="0.25">
      <c r="A397" s="44"/>
      <c r="B397" s="44"/>
      <c r="C397" s="23" t="s">
        <v>13</v>
      </c>
      <c r="D397" s="23">
        <f t="shared" si="12"/>
        <v>1</v>
      </c>
      <c r="E397" s="23">
        <f t="shared" si="13"/>
        <v>-1</v>
      </c>
    </row>
    <row r="398" spans="1:5" x14ac:dyDescent="0.25">
      <c r="A398" s="44"/>
      <c r="B398" s="44"/>
      <c r="C398" s="23" t="s">
        <v>13</v>
      </c>
      <c r="D398" s="23">
        <f t="shared" si="12"/>
        <v>1</v>
      </c>
      <c r="E398" s="23">
        <f t="shared" si="13"/>
        <v>-1</v>
      </c>
    </row>
    <row r="399" spans="1:5" x14ac:dyDescent="0.25">
      <c r="A399" s="44"/>
      <c r="B399" s="44"/>
      <c r="C399" s="23" t="s">
        <v>13</v>
      </c>
      <c r="D399" s="23">
        <f t="shared" si="12"/>
        <v>1</v>
      </c>
      <c r="E399" s="23">
        <f t="shared" si="13"/>
        <v>-1</v>
      </c>
    </row>
    <row r="400" spans="1:5" x14ac:dyDescent="0.25">
      <c r="A400" s="44"/>
      <c r="B400" s="44"/>
      <c r="C400" s="23" t="s">
        <v>13</v>
      </c>
      <c r="D400" s="23">
        <f t="shared" si="12"/>
        <v>1</v>
      </c>
      <c r="E400" s="23">
        <f t="shared" si="13"/>
        <v>-1</v>
      </c>
    </row>
    <row r="401" spans="1:5" x14ac:dyDescent="0.25">
      <c r="A401" s="44"/>
      <c r="B401" s="44"/>
      <c r="C401" s="23" t="s">
        <v>13</v>
      </c>
      <c r="D401" s="23">
        <f t="shared" si="12"/>
        <v>1</v>
      </c>
      <c r="E401" s="23">
        <f t="shared" si="13"/>
        <v>-1</v>
      </c>
    </row>
    <row r="402" spans="1:5" x14ac:dyDescent="0.25">
      <c r="A402" s="44"/>
      <c r="B402" s="44"/>
      <c r="C402" s="23" t="s">
        <v>13</v>
      </c>
      <c r="D402" s="23">
        <f t="shared" si="12"/>
        <v>1</v>
      </c>
      <c r="E402" s="23">
        <f t="shared" si="13"/>
        <v>-1</v>
      </c>
    </row>
    <row r="403" spans="1:5" x14ac:dyDescent="0.25">
      <c r="A403" s="44"/>
      <c r="B403" s="44"/>
      <c r="C403" s="23" t="s">
        <v>13</v>
      </c>
      <c r="D403" s="23">
        <f t="shared" si="12"/>
        <v>1</v>
      </c>
      <c r="E403" s="23">
        <f t="shared" si="13"/>
        <v>-1</v>
      </c>
    </row>
    <row r="404" spans="1:5" x14ac:dyDescent="0.25">
      <c r="A404" s="44"/>
      <c r="B404" s="44"/>
      <c r="C404" s="23" t="s">
        <v>13</v>
      </c>
      <c r="D404" s="23">
        <f t="shared" si="12"/>
        <v>1</v>
      </c>
      <c r="E404" s="23">
        <f t="shared" si="13"/>
        <v>-1</v>
      </c>
    </row>
    <row r="405" spans="1:5" x14ac:dyDescent="0.25">
      <c r="A405" s="44"/>
      <c r="B405" s="44"/>
      <c r="C405" s="23" t="s">
        <v>13</v>
      </c>
      <c r="D405" s="23">
        <f t="shared" si="12"/>
        <v>1</v>
      </c>
      <c r="E405" s="23">
        <f t="shared" si="13"/>
        <v>-1</v>
      </c>
    </row>
    <row r="406" spans="1:5" x14ac:dyDescent="0.25">
      <c r="A406" s="44"/>
      <c r="B406" s="44"/>
      <c r="C406" s="23" t="s">
        <v>13</v>
      </c>
      <c r="D406" s="23">
        <f t="shared" si="12"/>
        <v>1</v>
      </c>
      <c r="E406" s="23">
        <f t="shared" si="13"/>
        <v>-1</v>
      </c>
    </row>
    <row r="407" spans="1:5" x14ac:dyDescent="0.25">
      <c r="A407" s="44"/>
      <c r="B407" s="44"/>
      <c r="C407" s="23" t="s">
        <v>13</v>
      </c>
      <c r="D407" s="23">
        <f t="shared" si="12"/>
        <v>1</v>
      </c>
      <c r="E407" s="23">
        <f t="shared" si="13"/>
        <v>-1</v>
      </c>
    </row>
    <row r="408" spans="1:5" x14ac:dyDescent="0.25">
      <c r="A408" s="44"/>
      <c r="B408" s="44"/>
      <c r="C408" s="23" t="s">
        <v>13</v>
      </c>
      <c r="D408" s="23">
        <f t="shared" si="12"/>
        <v>1</v>
      </c>
      <c r="E408" s="23">
        <f t="shared" si="13"/>
        <v>-1</v>
      </c>
    </row>
    <row r="409" spans="1:5" x14ac:dyDescent="0.25">
      <c r="A409" s="44"/>
      <c r="B409" s="44"/>
      <c r="C409" s="23" t="s">
        <v>13</v>
      </c>
      <c r="D409" s="23">
        <f t="shared" si="12"/>
        <v>1</v>
      </c>
      <c r="E409" s="23">
        <f t="shared" si="13"/>
        <v>-1</v>
      </c>
    </row>
    <row r="410" spans="1:5" x14ac:dyDescent="0.25">
      <c r="A410" s="44"/>
      <c r="B410" s="44"/>
      <c r="C410" s="23" t="s">
        <v>13</v>
      </c>
      <c r="D410" s="23">
        <f t="shared" si="12"/>
        <v>1</v>
      </c>
      <c r="E410" s="23">
        <f t="shared" si="13"/>
        <v>-1</v>
      </c>
    </row>
    <row r="411" spans="1:5" x14ac:dyDescent="0.25">
      <c r="A411" s="44"/>
      <c r="B411" s="44"/>
      <c r="C411" s="23" t="s">
        <v>13</v>
      </c>
      <c r="D411" s="23">
        <f t="shared" si="12"/>
        <v>1</v>
      </c>
      <c r="E411" s="23">
        <f t="shared" si="13"/>
        <v>-1</v>
      </c>
    </row>
    <row r="412" spans="1:5" x14ac:dyDescent="0.25">
      <c r="A412" s="44"/>
      <c r="B412" s="44"/>
      <c r="C412" s="23" t="s">
        <v>13</v>
      </c>
      <c r="D412" s="23">
        <f t="shared" si="12"/>
        <v>1</v>
      </c>
      <c r="E412" s="23">
        <f t="shared" si="13"/>
        <v>-1</v>
      </c>
    </row>
    <row r="413" spans="1:5" x14ac:dyDescent="0.25">
      <c r="A413" s="44"/>
      <c r="B413" s="44"/>
      <c r="C413" s="23" t="s">
        <v>13</v>
      </c>
      <c r="D413" s="23">
        <f t="shared" si="12"/>
        <v>1</v>
      </c>
      <c r="E413" s="23">
        <f t="shared" si="13"/>
        <v>-1</v>
      </c>
    </row>
    <row r="414" spans="1:5" x14ac:dyDescent="0.25">
      <c r="A414" s="44"/>
      <c r="B414" s="44"/>
      <c r="C414" s="23" t="s">
        <v>13</v>
      </c>
      <c r="D414" s="23">
        <f t="shared" si="12"/>
        <v>1</v>
      </c>
      <c r="E414" s="23">
        <f t="shared" si="13"/>
        <v>-1</v>
      </c>
    </row>
    <row r="415" spans="1:5" x14ac:dyDescent="0.25">
      <c r="A415" s="44"/>
      <c r="B415" s="44"/>
      <c r="C415" s="23" t="s">
        <v>13</v>
      </c>
      <c r="D415" s="23">
        <f t="shared" si="12"/>
        <v>1</v>
      </c>
      <c r="E415" s="23">
        <f t="shared" si="13"/>
        <v>-1</v>
      </c>
    </row>
    <row r="416" spans="1:5" x14ac:dyDescent="0.25">
      <c r="A416" s="44"/>
      <c r="B416" s="44"/>
      <c r="C416" s="23" t="s">
        <v>13</v>
      </c>
      <c r="D416" s="23">
        <f t="shared" si="12"/>
        <v>1</v>
      </c>
      <c r="E416" s="23">
        <f t="shared" si="13"/>
        <v>-1</v>
      </c>
    </row>
    <row r="417" spans="1:5" x14ac:dyDescent="0.25">
      <c r="A417" s="44"/>
      <c r="B417" s="44"/>
      <c r="C417" s="23" t="s">
        <v>13</v>
      </c>
      <c r="D417" s="23">
        <f t="shared" si="12"/>
        <v>1</v>
      </c>
      <c r="E417" s="23">
        <f t="shared" si="13"/>
        <v>-1</v>
      </c>
    </row>
    <row r="418" spans="1:5" x14ac:dyDescent="0.25">
      <c r="A418" s="44"/>
      <c r="B418" s="44"/>
      <c r="C418" s="23" t="s">
        <v>13</v>
      </c>
      <c r="D418" s="23">
        <f t="shared" si="12"/>
        <v>1</v>
      </c>
      <c r="E418" s="23">
        <f t="shared" si="13"/>
        <v>-1</v>
      </c>
    </row>
    <row r="419" spans="1:5" x14ac:dyDescent="0.25">
      <c r="A419" s="44"/>
      <c r="B419" s="44"/>
      <c r="C419" s="23" t="s">
        <v>13</v>
      </c>
      <c r="D419" s="23">
        <f t="shared" si="12"/>
        <v>1</v>
      </c>
      <c r="E419" s="23">
        <f t="shared" si="13"/>
        <v>-1</v>
      </c>
    </row>
    <row r="420" spans="1:5" x14ac:dyDescent="0.25">
      <c r="A420" s="44"/>
      <c r="B420" s="44"/>
      <c r="C420" s="23" t="s">
        <v>13</v>
      </c>
      <c r="D420" s="23">
        <f t="shared" si="12"/>
        <v>1</v>
      </c>
      <c r="E420" s="23">
        <f t="shared" si="13"/>
        <v>-1</v>
      </c>
    </row>
    <row r="421" spans="1:5" x14ac:dyDescent="0.25">
      <c r="A421" s="44"/>
      <c r="B421" s="44"/>
      <c r="C421" s="23" t="s">
        <v>13</v>
      </c>
      <c r="D421" s="23">
        <f t="shared" si="12"/>
        <v>1</v>
      </c>
      <c r="E421" s="23">
        <f t="shared" si="13"/>
        <v>-1</v>
      </c>
    </row>
    <row r="422" spans="1:5" x14ac:dyDescent="0.25">
      <c r="A422" s="44"/>
      <c r="B422" s="44"/>
      <c r="C422" s="23" t="s">
        <v>13</v>
      </c>
      <c r="D422" s="23">
        <f t="shared" si="12"/>
        <v>1</v>
      </c>
      <c r="E422" s="23">
        <f t="shared" si="13"/>
        <v>-1</v>
      </c>
    </row>
    <row r="423" spans="1:5" x14ac:dyDescent="0.25">
      <c r="A423" s="44"/>
      <c r="B423" s="44"/>
      <c r="C423" s="23" t="s">
        <v>13</v>
      </c>
      <c r="D423" s="23">
        <f t="shared" si="12"/>
        <v>1</v>
      </c>
      <c r="E423" s="23">
        <f t="shared" si="13"/>
        <v>-1</v>
      </c>
    </row>
    <row r="424" spans="1:5" x14ac:dyDescent="0.25">
      <c r="A424" s="44"/>
      <c r="B424" s="44"/>
      <c r="C424" s="23" t="s">
        <v>13</v>
      </c>
      <c r="D424" s="23">
        <f t="shared" si="12"/>
        <v>1</v>
      </c>
      <c r="E424" s="23">
        <f t="shared" si="13"/>
        <v>-1</v>
      </c>
    </row>
    <row r="425" spans="1:5" x14ac:dyDescent="0.25">
      <c r="A425" s="44"/>
      <c r="B425" s="44"/>
      <c r="C425" s="23" t="s">
        <v>13</v>
      </c>
      <c r="D425" s="23">
        <f t="shared" si="12"/>
        <v>1</v>
      </c>
      <c r="E425" s="23">
        <f t="shared" si="13"/>
        <v>-1</v>
      </c>
    </row>
    <row r="426" spans="1:5" x14ac:dyDescent="0.25">
      <c r="A426" s="44"/>
      <c r="B426" s="44"/>
      <c r="C426" s="23" t="s">
        <v>13</v>
      </c>
      <c r="D426" s="23">
        <f t="shared" si="12"/>
        <v>1</v>
      </c>
      <c r="E426" s="23">
        <f t="shared" si="13"/>
        <v>-1</v>
      </c>
    </row>
    <row r="427" spans="1:5" x14ac:dyDescent="0.25">
      <c r="A427" s="44"/>
      <c r="B427" s="44"/>
      <c r="C427" s="23" t="s">
        <v>13</v>
      </c>
      <c r="D427" s="23">
        <f t="shared" si="12"/>
        <v>1</v>
      </c>
      <c r="E427" s="23">
        <f t="shared" si="13"/>
        <v>-1</v>
      </c>
    </row>
    <row r="428" spans="1:5" x14ac:dyDescent="0.25">
      <c r="A428" s="44"/>
      <c r="B428" s="44"/>
      <c r="C428" s="23" t="s">
        <v>13</v>
      </c>
      <c r="D428" s="23">
        <f t="shared" si="12"/>
        <v>1</v>
      </c>
      <c r="E428" s="23">
        <f t="shared" si="13"/>
        <v>-1</v>
      </c>
    </row>
    <row r="429" spans="1:5" x14ac:dyDescent="0.25">
      <c r="A429" s="44"/>
      <c r="B429" s="44"/>
      <c r="C429" s="23" t="s">
        <v>13</v>
      </c>
      <c r="D429" s="23">
        <f t="shared" si="12"/>
        <v>1</v>
      </c>
      <c r="E429" s="23">
        <f t="shared" si="13"/>
        <v>-1</v>
      </c>
    </row>
    <row r="430" spans="1:5" x14ac:dyDescent="0.25">
      <c r="A430" s="44"/>
      <c r="B430" s="44"/>
      <c r="C430" s="23" t="s">
        <v>13</v>
      </c>
      <c r="D430" s="23">
        <f t="shared" si="12"/>
        <v>1</v>
      </c>
      <c r="E430" s="23">
        <f t="shared" si="13"/>
        <v>-1</v>
      </c>
    </row>
    <row r="431" spans="1:5" x14ac:dyDescent="0.25">
      <c r="A431" s="44"/>
      <c r="B431" s="44"/>
      <c r="C431" s="23" t="s">
        <v>13</v>
      </c>
      <c r="D431" s="23">
        <f t="shared" si="12"/>
        <v>1</v>
      </c>
      <c r="E431" s="23">
        <f t="shared" si="13"/>
        <v>-1</v>
      </c>
    </row>
    <row r="432" spans="1:5" x14ac:dyDescent="0.25">
      <c r="A432" s="44"/>
      <c r="B432" s="44"/>
      <c r="C432" s="23" t="s">
        <v>13</v>
      </c>
      <c r="D432" s="23">
        <f t="shared" si="12"/>
        <v>1</v>
      </c>
      <c r="E432" s="23">
        <f t="shared" si="13"/>
        <v>-1</v>
      </c>
    </row>
    <row r="433" spans="1:5" x14ac:dyDescent="0.25">
      <c r="A433" s="44"/>
      <c r="B433" s="44"/>
      <c r="C433" s="23" t="s">
        <v>13</v>
      </c>
      <c r="D433" s="23">
        <f t="shared" si="12"/>
        <v>1</v>
      </c>
      <c r="E433" s="23">
        <f t="shared" si="13"/>
        <v>-1</v>
      </c>
    </row>
    <row r="434" spans="1:5" x14ac:dyDescent="0.25">
      <c r="A434" s="44"/>
      <c r="B434" s="44"/>
      <c r="C434" s="23" t="s">
        <v>13</v>
      </c>
      <c r="D434" s="23">
        <f t="shared" si="12"/>
        <v>1</v>
      </c>
      <c r="E434" s="23">
        <f t="shared" si="13"/>
        <v>-1</v>
      </c>
    </row>
    <row r="435" spans="1:5" x14ac:dyDescent="0.25">
      <c r="A435" s="44"/>
      <c r="B435" s="44"/>
      <c r="C435" s="23" t="s">
        <v>13</v>
      </c>
      <c r="D435" s="23">
        <f t="shared" si="12"/>
        <v>1</v>
      </c>
      <c r="E435" s="23">
        <f t="shared" si="13"/>
        <v>-1</v>
      </c>
    </row>
    <row r="436" spans="1:5" x14ac:dyDescent="0.25">
      <c r="A436" s="44"/>
      <c r="B436" s="44"/>
      <c r="C436" s="23" t="s">
        <v>13</v>
      </c>
      <c r="D436" s="23">
        <f t="shared" si="12"/>
        <v>1</v>
      </c>
      <c r="E436" s="23">
        <f t="shared" si="13"/>
        <v>-1</v>
      </c>
    </row>
    <row r="437" spans="1:5" x14ac:dyDescent="0.25">
      <c r="A437" s="44"/>
      <c r="B437" s="44"/>
      <c r="C437" s="23" t="s">
        <v>13</v>
      </c>
      <c r="D437" s="23">
        <f t="shared" si="12"/>
        <v>1</v>
      </c>
      <c r="E437" s="23">
        <f t="shared" si="13"/>
        <v>-1</v>
      </c>
    </row>
    <row r="438" spans="1:5" x14ac:dyDescent="0.25">
      <c r="A438" s="44"/>
      <c r="B438" s="44"/>
      <c r="C438" s="23" t="s">
        <v>13</v>
      </c>
      <c r="D438" s="23">
        <f t="shared" si="12"/>
        <v>1</v>
      </c>
      <c r="E438" s="23">
        <f t="shared" si="13"/>
        <v>-1</v>
      </c>
    </row>
    <row r="439" spans="1:5" x14ac:dyDescent="0.25">
      <c r="A439" s="44"/>
      <c r="B439" s="44"/>
      <c r="C439" s="23" t="s">
        <v>13</v>
      </c>
      <c r="D439" s="23">
        <f t="shared" si="12"/>
        <v>1</v>
      </c>
      <c r="E439" s="23">
        <f t="shared" si="13"/>
        <v>-1</v>
      </c>
    </row>
    <row r="440" spans="1:5" x14ac:dyDescent="0.25">
      <c r="A440" s="44"/>
      <c r="B440" s="44"/>
      <c r="C440" s="23" t="s">
        <v>13</v>
      </c>
      <c r="D440" s="23">
        <f t="shared" si="12"/>
        <v>1</v>
      </c>
      <c r="E440" s="23">
        <f t="shared" si="13"/>
        <v>-1</v>
      </c>
    </row>
    <row r="441" spans="1:5" x14ac:dyDescent="0.25">
      <c r="A441" s="44"/>
      <c r="B441" s="44"/>
      <c r="C441" s="23" t="s">
        <v>13</v>
      </c>
      <c r="D441" s="23">
        <f t="shared" si="12"/>
        <v>1</v>
      </c>
      <c r="E441" s="23">
        <f t="shared" si="13"/>
        <v>-1</v>
      </c>
    </row>
    <row r="442" spans="1:5" x14ac:dyDescent="0.25">
      <c r="A442" s="44"/>
      <c r="B442" s="44"/>
      <c r="C442" s="23" t="s">
        <v>13</v>
      </c>
      <c r="D442" s="23">
        <f t="shared" si="12"/>
        <v>1</v>
      </c>
      <c r="E442" s="23">
        <f t="shared" si="13"/>
        <v>-1</v>
      </c>
    </row>
    <row r="443" spans="1:5" x14ac:dyDescent="0.25">
      <c r="A443" s="44"/>
      <c r="B443" s="44"/>
      <c r="C443" s="23" t="s">
        <v>13</v>
      </c>
      <c r="D443" s="23">
        <f t="shared" si="12"/>
        <v>1</v>
      </c>
      <c r="E443" s="23">
        <f t="shared" si="13"/>
        <v>-1</v>
      </c>
    </row>
    <row r="444" spans="1:5" x14ac:dyDescent="0.25">
      <c r="A444" s="44"/>
      <c r="B444" s="44"/>
      <c r="C444" s="23" t="s">
        <v>13</v>
      </c>
      <c r="D444" s="23">
        <f t="shared" si="12"/>
        <v>1</v>
      </c>
      <c r="E444" s="23">
        <f t="shared" si="13"/>
        <v>-1</v>
      </c>
    </row>
    <row r="445" spans="1:5" x14ac:dyDescent="0.25">
      <c r="A445" s="44"/>
      <c r="B445" s="44"/>
      <c r="C445" s="23" t="s">
        <v>13</v>
      </c>
      <c r="D445" s="23">
        <f t="shared" si="12"/>
        <v>1</v>
      </c>
      <c r="E445" s="23">
        <f t="shared" si="13"/>
        <v>-1</v>
      </c>
    </row>
    <row r="446" spans="1:5" x14ac:dyDescent="0.25">
      <c r="A446" s="44"/>
      <c r="B446" s="44"/>
      <c r="C446" s="23" t="s">
        <v>13</v>
      </c>
      <c r="D446" s="23">
        <f t="shared" si="12"/>
        <v>1</v>
      </c>
      <c r="E446" s="23">
        <f t="shared" si="13"/>
        <v>-1</v>
      </c>
    </row>
    <row r="447" spans="1:5" x14ac:dyDescent="0.25">
      <c r="A447" s="44"/>
      <c r="B447" s="44"/>
      <c r="C447" s="23" t="s">
        <v>13</v>
      </c>
      <c r="D447" s="23">
        <f t="shared" si="12"/>
        <v>1</v>
      </c>
      <c r="E447" s="23">
        <f t="shared" si="13"/>
        <v>-1</v>
      </c>
    </row>
    <row r="448" spans="1:5" x14ac:dyDescent="0.25">
      <c r="A448" s="44"/>
      <c r="B448" s="44"/>
      <c r="C448" s="23" t="s">
        <v>13</v>
      </c>
      <c r="D448" s="23">
        <f t="shared" si="12"/>
        <v>1</v>
      </c>
      <c r="E448" s="23">
        <f t="shared" si="13"/>
        <v>-1</v>
      </c>
    </row>
    <row r="449" spans="1:5" x14ac:dyDescent="0.25">
      <c r="A449" s="44"/>
      <c r="B449" s="44"/>
      <c r="C449" s="23" t="s">
        <v>13</v>
      </c>
      <c r="D449" s="23">
        <f t="shared" si="12"/>
        <v>1</v>
      </c>
      <c r="E449" s="23">
        <f t="shared" si="13"/>
        <v>-1</v>
      </c>
    </row>
    <row r="450" spans="1:5" x14ac:dyDescent="0.25">
      <c r="A450" s="44"/>
      <c r="B450" s="44"/>
      <c r="C450" s="23" t="s">
        <v>13</v>
      </c>
      <c r="D450" s="23">
        <f t="shared" si="12"/>
        <v>1</v>
      </c>
      <c r="E450" s="23">
        <f t="shared" si="13"/>
        <v>-1</v>
      </c>
    </row>
    <row r="451" spans="1:5" x14ac:dyDescent="0.25">
      <c r="A451" s="44"/>
      <c r="B451" s="44"/>
      <c r="C451" s="23" t="s">
        <v>13</v>
      </c>
      <c r="D451" s="23">
        <f t="shared" si="12"/>
        <v>1</v>
      </c>
      <c r="E451" s="23">
        <f t="shared" si="13"/>
        <v>-1</v>
      </c>
    </row>
    <row r="452" spans="1:5" x14ac:dyDescent="0.25">
      <c r="A452" s="44"/>
      <c r="B452" s="44"/>
      <c r="C452" s="23" t="s">
        <v>13</v>
      </c>
      <c r="D452" s="23">
        <f t="shared" si="12"/>
        <v>1</v>
      </c>
      <c r="E452" s="23">
        <f t="shared" si="13"/>
        <v>-1</v>
      </c>
    </row>
    <row r="453" spans="1:5" x14ac:dyDescent="0.25">
      <c r="A453" s="44"/>
      <c r="B453" s="44"/>
      <c r="C453" s="23" t="s">
        <v>13</v>
      </c>
      <c r="D453" s="23">
        <f t="shared" si="12"/>
        <v>1</v>
      </c>
      <c r="E453" s="23">
        <f t="shared" si="13"/>
        <v>-1</v>
      </c>
    </row>
    <row r="454" spans="1:5" x14ac:dyDescent="0.25">
      <c r="A454" s="44"/>
      <c r="B454" s="44"/>
      <c r="C454" s="23" t="s">
        <v>13</v>
      </c>
      <c r="D454" s="23">
        <f t="shared" si="12"/>
        <v>1</v>
      </c>
      <c r="E454" s="23">
        <f t="shared" si="13"/>
        <v>-1</v>
      </c>
    </row>
    <row r="455" spans="1:5" x14ac:dyDescent="0.25">
      <c r="A455" s="44"/>
      <c r="B455" s="44"/>
      <c r="C455" s="23" t="s">
        <v>13</v>
      </c>
      <c r="D455" s="23">
        <f t="shared" ref="D455:D500" si="14">B455-A455+1</f>
        <v>1</v>
      </c>
      <c r="E455" s="23">
        <f t="shared" si="13"/>
        <v>-1</v>
      </c>
    </row>
    <row r="456" spans="1:5" x14ac:dyDescent="0.25">
      <c r="A456" s="44"/>
      <c r="B456" s="44"/>
      <c r="C456" s="23" t="s">
        <v>13</v>
      </c>
      <c r="D456" s="23">
        <f t="shared" si="14"/>
        <v>1</v>
      </c>
      <c r="E456" s="23">
        <f t="shared" ref="E456:E500" si="15">A456-B455-1</f>
        <v>-1</v>
      </c>
    </row>
    <row r="457" spans="1:5" x14ac:dyDescent="0.25">
      <c r="A457" s="44"/>
      <c r="B457" s="44"/>
      <c r="C457" s="23" t="s">
        <v>13</v>
      </c>
      <c r="D457" s="23">
        <f t="shared" si="14"/>
        <v>1</v>
      </c>
      <c r="E457" s="23">
        <f t="shared" si="15"/>
        <v>-1</v>
      </c>
    </row>
    <row r="458" spans="1:5" x14ac:dyDescent="0.25">
      <c r="A458" s="44"/>
      <c r="B458" s="44"/>
      <c r="C458" s="23" t="s">
        <v>13</v>
      </c>
      <c r="D458" s="23">
        <f t="shared" si="14"/>
        <v>1</v>
      </c>
      <c r="E458" s="23">
        <f t="shared" si="15"/>
        <v>-1</v>
      </c>
    </row>
    <row r="459" spans="1:5" x14ac:dyDescent="0.25">
      <c r="A459" s="44"/>
      <c r="B459" s="44"/>
      <c r="C459" s="23" t="s">
        <v>13</v>
      </c>
      <c r="D459" s="23">
        <f t="shared" si="14"/>
        <v>1</v>
      </c>
      <c r="E459" s="23">
        <f t="shared" si="15"/>
        <v>-1</v>
      </c>
    </row>
    <row r="460" spans="1:5" x14ac:dyDescent="0.25">
      <c r="A460" s="44"/>
      <c r="B460" s="44"/>
      <c r="C460" s="23" t="s">
        <v>13</v>
      </c>
      <c r="D460" s="23">
        <f t="shared" si="14"/>
        <v>1</v>
      </c>
      <c r="E460" s="23">
        <f t="shared" si="15"/>
        <v>-1</v>
      </c>
    </row>
    <row r="461" spans="1:5" x14ac:dyDescent="0.25">
      <c r="A461" s="44"/>
      <c r="B461" s="44"/>
      <c r="C461" s="23" t="s">
        <v>13</v>
      </c>
      <c r="D461" s="23">
        <f t="shared" si="14"/>
        <v>1</v>
      </c>
      <c r="E461" s="23">
        <f t="shared" si="15"/>
        <v>-1</v>
      </c>
    </row>
    <row r="462" spans="1:5" x14ac:dyDescent="0.25">
      <c r="A462" s="44"/>
      <c r="B462" s="44"/>
      <c r="C462" s="23" t="s">
        <v>13</v>
      </c>
      <c r="D462" s="23">
        <f t="shared" si="14"/>
        <v>1</v>
      </c>
      <c r="E462" s="23">
        <f t="shared" si="15"/>
        <v>-1</v>
      </c>
    </row>
    <row r="463" spans="1:5" x14ac:dyDescent="0.25">
      <c r="A463" s="44"/>
      <c r="B463" s="44"/>
      <c r="C463" s="23" t="s">
        <v>13</v>
      </c>
      <c r="D463" s="23">
        <f t="shared" si="14"/>
        <v>1</v>
      </c>
      <c r="E463" s="23">
        <f t="shared" si="15"/>
        <v>-1</v>
      </c>
    </row>
    <row r="464" spans="1:5" x14ac:dyDescent="0.25">
      <c r="A464" s="44"/>
      <c r="B464" s="44"/>
      <c r="C464" s="23" t="s">
        <v>13</v>
      </c>
      <c r="D464" s="23">
        <f t="shared" si="14"/>
        <v>1</v>
      </c>
      <c r="E464" s="23">
        <f t="shared" si="15"/>
        <v>-1</v>
      </c>
    </row>
    <row r="465" spans="1:5" x14ac:dyDescent="0.25">
      <c r="A465" s="44"/>
      <c r="B465" s="44"/>
      <c r="C465" s="23" t="s">
        <v>13</v>
      </c>
      <c r="D465" s="23">
        <f t="shared" si="14"/>
        <v>1</v>
      </c>
      <c r="E465" s="23">
        <f t="shared" si="15"/>
        <v>-1</v>
      </c>
    </row>
    <row r="466" spans="1:5" x14ac:dyDescent="0.25">
      <c r="A466" s="44"/>
      <c r="B466" s="44"/>
      <c r="C466" s="23" t="s">
        <v>13</v>
      </c>
      <c r="D466" s="23">
        <f t="shared" si="14"/>
        <v>1</v>
      </c>
      <c r="E466" s="23">
        <f t="shared" si="15"/>
        <v>-1</v>
      </c>
    </row>
    <row r="467" spans="1:5" x14ac:dyDescent="0.25">
      <c r="A467" s="44"/>
      <c r="B467" s="44"/>
      <c r="C467" s="23" t="s">
        <v>13</v>
      </c>
      <c r="D467" s="23">
        <f t="shared" si="14"/>
        <v>1</v>
      </c>
      <c r="E467" s="23">
        <f t="shared" si="15"/>
        <v>-1</v>
      </c>
    </row>
    <row r="468" spans="1:5" x14ac:dyDescent="0.25">
      <c r="A468" s="44"/>
      <c r="B468" s="44"/>
      <c r="C468" s="23" t="s">
        <v>13</v>
      </c>
      <c r="D468" s="23">
        <f t="shared" si="14"/>
        <v>1</v>
      </c>
      <c r="E468" s="23">
        <f t="shared" si="15"/>
        <v>-1</v>
      </c>
    </row>
    <row r="469" spans="1:5" x14ac:dyDescent="0.25">
      <c r="A469" s="44"/>
      <c r="B469" s="44"/>
      <c r="C469" s="23" t="s">
        <v>13</v>
      </c>
      <c r="D469" s="23">
        <f t="shared" si="14"/>
        <v>1</v>
      </c>
      <c r="E469" s="23">
        <f t="shared" si="15"/>
        <v>-1</v>
      </c>
    </row>
    <row r="470" spans="1:5" x14ac:dyDescent="0.25">
      <c r="A470" s="44"/>
      <c r="B470" s="44"/>
      <c r="C470" s="23" t="s">
        <v>13</v>
      </c>
      <c r="D470" s="23">
        <f t="shared" si="14"/>
        <v>1</v>
      </c>
      <c r="E470" s="23">
        <f t="shared" si="15"/>
        <v>-1</v>
      </c>
    </row>
    <row r="471" spans="1:5" x14ac:dyDescent="0.25">
      <c r="A471" s="44"/>
      <c r="B471" s="44"/>
      <c r="C471" s="23" t="s">
        <v>13</v>
      </c>
      <c r="D471" s="23">
        <f t="shared" si="14"/>
        <v>1</v>
      </c>
      <c r="E471" s="23">
        <f t="shared" si="15"/>
        <v>-1</v>
      </c>
    </row>
    <row r="472" spans="1:5" x14ac:dyDescent="0.25">
      <c r="A472" s="44"/>
      <c r="B472" s="44"/>
      <c r="C472" s="23" t="s">
        <v>13</v>
      </c>
      <c r="D472" s="23">
        <f t="shared" si="14"/>
        <v>1</v>
      </c>
      <c r="E472" s="23">
        <f t="shared" si="15"/>
        <v>-1</v>
      </c>
    </row>
    <row r="473" spans="1:5" x14ac:dyDescent="0.25">
      <c r="A473" s="44"/>
      <c r="B473" s="44"/>
      <c r="C473" s="23" t="s">
        <v>13</v>
      </c>
      <c r="D473" s="23">
        <f t="shared" si="14"/>
        <v>1</v>
      </c>
      <c r="E473" s="23">
        <f t="shared" si="15"/>
        <v>-1</v>
      </c>
    </row>
    <row r="474" spans="1:5" x14ac:dyDescent="0.25">
      <c r="A474" s="44"/>
      <c r="B474" s="44"/>
      <c r="C474" s="23" t="s">
        <v>13</v>
      </c>
      <c r="D474" s="23">
        <f t="shared" si="14"/>
        <v>1</v>
      </c>
      <c r="E474" s="23">
        <f t="shared" si="15"/>
        <v>-1</v>
      </c>
    </row>
    <row r="475" spans="1:5" x14ac:dyDescent="0.25">
      <c r="A475" s="44"/>
      <c r="B475" s="44"/>
      <c r="C475" s="23" t="s">
        <v>13</v>
      </c>
      <c r="D475" s="23">
        <f t="shared" si="14"/>
        <v>1</v>
      </c>
      <c r="E475" s="23">
        <f t="shared" si="15"/>
        <v>-1</v>
      </c>
    </row>
    <row r="476" spans="1:5" x14ac:dyDescent="0.25">
      <c r="A476" s="44"/>
      <c r="B476" s="44"/>
      <c r="C476" s="23" t="s">
        <v>13</v>
      </c>
      <c r="D476" s="23">
        <f t="shared" si="14"/>
        <v>1</v>
      </c>
      <c r="E476" s="23">
        <f t="shared" si="15"/>
        <v>-1</v>
      </c>
    </row>
    <row r="477" spans="1:5" x14ac:dyDescent="0.25">
      <c r="A477" s="44"/>
      <c r="B477" s="44"/>
      <c r="C477" s="23" t="s">
        <v>13</v>
      </c>
      <c r="D477" s="23">
        <f t="shared" si="14"/>
        <v>1</v>
      </c>
      <c r="E477" s="23">
        <f t="shared" si="15"/>
        <v>-1</v>
      </c>
    </row>
    <row r="478" spans="1:5" x14ac:dyDescent="0.25">
      <c r="A478" s="44"/>
      <c r="B478" s="44"/>
      <c r="C478" s="23" t="s">
        <v>13</v>
      </c>
      <c r="D478" s="23">
        <f t="shared" si="14"/>
        <v>1</v>
      </c>
      <c r="E478" s="23">
        <f t="shared" si="15"/>
        <v>-1</v>
      </c>
    </row>
    <row r="479" spans="1:5" x14ac:dyDescent="0.25">
      <c r="A479" s="44"/>
      <c r="B479" s="44"/>
      <c r="C479" s="23" t="s">
        <v>13</v>
      </c>
      <c r="D479" s="23">
        <f t="shared" si="14"/>
        <v>1</v>
      </c>
      <c r="E479" s="23">
        <f t="shared" si="15"/>
        <v>-1</v>
      </c>
    </row>
    <row r="480" spans="1:5" x14ac:dyDescent="0.25">
      <c r="A480" s="44"/>
      <c r="B480" s="44"/>
      <c r="C480" s="23" t="s">
        <v>13</v>
      </c>
      <c r="D480" s="23">
        <f t="shared" si="14"/>
        <v>1</v>
      </c>
      <c r="E480" s="23">
        <f t="shared" si="15"/>
        <v>-1</v>
      </c>
    </row>
    <row r="481" spans="1:5" x14ac:dyDescent="0.25">
      <c r="A481" s="44"/>
      <c r="B481" s="44"/>
      <c r="C481" s="23" t="s">
        <v>13</v>
      </c>
      <c r="D481" s="23">
        <f t="shared" si="14"/>
        <v>1</v>
      </c>
      <c r="E481" s="23">
        <f t="shared" si="15"/>
        <v>-1</v>
      </c>
    </row>
    <row r="482" spans="1:5" x14ac:dyDescent="0.25">
      <c r="A482" s="44"/>
      <c r="B482" s="44"/>
      <c r="C482" s="23" t="s">
        <v>13</v>
      </c>
      <c r="D482" s="23">
        <f t="shared" si="14"/>
        <v>1</v>
      </c>
      <c r="E482" s="23">
        <f t="shared" si="15"/>
        <v>-1</v>
      </c>
    </row>
    <row r="483" spans="1:5" x14ac:dyDescent="0.25">
      <c r="A483" s="44"/>
      <c r="B483" s="44"/>
      <c r="C483" s="23" t="s">
        <v>13</v>
      </c>
      <c r="D483" s="23">
        <f t="shared" si="14"/>
        <v>1</v>
      </c>
      <c r="E483" s="23">
        <f t="shared" si="15"/>
        <v>-1</v>
      </c>
    </row>
    <row r="484" spans="1:5" x14ac:dyDescent="0.25">
      <c r="A484" s="44"/>
      <c r="B484" s="44"/>
      <c r="C484" s="23" t="s">
        <v>13</v>
      </c>
      <c r="D484" s="23">
        <f t="shared" si="14"/>
        <v>1</v>
      </c>
      <c r="E484" s="23">
        <f t="shared" si="15"/>
        <v>-1</v>
      </c>
    </row>
    <row r="485" spans="1:5" x14ac:dyDescent="0.25">
      <c r="A485" s="44"/>
      <c r="B485" s="44"/>
      <c r="C485" s="23" t="s">
        <v>13</v>
      </c>
      <c r="D485" s="23">
        <f t="shared" si="14"/>
        <v>1</v>
      </c>
      <c r="E485" s="23">
        <f t="shared" si="15"/>
        <v>-1</v>
      </c>
    </row>
    <row r="486" spans="1:5" x14ac:dyDescent="0.25">
      <c r="A486" s="44"/>
      <c r="B486" s="44"/>
      <c r="C486" s="23" t="s">
        <v>13</v>
      </c>
      <c r="D486" s="23">
        <f t="shared" si="14"/>
        <v>1</v>
      </c>
      <c r="E486" s="23">
        <f t="shared" si="15"/>
        <v>-1</v>
      </c>
    </row>
    <row r="487" spans="1:5" x14ac:dyDescent="0.25">
      <c r="A487" s="44"/>
      <c r="B487" s="44"/>
      <c r="C487" s="23" t="s">
        <v>13</v>
      </c>
      <c r="D487" s="23">
        <f t="shared" si="14"/>
        <v>1</v>
      </c>
      <c r="E487" s="23">
        <f t="shared" si="15"/>
        <v>-1</v>
      </c>
    </row>
    <row r="488" spans="1:5" x14ac:dyDescent="0.25">
      <c r="A488" s="44"/>
      <c r="B488" s="44"/>
      <c r="C488" s="23" t="s">
        <v>13</v>
      </c>
      <c r="D488" s="23">
        <f t="shared" si="14"/>
        <v>1</v>
      </c>
      <c r="E488" s="23">
        <f t="shared" si="15"/>
        <v>-1</v>
      </c>
    </row>
    <row r="489" spans="1:5" x14ac:dyDescent="0.25">
      <c r="A489" s="44"/>
      <c r="B489" s="44"/>
      <c r="C489" s="23" t="s">
        <v>13</v>
      </c>
      <c r="D489" s="23">
        <f t="shared" si="14"/>
        <v>1</v>
      </c>
      <c r="E489" s="23">
        <f t="shared" si="15"/>
        <v>-1</v>
      </c>
    </row>
    <row r="490" spans="1:5" x14ac:dyDescent="0.25">
      <c r="A490" s="44"/>
      <c r="B490" s="44"/>
      <c r="C490" s="23" t="s">
        <v>13</v>
      </c>
      <c r="D490" s="23">
        <f t="shared" si="14"/>
        <v>1</v>
      </c>
      <c r="E490" s="23">
        <f t="shared" si="15"/>
        <v>-1</v>
      </c>
    </row>
    <row r="491" spans="1:5" x14ac:dyDescent="0.25">
      <c r="A491" s="44"/>
      <c r="B491" s="44"/>
      <c r="C491" s="23" t="s">
        <v>13</v>
      </c>
      <c r="D491" s="23">
        <f t="shared" si="14"/>
        <v>1</v>
      </c>
      <c r="E491" s="23">
        <f t="shared" si="15"/>
        <v>-1</v>
      </c>
    </row>
    <row r="492" spans="1:5" x14ac:dyDescent="0.25">
      <c r="A492" s="44"/>
      <c r="B492" s="44"/>
      <c r="C492" s="23" t="s">
        <v>13</v>
      </c>
      <c r="D492" s="23">
        <f t="shared" si="14"/>
        <v>1</v>
      </c>
      <c r="E492" s="23">
        <f t="shared" si="15"/>
        <v>-1</v>
      </c>
    </row>
    <row r="493" spans="1:5" x14ac:dyDescent="0.25">
      <c r="A493" s="44"/>
      <c r="B493" s="44"/>
      <c r="C493" s="23" t="s">
        <v>13</v>
      </c>
      <c r="D493" s="23">
        <f t="shared" si="14"/>
        <v>1</v>
      </c>
      <c r="E493" s="23">
        <f t="shared" si="15"/>
        <v>-1</v>
      </c>
    </row>
    <row r="494" spans="1:5" x14ac:dyDescent="0.25">
      <c r="A494" s="44"/>
      <c r="B494" s="44"/>
      <c r="C494" s="23" t="s">
        <v>13</v>
      </c>
      <c r="D494" s="23">
        <f t="shared" si="14"/>
        <v>1</v>
      </c>
      <c r="E494" s="23">
        <f t="shared" si="15"/>
        <v>-1</v>
      </c>
    </row>
    <row r="495" spans="1:5" x14ac:dyDescent="0.25">
      <c r="A495" s="44"/>
      <c r="B495" s="44"/>
      <c r="C495" s="23" t="s">
        <v>13</v>
      </c>
      <c r="D495" s="23">
        <f t="shared" si="14"/>
        <v>1</v>
      </c>
      <c r="E495" s="23">
        <f t="shared" si="15"/>
        <v>-1</v>
      </c>
    </row>
    <row r="496" spans="1:5" x14ac:dyDescent="0.25">
      <c r="A496" s="44"/>
      <c r="B496" s="44"/>
      <c r="C496" s="23" t="s">
        <v>13</v>
      </c>
      <c r="D496" s="23">
        <f t="shared" si="14"/>
        <v>1</v>
      </c>
      <c r="E496" s="23">
        <f t="shared" si="15"/>
        <v>-1</v>
      </c>
    </row>
    <row r="497" spans="1:5" x14ac:dyDescent="0.25">
      <c r="A497" s="44"/>
      <c r="B497" s="44"/>
      <c r="C497" s="23" t="s">
        <v>13</v>
      </c>
      <c r="D497" s="23">
        <f t="shared" si="14"/>
        <v>1</v>
      </c>
      <c r="E497" s="23">
        <f t="shared" si="15"/>
        <v>-1</v>
      </c>
    </row>
    <row r="498" spans="1:5" x14ac:dyDescent="0.25">
      <c r="A498" s="44"/>
      <c r="B498" s="44"/>
      <c r="C498" s="23" t="s">
        <v>13</v>
      </c>
      <c r="D498" s="23">
        <f t="shared" si="14"/>
        <v>1</v>
      </c>
      <c r="E498" s="23">
        <f t="shared" si="15"/>
        <v>-1</v>
      </c>
    </row>
    <row r="499" spans="1:5" x14ac:dyDescent="0.25">
      <c r="A499" s="44"/>
      <c r="B499" s="44"/>
      <c r="C499" s="23" t="s">
        <v>13</v>
      </c>
      <c r="D499" s="23">
        <f t="shared" si="14"/>
        <v>1</v>
      </c>
      <c r="E499" s="23">
        <f t="shared" si="15"/>
        <v>-1</v>
      </c>
    </row>
    <row r="500" spans="1:5" x14ac:dyDescent="0.25">
      <c r="A500" s="44"/>
      <c r="B500" s="44"/>
      <c r="C500" s="23" t="s">
        <v>13</v>
      </c>
      <c r="D500" s="23">
        <f t="shared" si="14"/>
        <v>1</v>
      </c>
      <c r="E500" s="23">
        <f t="shared" si="15"/>
        <v>-1</v>
      </c>
    </row>
  </sheetData>
  <sortState xmlns:xlrd2="http://schemas.microsoft.com/office/spreadsheetml/2017/richdata2" ref="A6:C507">
    <sortCondition ref="A6"/>
  </sortState>
  <conditionalFormatting sqref="A1:B4">
    <cfRule type="expression" dxfId="1" priority="1" stopIfTrue="1">
      <formula>MOD(ROW()-1,2*1)+1&lt;=1</formula>
    </cfRule>
  </conditionalFormatting>
  <conditionalFormatting sqref="A6:E500">
    <cfRule type="expression" dxfId="0" priority="2" stopIfTrue="1">
      <formula>MOD(ROW()-6,2*1)+1&lt;=1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2</xdr:col>
                <xdr:colOff>9525</xdr:colOff>
                <xdr:row>0</xdr:row>
                <xdr:rowOff>9525</xdr:rowOff>
              </from>
              <to>
                <xdr:col>5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1030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A239D8-A080-4987-8689-E5DCE0D9E06D}">
          <x14:formula1>
            <xm:f>'Rule 22'!$P$8:$P$12</xm:f>
          </x14:formula1>
          <xm:sqref>C6:C500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Leave Calculation</vt:lpstr>
      <vt:lpstr>Leave Entry</vt:lpstr>
      <vt:lpstr>'Leave Calculation'!Print_Titles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2020-03-07T03:57:06Z</cp:lastPrinted>
  <dcterms:created xsi:type="dcterms:W3CDTF">2019-01-15T04:21:53Z</dcterms:created>
  <dcterms:modified xsi:type="dcterms:W3CDTF">2020-06-19T12:22:24Z</dcterms:modified>
</cp:coreProperties>
</file>